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datos_crudos" sheetId="1" state="visible" r:id="rId3"/>
    <sheet name="periodo_2" sheetId="2" state="visible" r:id="rId4"/>
    <sheet name="sensor_7en1" sheetId="3" state="visible" r:id="rId5"/>
    <sheet name="periodo_4" sheetId="4" state="visible" r:id="rId6"/>
    <sheet name="periodo_5" sheetId="5" state="visible" r:id="rId7"/>
    <sheet name="resumen_sensores" sheetId="6" state="visible" r:id="rId8"/>
    <sheet name="periodo_1" sheetId="7" state="visible" r:id="rId9"/>
    <sheet name="calibracion" sheetId="8" state="visible" r:id="rId10"/>
    <sheet name="periodo_3" sheetId="9" state="visible" r:id="rId11"/>
    <sheet name="resumen_7en1" sheetId="10" state="visible" r:id="rId12"/>
    <sheet name="16" sheetId="11" state="visible" r:id="rId13"/>
    <sheet name="58" sheetId="12" state="visible" r:id="rId14"/>
    <sheet name="88" sheetId="13" state="visible" r:id="rId15"/>
    <sheet name="completa" sheetId="14" state="visible" r:id="rId16"/>
  </sheets>
  <definedNames>
    <definedName function="false" hidden="true" localSheetId="10" name="_xlnm._FilterDatabase" vbProcedure="false">'16'!$K$1:$M$415</definedName>
    <definedName function="false" hidden="true" localSheetId="11" name="_xlnm._FilterDatabase" vbProcedure="false">'58'!$K$1:$N$383</definedName>
    <definedName function="false" hidden="true" localSheetId="12" name="_xlnm._FilterDatabase" vbProcedure="false">'88'!$K$1:$N$309</definedName>
    <definedName function="false" hidden="true" localSheetId="2" name="_xlnm._FilterDatabase" vbProcedure="false">sensor_7en1!$A$2:$K$351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<sst xmlns="http://schemas.openxmlformats.org/spreadsheetml/2006/main" count="8179" uniqueCount="988">
  <si>
    <t xml:space="preserve">timestamp</t>
  </si>
  <si>
    <t xml:space="preserve">sensor_id</t>
  </si>
  <si>
    <t xml:space="preserve">RAW</t>
  </si>
  <si>
    <t xml:space="preserve">humedad_%</t>
  </si>
  <si>
    <t xml:space="preserve">m-adc-35</t>
  </si>
  <si>
    <t xml:space="preserve">soil7-mod-2</t>
  </si>
  <si>
    <t xml:space="preserve">m-adc-32</t>
  </si>
  <si>
    <t xml:space="preserve">m-adc-34</t>
  </si>
  <si>
    <t xml:space="preserve">m-adc-36</t>
  </si>
  <si>
    <t xml:space="preserve">m-adc-39</t>
  </si>
  <si>
    <t xml:space="preserve">periodo_2 — Ref 7en1: 8.2% ± 0.056 | 35.4 min | 4 timestamps eliminados (arranque)</t>
  </si>
  <si>
    <t xml:space="preserve">ref_7en1_%</t>
  </si>
  <si>
    <t xml:space="preserve">2026-05-26 19:17:24</t>
  </si>
  <si>
    <t xml:space="preserve">2026-05-26 19:17:25</t>
  </si>
  <si>
    <t xml:space="preserve">2026-05-26 19:17:26</t>
  </si>
  <si>
    <t xml:space="preserve">2026-05-26 19:17:54</t>
  </si>
  <si>
    <t xml:space="preserve">2026-05-26 19:17:55</t>
  </si>
  <si>
    <t xml:space="preserve">2026-05-26 19:17:56</t>
  </si>
  <si>
    <t xml:space="preserve">2026-05-26 19:18:24</t>
  </si>
  <si>
    <t xml:space="preserve">2026-05-26 19:18:25</t>
  </si>
  <si>
    <t xml:space="preserve">2026-05-26 19:18:55</t>
  </si>
  <si>
    <t xml:space="preserve">2026-05-26 19:19:25</t>
  </si>
  <si>
    <t xml:space="preserve">2026-05-26 19:19:55</t>
  </si>
  <si>
    <t xml:space="preserve">2026-05-26 19:20:25</t>
  </si>
  <si>
    <t xml:space="preserve">2026-05-26 19:20:26</t>
  </si>
  <si>
    <t xml:space="preserve">2026-05-26 19:20:27</t>
  </si>
  <si>
    <t xml:space="preserve">2026-05-26 19:20:56</t>
  </si>
  <si>
    <t xml:space="preserve">2026-05-26 19:20:57</t>
  </si>
  <si>
    <t xml:space="preserve">2026-05-26 19:20:58</t>
  </si>
  <si>
    <t xml:space="preserve">2026-05-26 19:21:26</t>
  </si>
  <si>
    <t xml:space="preserve">2026-05-26 19:21:27</t>
  </si>
  <si>
    <t xml:space="preserve">2026-05-26 19:21:28</t>
  </si>
  <si>
    <t xml:space="preserve">2026-05-26 19:21:57</t>
  </si>
  <si>
    <t xml:space="preserve">2026-05-26 19:21:58</t>
  </si>
  <si>
    <t xml:space="preserve">2026-05-26 19:21:59</t>
  </si>
  <si>
    <t xml:space="preserve">2026-05-26 19:22:28</t>
  </si>
  <si>
    <t xml:space="preserve">2026-05-26 19:22:29</t>
  </si>
  <si>
    <t xml:space="preserve">2026-05-26 19:22:30</t>
  </si>
  <si>
    <t xml:space="preserve">2026-05-26 19:22:58</t>
  </si>
  <si>
    <t xml:space="preserve">2026-05-26 19:22:59</t>
  </si>
  <si>
    <t xml:space="preserve">2026-05-26 19:23:00</t>
  </si>
  <si>
    <t xml:space="preserve">2026-05-26 19:23:29</t>
  </si>
  <si>
    <t xml:space="preserve">2026-05-26 19:23:30</t>
  </si>
  <si>
    <t xml:space="preserve">2026-05-26 19:23:31</t>
  </si>
  <si>
    <t xml:space="preserve">2026-05-26 19:23:59</t>
  </si>
  <si>
    <t xml:space="preserve">2026-05-26 19:24:00</t>
  </si>
  <si>
    <t xml:space="preserve">2026-05-26 19:24:01</t>
  </si>
  <si>
    <t xml:space="preserve">2026-05-26 19:24:30</t>
  </si>
  <si>
    <t xml:space="preserve">2026-05-26 19:24:31</t>
  </si>
  <si>
    <t xml:space="preserve">2026-05-26 19:25:00</t>
  </si>
  <si>
    <t xml:space="preserve">2026-05-26 19:25:01</t>
  </si>
  <si>
    <t xml:space="preserve">2026-05-26 19:25:30</t>
  </si>
  <si>
    <t xml:space="preserve">2026-05-26 19:25:31</t>
  </si>
  <si>
    <t xml:space="preserve">2026-05-26 19:25:32</t>
  </si>
  <si>
    <t xml:space="preserve">2026-05-26 19:26:00</t>
  </si>
  <si>
    <t xml:space="preserve">2026-05-26 19:26:01</t>
  </si>
  <si>
    <t xml:space="preserve">2026-05-26 19:26:02</t>
  </si>
  <si>
    <t xml:space="preserve">2026-05-26 19:26:31</t>
  </si>
  <si>
    <t xml:space="preserve">2026-05-26 19:26:32</t>
  </si>
  <si>
    <t xml:space="preserve">2026-05-26 19:26:33</t>
  </si>
  <si>
    <t xml:space="preserve">2026-05-26 19:27:01</t>
  </si>
  <si>
    <t xml:space="preserve">2026-05-26 19:27:02</t>
  </si>
  <si>
    <t xml:space="preserve">2026-05-26 19:27:03</t>
  </si>
  <si>
    <t xml:space="preserve">2026-05-26 19:27:04</t>
  </si>
  <si>
    <t xml:space="preserve">2026-05-26 19:27:32</t>
  </si>
  <si>
    <t xml:space="preserve">2026-05-26 19:27:33</t>
  </si>
  <si>
    <t xml:space="preserve">2026-05-26 19:27:34</t>
  </si>
  <si>
    <t xml:space="preserve">2026-05-26 19:28:02</t>
  </si>
  <si>
    <t xml:space="preserve">2026-05-26 19:28:03</t>
  </si>
  <si>
    <t xml:space="preserve">2026-05-26 19:28:04</t>
  </si>
  <si>
    <t xml:space="preserve">2026-05-26 19:28:33</t>
  </si>
  <si>
    <t xml:space="preserve">2026-05-26 19:28:34</t>
  </si>
  <si>
    <t xml:space="preserve">2026-05-26 19:29:03</t>
  </si>
  <si>
    <t xml:space="preserve">2026-05-26 19:29:04</t>
  </si>
  <si>
    <t xml:space="preserve">2026-05-26 19:29:33</t>
  </si>
  <si>
    <t xml:space="preserve">2026-05-26 19:29:34</t>
  </si>
  <si>
    <t xml:space="preserve">2026-05-26 19:29:35</t>
  </si>
  <si>
    <t xml:space="preserve">2026-05-26 19:30:03</t>
  </si>
  <si>
    <t xml:space="preserve">2026-05-26 19:30:04</t>
  </si>
  <si>
    <t xml:space="preserve">2026-05-26 19:30:05</t>
  </si>
  <si>
    <t xml:space="preserve">2026-05-26 19:30:34</t>
  </si>
  <si>
    <t xml:space="preserve">2026-05-26 19:30:35</t>
  </si>
  <si>
    <t xml:space="preserve">2026-05-26 19:30:36</t>
  </si>
  <si>
    <t xml:space="preserve">2026-05-26 19:31:05</t>
  </si>
  <si>
    <t xml:space="preserve">2026-05-26 19:31:06</t>
  </si>
  <si>
    <t xml:space="preserve">2026-05-26 19:31:07</t>
  </si>
  <si>
    <t xml:space="preserve">2026-05-26 19:31:36</t>
  </si>
  <si>
    <t xml:space="preserve">2026-05-26 19:31:37</t>
  </si>
  <si>
    <t xml:space="preserve">2026-05-26 19:32:06</t>
  </si>
  <si>
    <t xml:space="preserve">2026-05-26 19:32:07</t>
  </si>
  <si>
    <t xml:space="preserve">2026-05-26 19:32:36</t>
  </si>
  <si>
    <t xml:space="preserve">2026-05-26 19:32:37</t>
  </si>
  <si>
    <t xml:space="preserve">2026-05-26 19:33:06</t>
  </si>
  <si>
    <t xml:space="preserve">2026-05-26 19:33:07</t>
  </si>
  <si>
    <t xml:space="preserve">2026-05-26 19:33:08</t>
  </si>
  <si>
    <t xml:space="preserve">2026-05-26 19:33:36</t>
  </si>
  <si>
    <t xml:space="preserve">2026-05-26 19:33:37</t>
  </si>
  <si>
    <t xml:space="preserve">2026-05-26 19:34:06</t>
  </si>
  <si>
    <t xml:space="preserve">2026-05-26 19:34:07</t>
  </si>
  <si>
    <t xml:space="preserve">2026-05-26 19:34:36</t>
  </si>
  <si>
    <t xml:space="preserve">2026-05-26 19:34:37</t>
  </si>
  <si>
    <t xml:space="preserve">2026-05-26 19:34:38</t>
  </si>
  <si>
    <t xml:space="preserve">2026-05-26 19:35:07</t>
  </si>
  <si>
    <t xml:space="preserve">2026-05-26 19:35:08</t>
  </si>
  <si>
    <t xml:space="preserve">2026-05-26 19:35:09</t>
  </si>
  <si>
    <t xml:space="preserve">2026-05-26 19:35:37</t>
  </si>
  <si>
    <t xml:space="preserve">2026-05-26 19:35:38</t>
  </si>
  <si>
    <t xml:space="preserve">2026-05-26 19:35:39</t>
  </si>
  <si>
    <t xml:space="preserve">2026-05-26 19:36:08</t>
  </si>
  <si>
    <t xml:space="preserve">2026-05-26 19:36:09</t>
  </si>
  <si>
    <t xml:space="preserve">2026-05-26 19:36:38</t>
  </si>
  <si>
    <t xml:space="preserve">2026-05-26 19:36:39</t>
  </si>
  <si>
    <t xml:space="preserve">2026-05-26 19:37:08</t>
  </si>
  <si>
    <t xml:space="preserve">2026-05-26 19:37:09</t>
  </si>
  <si>
    <t xml:space="preserve">2026-05-26 19:37:38</t>
  </si>
  <si>
    <t xml:space="preserve">2026-05-26 19:37:39</t>
  </si>
  <si>
    <t xml:space="preserve">2026-05-26 19:37:40</t>
  </si>
  <si>
    <t xml:space="preserve">2026-05-26 19:38:08</t>
  </si>
  <si>
    <t xml:space="preserve">2026-05-26 19:38:09</t>
  </si>
  <si>
    <t xml:space="preserve">2026-05-26 19:38:10</t>
  </si>
  <si>
    <t xml:space="preserve">2026-05-26 19:38:38</t>
  </si>
  <si>
    <t xml:space="preserve">2026-05-26 19:38:39</t>
  </si>
  <si>
    <t xml:space="preserve">2026-05-26 19:38:40</t>
  </si>
  <si>
    <t xml:space="preserve">2026-05-26 19:39:09</t>
  </si>
  <si>
    <t xml:space="preserve">2026-05-26 19:39:10</t>
  </si>
  <si>
    <t xml:space="preserve">2026-05-26 19:39:39</t>
  </si>
  <si>
    <t xml:space="preserve">2026-05-26 19:39:40</t>
  </si>
  <si>
    <t xml:space="preserve">2026-05-26 19:39:41</t>
  </si>
  <si>
    <t xml:space="preserve">2026-05-26 19:40:10</t>
  </si>
  <si>
    <t xml:space="preserve">2026-05-26 19:40:11</t>
  </si>
  <si>
    <t xml:space="preserve">2026-05-26 19:40:12</t>
  </si>
  <si>
    <t xml:space="preserve">2026-05-26 19:40:40</t>
  </si>
  <si>
    <t xml:space="preserve">2026-05-26 19:40:41</t>
  </si>
  <si>
    <t xml:space="preserve">2026-05-26 19:40:42</t>
  </si>
  <si>
    <t xml:space="preserve">2026-05-26 19:41:11</t>
  </si>
  <si>
    <t xml:space="preserve">2026-05-26 19:41:12</t>
  </si>
  <si>
    <t xml:space="preserve">2026-05-26 19:41:41</t>
  </si>
  <si>
    <t xml:space="preserve">2026-05-26 19:41:42</t>
  </si>
  <si>
    <t xml:space="preserve">2026-05-26 19:42:11</t>
  </si>
  <si>
    <t xml:space="preserve">2026-05-26 19:42:12</t>
  </si>
  <si>
    <t xml:space="preserve">2026-05-26 19:42:13</t>
  </si>
  <si>
    <t xml:space="preserve">2026-05-26 19:42:41</t>
  </si>
  <si>
    <t xml:space="preserve">2026-05-26 19:42:44</t>
  </si>
  <si>
    <t xml:space="preserve">2026-05-26 19:42:45</t>
  </si>
  <si>
    <t xml:space="preserve">2026-05-26 19:42:46</t>
  </si>
  <si>
    <t xml:space="preserve">2026-05-26 19:43:12</t>
  </si>
  <si>
    <t xml:space="preserve">2026-05-26 19:43:13</t>
  </si>
  <si>
    <t xml:space="preserve">2026-05-26 19:43:14</t>
  </si>
  <si>
    <t xml:space="preserve">2026-05-26 19:43:42</t>
  </si>
  <si>
    <t xml:space="preserve">2026-05-26 19:43:43</t>
  </si>
  <si>
    <t xml:space="preserve">2026-05-26 19:44:12</t>
  </si>
  <si>
    <t xml:space="preserve">2026-05-26 19:44:13</t>
  </si>
  <si>
    <t xml:space="preserve">2026-05-26 19:44:14</t>
  </si>
  <si>
    <t xml:space="preserve">2026-05-26 19:44:43</t>
  </si>
  <si>
    <t xml:space="preserve">2026-05-26 19:44:44</t>
  </si>
  <si>
    <t xml:space="preserve">2026-05-26 19:45:13</t>
  </si>
  <si>
    <t xml:space="preserve">2026-05-26 19:45:14</t>
  </si>
  <si>
    <t xml:space="preserve">2026-05-26 19:45:15</t>
  </si>
  <si>
    <t xml:space="preserve">2026-05-26 19:45:43</t>
  </si>
  <si>
    <t xml:space="preserve">2026-05-26 19:45:44</t>
  </si>
  <si>
    <t xml:space="preserve">2026-05-26 19:45:45</t>
  </si>
  <si>
    <t xml:space="preserve">2026-05-26 19:46:13</t>
  </si>
  <si>
    <t xml:space="preserve">2026-05-26 19:46:14</t>
  </si>
  <si>
    <t xml:space="preserve">2026-05-26 19:46:15</t>
  </si>
  <si>
    <t xml:space="preserve">2026-05-26 19:46:44</t>
  </si>
  <si>
    <t xml:space="preserve">2026-05-26 19:46:45</t>
  </si>
  <si>
    <t xml:space="preserve">2026-05-26 19:46:46</t>
  </si>
  <si>
    <t xml:space="preserve">2026-05-26 19:47:15</t>
  </si>
  <si>
    <t xml:space="preserve">2026-05-26 19:47:16</t>
  </si>
  <si>
    <t xml:space="preserve">2026-05-26 19:47:17</t>
  </si>
  <si>
    <t xml:space="preserve">2026-05-26 19:47:46</t>
  </si>
  <si>
    <t xml:space="preserve">2026-05-26 19:47:47</t>
  </si>
  <si>
    <t xml:space="preserve">2026-05-26 19:48:16</t>
  </si>
  <si>
    <t xml:space="preserve">2026-05-26 19:48:17</t>
  </si>
  <si>
    <t xml:space="preserve">2026-05-26 19:48:18</t>
  </si>
  <si>
    <t xml:space="preserve">2026-05-26 19:48:47</t>
  </si>
  <si>
    <t xml:space="preserve">2026-05-26 19:48:48</t>
  </si>
  <si>
    <t xml:space="preserve">2026-05-26 19:49:17</t>
  </si>
  <si>
    <t xml:space="preserve">2026-05-26 19:49:18</t>
  </si>
  <si>
    <t xml:space="preserve">2026-05-26 19:49:19</t>
  </si>
  <si>
    <t xml:space="preserve">2026-05-26 19:49:48</t>
  </si>
  <si>
    <t xml:space="preserve">2026-05-26 19:49:49</t>
  </si>
  <si>
    <t xml:space="preserve">2026-05-26 19:50:18</t>
  </si>
  <si>
    <t xml:space="preserve">2026-05-26 19:50:19</t>
  </si>
  <si>
    <t xml:space="preserve">2026-05-26 19:50:20</t>
  </si>
  <si>
    <t xml:space="preserve">2026-05-26 19:50:48</t>
  </si>
  <si>
    <t xml:space="preserve">2026-05-26 19:50:49</t>
  </si>
  <si>
    <t xml:space="preserve">2026-05-26 19:50:50</t>
  </si>
  <si>
    <t xml:space="preserve">2026-05-26 19:51:18</t>
  </si>
  <si>
    <t xml:space="preserve">2026-05-26 19:51:19</t>
  </si>
  <si>
    <t xml:space="preserve">2026-05-26 19:51:20</t>
  </si>
  <si>
    <t xml:space="preserve">2026-05-26 19:51:49</t>
  </si>
  <si>
    <t xml:space="preserve">2026-05-26 19:51:50</t>
  </si>
  <si>
    <t xml:space="preserve">2026-05-26 19:51:51</t>
  </si>
  <si>
    <t xml:space="preserve">2026-05-26 19:52:19</t>
  </si>
  <si>
    <t xml:space="preserve">2026-05-26 19:52:22</t>
  </si>
  <si>
    <t xml:space="preserve">2026-05-26 19:52:23</t>
  </si>
  <si>
    <t xml:space="preserve">2026-05-26 19:52:24</t>
  </si>
  <si>
    <t xml:space="preserve">2026-05-26 19:52:50</t>
  </si>
  <si>
    <t xml:space="preserve">SENSOR 7 EN 1 — Datos completos con indicadores de validez</t>
  </si>
  <si>
    <t xml:space="preserve">Timestamp</t>
  </si>
  <si>
    <t xml:space="preserve">Humedad (%)</t>
  </si>
  <si>
    <t xml:space="preserve">Temperatura (°C)</t>
  </si>
  <si>
    <t xml:space="preserve">EC (µS/cm)</t>
  </si>
  <si>
    <t xml:space="preserve">Nitrógeno</t>
  </si>
  <si>
    <t xml:space="preserve">Fósforo</t>
  </si>
  <si>
    <t xml:space="preserve">Potasio</t>
  </si>
  <si>
    <t xml:space="preserve">pH</t>
  </si>
  <si>
    <t xml:space="preserve">NPK válido</t>
  </si>
  <si>
    <t xml:space="preserve">pH válido</t>
  </si>
  <si>
    <t xml:space="preserve">Observaciones</t>
  </si>
  <si>
    <t xml:space="preserve">2026-05-26 18:28:24</t>
  </si>
  <si>
    <t xml:space="preserve">No</t>
  </si>
  <si>
    <t xml:space="preserve">Sí</t>
  </si>
  <si>
    <t xml:space="preserve">NPK=0 (calentamiento)</t>
  </si>
  <si>
    <t xml:space="preserve">2026-05-26 18:28:54</t>
  </si>
  <si>
    <t xml:space="preserve">2026-05-26 18:29:25</t>
  </si>
  <si>
    <t xml:space="preserve">2026-05-26 18:29:55</t>
  </si>
  <si>
    <t xml:space="preserve">2026-05-26 18:30:25</t>
  </si>
  <si>
    <t xml:space="preserve">2026-05-26 18:30:56</t>
  </si>
  <si>
    <t xml:space="preserve">2026-05-26 18:31:26</t>
  </si>
  <si>
    <t xml:space="preserve">2026-05-26 18:31:57</t>
  </si>
  <si>
    <t xml:space="preserve">2026-05-26 18:32:27</t>
  </si>
  <si>
    <t xml:space="preserve">2026-05-26 18:32:58</t>
  </si>
  <si>
    <t xml:space="preserve">2026-05-26 18:33:28</t>
  </si>
  <si>
    <t xml:space="preserve">2026-05-26 18:33:59</t>
  </si>
  <si>
    <t xml:space="preserve">2026-05-26 18:34:30</t>
  </si>
  <si>
    <t xml:space="preserve">2026-05-26 18:35:00</t>
  </si>
  <si>
    <t xml:space="preserve">2026-05-26 18:35:30</t>
  </si>
  <si>
    <t xml:space="preserve">2026-05-26 18:36:01</t>
  </si>
  <si>
    <t xml:space="preserve">2026-05-26 18:36:31</t>
  </si>
  <si>
    <t xml:space="preserve">2026-05-26 18:37:01</t>
  </si>
  <si>
    <t xml:space="preserve">2026-05-26 18:37:32</t>
  </si>
  <si>
    <t xml:space="preserve">2026-05-26 18:38:02</t>
  </si>
  <si>
    <t xml:space="preserve">2026-05-26 18:38:33</t>
  </si>
  <si>
    <t xml:space="preserve">2026-05-26 18:39:03</t>
  </si>
  <si>
    <t xml:space="preserve">2026-05-26 18:39:33</t>
  </si>
  <si>
    <t xml:space="preserve">2026-05-26 18:40:03</t>
  </si>
  <si>
    <t xml:space="preserve">2026-05-26 18:40:33</t>
  </si>
  <si>
    <t xml:space="preserve">2026-05-26 18:41:04</t>
  </si>
  <si>
    <t xml:space="preserve">2026-05-26 18:41:34</t>
  </si>
  <si>
    <t xml:space="preserve">2026-05-26 18:42:04</t>
  </si>
  <si>
    <t xml:space="preserve">2026-05-26 18:42:35</t>
  </si>
  <si>
    <t xml:space="preserve">2026-05-26 18:43:05</t>
  </si>
  <si>
    <t xml:space="preserve">2026-05-26 18:43:35</t>
  </si>
  <si>
    <t xml:space="preserve">2026-05-26 18:44:05</t>
  </si>
  <si>
    <t xml:space="preserve">2026-05-26 18:44:35</t>
  </si>
  <si>
    <t xml:space="preserve">2026-05-26 18:45:05</t>
  </si>
  <si>
    <t xml:space="preserve">2026-05-26 18:45:36</t>
  </si>
  <si>
    <t xml:space="preserve">2026-05-26 18:46:06</t>
  </si>
  <si>
    <t xml:space="preserve">2026-05-26 18:46:37</t>
  </si>
  <si>
    <t xml:space="preserve">2026-05-26 18:47:07</t>
  </si>
  <si>
    <t xml:space="preserve">2026-05-26 18:47:37</t>
  </si>
  <si>
    <t xml:space="preserve">2026-05-26 18:48:07</t>
  </si>
  <si>
    <t xml:space="preserve">2026-05-26 18:48:37</t>
  </si>
  <si>
    <t xml:space="preserve">2026-05-26 18:49:07</t>
  </si>
  <si>
    <t xml:space="preserve">2026-05-26 18:49:37</t>
  </si>
  <si>
    <t xml:space="preserve">2026-05-26 18:50:07</t>
  </si>
  <si>
    <t xml:space="preserve">2026-05-26 18:50:37</t>
  </si>
  <si>
    <t xml:space="preserve">2026-05-26 18:51:07</t>
  </si>
  <si>
    <t xml:space="preserve">2026-05-26 18:51:38</t>
  </si>
  <si>
    <t xml:space="preserve">2026-05-26 18:52:08</t>
  </si>
  <si>
    <t xml:space="preserve">2026-05-26 18:52:38</t>
  </si>
  <si>
    <t xml:space="preserve">2026-05-26 18:53:09</t>
  </si>
  <si>
    <t xml:space="preserve">2026-05-26 18:53:39</t>
  </si>
  <si>
    <t xml:space="preserve">2026-05-26 18:54:09</t>
  </si>
  <si>
    <t xml:space="preserve">2026-05-26 18:54:40</t>
  </si>
  <si>
    <t xml:space="preserve">2026-05-26 18:55:11</t>
  </si>
  <si>
    <t xml:space="preserve">2026-05-26 18:55:42</t>
  </si>
  <si>
    <t xml:space="preserve">2026-05-26 18:56:12</t>
  </si>
  <si>
    <t xml:space="preserve">2026-05-26 18:56:42</t>
  </si>
  <si>
    <t xml:space="preserve">2026-05-26 18:57:12</t>
  </si>
  <si>
    <t xml:space="preserve">2026-05-26 18:57:43</t>
  </si>
  <si>
    <t xml:space="preserve">2026-05-26 18:58:13</t>
  </si>
  <si>
    <t xml:space="preserve">2026-05-26 18:58:43</t>
  </si>
  <si>
    <t xml:space="preserve">2026-05-26 18:59:14</t>
  </si>
  <si>
    <t xml:space="preserve">2026-05-26 18:59:44</t>
  </si>
  <si>
    <t xml:space="preserve">2026-05-26 19:00:15</t>
  </si>
  <si>
    <t xml:space="preserve">2026-05-26 19:00:45</t>
  </si>
  <si>
    <t xml:space="preserve">2026-05-26 19:01:15</t>
  </si>
  <si>
    <t xml:space="preserve">2026-05-26 19:08:50</t>
  </si>
  <si>
    <t xml:space="preserve">2026-05-26 19:09:19</t>
  </si>
  <si>
    <t xml:space="preserve">2026-05-26 19:09:50</t>
  </si>
  <si>
    <t xml:space="preserve">2026-05-26 19:10:20</t>
  </si>
  <si>
    <t xml:space="preserve">2026-05-26 19:10:50</t>
  </si>
  <si>
    <t xml:space="preserve">2026-05-26 19:11:20</t>
  </si>
  <si>
    <t xml:space="preserve">2026-05-26 19:11:51</t>
  </si>
  <si>
    <t xml:space="preserve">NPK=0 (calentamiento); pH=9.0 fuera de rango</t>
  </si>
  <si>
    <t xml:space="preserve">2026-05-26 19:12:21</t>
  </si>
  <si>
    <t xml:space="preserve">2026-05-26 19:12:52</t>
  </si>
  <si>
    <t xml:space="preserve">2026-05-26 19:13:22</t>
  </si>
  <si>
    <t xml:space="preserve">2026-05-26 19:13:52</t>
  </si>
  <si>
    <t xml:space="preserve">2026-05-26 19:14:22</t>
  </si>
  <si>
    <t xml:space="preserve">2026-05-26 19:14:52</t>
  </si>
  <si>
    <t xml:space="preserve">2026-05-26 19:15:22</t>
  </si>
  <si>
    <t xml:space="preserve">2026-05-26 19:15:52</t>
  </si>
  <si>
    <t xml:space="preserve">2026-05-26 19:16:23</t>
  </si>
  <si>
    <t xml:space="preserve">2026-05-26 19:16:54</t>
  </si>
  <si>
    <t xml:space="preserve">2026-05-26 19:53:20</t>
  </si>
  <si>
    <t xml:space="preserve">2026-05-26 19:53:50</t>
  </si>
  <si>
    <t xml:space="preserve">NPK=0 (calentamiento); pH=3.0 fuera de rango</t>
  </si>
  <si>
    <t xml:space="preserve">2026-05-26 19:54:21</t>
  </si>
  <si>
    <t xml:space="preserve">2026-05-26 19:54:51</t>
  </si>
  <si>
    <t xml:space="preserve">2026-05-26 19:55:21</t>
  </si>
  <si>
    <t xml:space="preserve">2026-05-26 19:55:52</t>
  </si>
  <si>
    <t xml:space="preserve">2026-05-26 19:56:22</t>
  </si>
  <si>
    <t xml:space="preserve">2026-05-26 19:56:52</t>
  </si>
  <si>
    <t xml:space="preserve">2026-05-26 19:57:23</t>
  </si>
  <si>
    <t xml:space="preserve">2026-05-26 19:57:54</t>
  </si>
  <si>
    <t xml:space="preserve">2026-05-26 19:58:24</t>
  </si>
  <si>
    <t xml:space="preserve">2026-05-26 19:58:55</t>
  </si>
  <si>
    <t xml:space="preserve">2026-05-26 19:59:25</t>
  </si>
  <si>
    <t xml:space="preserve">2026-05-26 19:59:55</t>
  </si>
  <si>
    <t xml:space="preserve">2026-05-26 20:00:25</t>
  </si>
  <si>
    <t xml:space="preserve">2026-05-26 20:00:56</t>
  </si>
  <si>
    <t xml:space="preserve">2026-05-26 20:01:26</t>
  </si>
  <si>
    <t xml:space="preserve">2026-05-26 20:01:56</t>
  </si>
  <si>
    <t xml:space="preserve">2026-05-26 20:02:26</t>
  </si>
  <si>
    <t xml:space="preserve">2026-05-26 20:02:56</t>
  </si>
  <si>
    <t xml:space="preserve">2026-05-26 20:03:26</t>
  </si>
  <si>
    <t xml:space="preserve">2026-05-26 20:03:57</t>
  </si>
  <si>
    <t xml:space="preserve">2026-05-26 20:04:28</t>
  </si>
  <si>
    <t xml:space="preserve">2026-05-26 20:04:58</t>
  </si>
  <si>
    <t xml:space="preserve">2026-05-26 20:05:28</t>
  </si>
  <si>
    <t xml:space="preserve">2026-05-26 20:05:58</t>
  </si>
  <si>
    <t xml:space="preserve">2026-05-26 20:06:29</t>
  </si>
  <si>
    <t xml:space="preserve">2026-05-26 20:06:59</t>
  </si>
  <si>
    <t xml:space="preserve">2026-05-26 20:07:29</t>
  </si>
  <si>
    <t xml:space="preserve">2026-05-26 20:08:00</t>
  </si>
  <si>
    <t xml:space="preserve">2026-05-26 20:08:30</t>
  </si>
  <si>
    <t xml:space="preserve">2026-05-26 20:09:01</t>
  </si>
  <si>
    <t xml:space="preserve">2026-05-26 20:09:31</t>
  </si>
  <si>
    <t xml:space="preserve">2026-05-26 20:10:01</t>
  </si>
  <si>
    <t xml:space="preserve">2026-05-26 20:10:31</t>
  </si>
  <si>
    <t xml:space="preserve">2026-05-26 20:11:01</t>
  </si>
  <si>
    <t xml:space="preserve">2026-05-26 20:11:32</t>
  </si>
  <si>
    <t xml:space="preserve">2026-05-26 20:12:02</t>
  </si>
  <si>
    <t xml:space="preserve">2026-05-26 20:12:32</t>
  </si>
  <si>
    <t xml:space="preserve">2026-05-26 20:13:03</t>
  </si>
  <si>
    <t xml:space="preserve">2026-05-26 20:13:33</t>
  </si>
  <si>
    <t xml:space="preserve">2026-05-26 20:14:03</t>
  </si>
  <si>
    <t xml:space="preserve">2026-05-26 20:14:33</t>
  </si>
  <si>
    <t xml:space="preserve">2026-05-26 20:15:04</t>
  </si>
  <si>
    <t xml:space="preserve">2026-05-26 20:15:34</t>
  </si>
  <si>
    <t xml:space="preserve">2026-05-26 20:16:04</t>
  </si>
  <si>
    <t xml:space="preserve">2026-05-26 20:16:34</t>
  </si>
  <si>
    <t xml:space="preserve">2026-05-26 20:17:05</t>
  </si>
  <si>
    <t xml:space="preserve">2026-05-26 20:17:35</t>
  </si>
  <si>
    <t xml:space="preserve">2026-05-26 20:18:05</t>
  </si>
  <si>
    <t xml:space="preserve">2026-05-26 20:18:35</t>
  </si>
  <si>
    <t xml:space="preserve">2026-05-26 20:19:05</t>
  </si>
  <si>
    <t xml:space="preserve">2026-05-26 20:19:35</t>
  </si>
  <si>
    <t xml:space="preserve">2026-05-26 20:20:06</t>
  </si>
  <si>
    <t xml:space="preserve">2026-05-26 20:20:36</t>
  </si>
  <si>
    <t xml:space="preserve">2026-05-26 20:21:06</t>
  </si>
  <si>
    <t xml:space="preserve">2026-05-26 20:21:36</t>
  </si>
  <si>
    <t xml:space="preserve">2026-05-26 20:22:06</t>
  </si>
  <si>
    <t xml:space="preserve">2026-05-26 20:22:37</t>
  </si>
  <si>
    <t xml:space="preserve">2026-05-26 20:23:07</t>
  </si>
  <si>
    <t xml:space="preserve">2026-05-26 20:23:37</t>
  </si>
  <si>
    <t xml:space="preserve">2026-05-26 20:24:07</t>
  </si>
  <si>
    <t xml:space="preserve">2026-05-26 20:24:37</t>
  </si>
  <si>
    <t xml:space="preserve">2026-05-26 20:25:07</t>
  </si>
  <si>
    <t xml:space="preserve">2026-05-26 20:25:37</t>
  </si>
  <si>
    <t xml:space="preserve">2026-05-26 20:26:08</t>
  </si>
  <si>
    <t xml:space="preserve">2026-05-26 20:26:39</t>
  </si>
  <si>
    <t xml:space="preserve">2026-05-26 20:27:09</t>
  </si>
  <si>
    <t xml:space="preserve">2026-05-26 20:27:40</t>
  </si>
  <si>
    <t xml:space="preserve">2026-05-26 20:28:10</t>
  </si>
  <si>
    <t xml:space="preserve">2026-05-26 20:28:40</t>
  </si>
  <si>
    <t xml:space="preserve">2026-05-26 20:29:10</t>
  </si>
  <si>
    <t xml:space="preserve">2026-05-26 20:29:40</t>
  </si>
  <si>
    <t xml:space="preserve">2026-05-26 20:30:10</t>
  </si>
  <si>
    <t xml:space="preserve">2026-05-26 20:30:40</t>
  </si>
  <si>
    <t xml:space="preserve">2026-05-26 20:31:10</t>
  </si>
  <si>
    <t xml:space="preserve">2026-05-26 20:31:40</t>
  </si>
  <si>
    <t xml:space="preserve">2026-05-26 20:32:10</t>
  </si>
  <si>
    <t xml:space="preserve">2026-05-26 20:32:41</t>
  </si>
  <si>
    <t xml:space="preserve">2026-05-26 20:33:11</t>
  </si>
  <si>
    <t xml:space="preserve">2026-05-26 20:33:42</t>
  </si>
  <si>
    <t xml:space="preserve">2026-05-26 20:34:12</t>
  </si>
  <si>
    <t xml:space="preserve">2026-05-26 20:34:42</t>
  </si>
  <si>
    <t xml:space="preserve">2026-05-26 20:35:12</t>
  </si>
  <si>
    <t xml:space="preserve">2026-05-26 20:35:42</t>
  </si>
  <si>
    <t xml:space="preserve">2026-05-26 20:36:12</t>
  </si>
  <si>
    <t xml:space="preserve">2026-05-26 20:36:43</t>
  </si>
  <si>
    <t xml:space="preserve">2026-05-26 20:37:13</t>
  </si>
  <si>
    <t xml:space="preserve">2026-05-26 20:37:43</t>
  </si>
  <si>
    <t xml:space="preserve">2026-05-26 20:38:13</t>
  </si>
  <si>
    <t xml:space="preserve">2026-05-26 20:38:43</t>
  </si>
  <si>
    <t xml:space="preserve">2026-05-26 20:39:13</t>
  </si>
  <si>
    <t xml:space="preserve">2026-05-26 20:39:43</t>
  </si>
  <si>
    <t xml:space="preserve">2026-05-26 20:40:13</t>
  </si>
  <si>
    <t xml:space="preserve">2026-05-26 20:40:44</t>
  </si>
  <si>
    <t xml:space="preserve">2026-05-26 20:41:14</t>
  </si>
  <si>
    <t xml:space="preserve">2026-05-26 20:41:44</t>
  </si>
  <si>
    <t xml:space="preserve">2026-05-26 20:42:14</t>
  </si>
  <si>
    <t xml:space="preserve">2026-05-26 20:42:44</t>
  </si>
  <si>
    <t xml:space="preserve">2026-05-26 20:43:14</t>
  </si>
  <si>
    <t xml:space="preserve">2026-05-26 20:43:44</t>
  </si>
  <si>
    <t xml:space="preserve">2026-05-26 20:44:14</t>
  </si>
  <si>
    <t xml:space="preserve">2026-05-26 20:44:45</t>
  </si>
  <si>
    <t xml:space="preserve">2026-05-26 20:45:15</t>
  </si>
  <si>
    <t xml:space="preserve">2026-05-26 20:45:45</t>
  </si>
  <si>
    <t xml:space="preserve">2026-05-26 20:46:16</t>
  </si>
  <si>
    <t xml:space="preserve">2026-05-26 20:46:46</t>
  </si>
  <si>
    <t xml:space="preserve">2026-05-26 20:47:16</t>
  </si>
  <si>
    <t xml:space="preserve">2026-05-26 20:47:46</t>
  </si>
  <si>
    <t xml:space="preserve">2026-05-26 20:48:16</t>
  </si>
  <si>
    <t xml:space="preserve">2026-05-26 20:48:46</t>
  </si>
  <si>
    <t xml:space="preserve">2026-05-26 20:49:18</t>
  </si>
  <si>
    <t xml:space="preserve">2026-05-26 20:49:48</t>
  </si>
  <si>
    <t xml:space="preserve">2026-05-26 20:50:18</t>
  </si>
  <si>
    <t xml:space="preserve">2026-05-26 20:50:48</t>
  </si>
  <si>
    <t xml:space="preserve">2026-05-26 20:51:18</t>
  </si>
  <si>
    <t xml:space="preserve">2026-05-26 20:51:48</t>
  </si>
  <si>
    <t xml:space="preserve">2026-05-26 20:52:19</t>
  </si>
  <si>
    <t xml:space="preserve">2026-05-26 20:52:49</t>
  </si>
  <si>
    <t xml:space="preserve">2026-05-26 20:53:19</t>
  </si>
  <si>
    <t xml:space="preserve">2026-05-26 20:53:49</t>
  </si>
  <si>
    <t xml:space="preserve">2026-05-26 20:54:19</t>
  </si>
  <si>
    <t xml:space="preserve">2026-05-26 20:54:49</t>
  </si>
  <si>
    <t xml:space="preserve">2026-05-26 20:55:19</t>
  </si>
  <si>
    <t xml:space="preserve">2026-05-26 20:55:49</t>
  </si>
  <si>
    <t xml:space="preserve">2026-05-26 20:56:19</t>
  </si>
  <si>
    <t xml:space="preserve">2026-05-26 20:56:49</t>
  </si>
  <si>
    <t xml:space="preserve">2026-05-26 20:57:19</t>
  </si>
  <si>
    <t xml:space="preserve">2026-05-26 20:57:49</t>
  </si>
  <si>
    <t xml:space="preserve">2026-05-26 20:58:19</t>
  </si>
  <si>
    <t xml:space="preserve">2026-05-26 20:58:49</t>
  </si>
  <si>
    <t xml:space="preserve">2026-05-26 20:59:19</t>
  </si>
  <si>
    <t xml:space="preserve">2026-05-26 20:59:50</t>
  </si>
  <si>
    <t xml:space="preserve">2026-05-26 21:00:21</t>
  </si>
  <si>
    <t xml:space="preserve">2026-05-26 21:00:51</t>
  </si>
  <si>
    <t xml:space="preserve">2026-05-26 21:01:21</t>
  </si>
  <si>
    <t xml:space="preserve">2026-05-26 21:01:52</t>
  </si>
  <si>
    <t xml:space="preserve">2026-05-26 21:02:23</t>
  </si>
  <si>
    <t xml:space="preserve">2026-05-26 21:02:53</t>
  </si>
  <si>
    <t xml:space="preserve">2026-05-26 21:03:24</t>
  </si>
  <si>
    <t xml:space="preserve">2026-05-26 21:03:55</t>
  </si>
  <si>
    <t xml:space="preserve">2026-05-26 21:04:25</t>
  </si>
  <si>
    <t xml:space="preserve">2026-05-26 21:04:55</t>
  </si>
  <si>
    <t xml:space="preserve">2026-05-26 21:05:25</t>
  </si>
  <si>
    <t xml:space="preserve">2026-05-26 21:05:56</t>
  </si>
  <si>
    <t xml:space="preserve">2026-05-26 21:06:27</t>
  </si>
  <si>
    <t xml:space="preserve">2026-05-26 21:06:57</t>
  </si>
  <si>
    <t xml:space="preserve">2026-05-26 21:07:27</t>
  </si>
  <si>
    <t xml:space="preserve">2026-05-26 21:07:57</t>
  </si>
  <si>
    <t xml:space="preserve">2026-05-26 21:08:27</t>
  </si>
  <si>
    <t xml:space="preserve">2026-05-26 21:08:57</t>
  </si>
  <si>
    <t xml:space="preserve">2026-05-26 21:09:28</t>
  </si>
  <si>
    <t xml:space="preserve">2026-05-26 21:09:58</t>
  </si>
  <si>
    <t xml:space="preserve">2026-05-26 21:10:28</t>
  </si>
  <si>
    <t xml:space="preserve">2026-05-26 21:10:58</t>
  </si>
  <si>
    <t xml:space="preserve">2026-05-26 21:11:29</t>
  </si>
  <si>
    <t xml:space="preserve">2026-05-26 21:12:00</t>
  </si>
  <si>
    <t xml:space="preserve">2026-05-26 21:12:30</t>
  </si>
  <si>
    <t xml:space="preserve">2026-05-26 21:13:01</t>
  </si>
  <si>
    <t xml:space="preserve">2026-05-26 21:13:31</t>
  </si>
  <si>
    <t xml:space="preserve">2026-05-26 21:14:01</t>
  </si>
  <si>
    <t xml:space="preserve">2026-05-26 21:14:31</t>
  </si>
  <si>
    <t xml:space="preserve">2026-05-26 21:15:01</t>
  </si>
  <si>
    <t xml:space="preserve">2026-05-26 21:15:32</t>
  </si>
  <si>
    <t xml:space="preserve">2026-05-26 21:16:02</t>
  </si>
  <si>
    <t xml:space="preserve">2026-05-26 21:16:32</t>
  </si>
  <si>
    <t xml:space="preserve">2026-05-26 21:17:02</t>
  </si>
  <si>
    <t xml:space="preserve">2026-05-26 21:17:32</t>
  </si>
  <si>
    <t xml:space="preserve">2026-05-26 21:18:03</t>
  </si>
  <si>
    <t xml:space="preserve">2026-05-26 21:18:33</t>
  </si>
  <si>
    <t xml:space="preserve">2026-05-26 21:19:03</t>
  </si>
  <si>
    <t xml:space="preserve">2026-05-26 21:19:33</t>
  </si>
  <si>
    <t xml:space="preserve">2026-05-26 21:20:04</t>
  </si>
  <si>
    <t xml:space="preserve">2026-05-26 21:20:34</t>
  </si>
  <si>
    <t xml:space="preserve">2026-05-26 21:21:04</t>
  </si>
  <si>
    <t xml:space="preserve">2026-05-26 21:21:34</t>
  </si>
  <si>
    <t xml:space="preserve">2026-05-26 21:22:05</t>
  </si>
  <si>
    <t xml:space="preserve">2026-05-26 21:22:35</t>
  </si>
  <si>
    <t xml:space="preserve">2026-05-26 21:23:06</t>
  </si>
  <si>
    <t xml:space="preserve">2026-05-26 21:23:36</t>
  </si>
  <si>
    <t xml:space="preserve">2026-05-26 21:24:07</t>
  </si>
  <si>
    <t xml:space="preserve">2026-05-26 21:24:37</t>
  </si>
  <si>
    <t xml:space="preserve">2026-05-26 21:25:07</t>
  </si>
  <si>
    <t xml:space="preserve">2026-05-26 21:25:38</t>
  </si>
  <si>
    <t xml:space="preserve">2026-05-26 21:26:08</t>
  </si>
  <si>
    <t xml:space="preserve">2026-05-26 21:26:39</t>
  </si>
  <si>
    <t xml:space="preserve">2026-05-26 21:27:09</t>
  </si>
  <si>
    <t xml:space="preserve">2026-05-26 21:27:39</t>
  </si>
  <si>
    <t xml:space="preserve">2026-05-26 21:28:10</t>
  </si>
  <si>
    <t xml:space="preserve">2026-05-26 21:28:41</t>
  </si>
  <si>
    <t xml:space="preserve">2026-05-26 21:29:11</t>
  </si>
  <si>
    <t xml:space="preserve">2026-05-26 21:29:41</t>
  </si>
  <si>
    <t xml:space="preserve">2026-05-26 21:30:11</t>
  </si>
  <si>
    <t xml:space="preserve">2026-05-26 21:30:42</t>
  </si>
  <si>
    <t xml:space="preserve">2026-05-26 21:31:12</t>
  </si>
  <si>
    <t xml:space="preserve">Resumen: 349 lecturas totales | NPK inválidas: 180 (51.6%) | pH inválidos: 11 (3.2%)</t>
  </si>
  <si>
    <t xml:space="preserve">periodo_4 — Ref 7en1: 87.56% ± 0.129 | 27.7 min | 8 timestamps eliminados (arranque)</t>
  </si>
  <si>
    <t xml:space="preserve">2026-05-26 20:43:45</t>
  </si>
  <si>
    <t xml:space="preserve">2026-05-26 20:43:46</t>
  </si>
  <si>
    <t xml:space="preserve">2026-05-26 20:44:15</t>
  </si>
  <si>
    <t xml:space="preserve">2026-05-26 20:44:16</t>
  </si>
  <si>
    <t xml:space="preserve">2026-05-26 20:44:46</t>
  </si>
  <si>
    <t xml:space="preserve">2026-05-26 20:45:16</t>
  </si>
  <si>
    <t xml:space="preserve">2026-05-26 20:45:46</t>
  </si>
  <si>
    <t xml:space="preserve">2026-05-26 20:45:47</t>
  </si>
  <si>
    <t xml:space="preserve">2026-05-26 20:46:17</t>
  </si>
  <si>
    <t xml:space="preserve">2026-05-26 20:46:47</t>
  </si>
  <si>
    <t xml:space="preserve">2026-05-26 20:47:17</t>
  </si>
  <si>
    <t xml:space="preserve">2026-05-26 20:47:18</t>
  </si>
  <si>
    <t xml:space="preserve">2026-05-26 20:47:47</t>
  </si>
  <si>
    <t xml:space="preserve">2026-05-26 20:47:49</t>
  </si>
  <si>
    <t xml:space="preserve">2026-05-26 20:47:50</t>
  </si>
  <si>
    <t xml:space="preserve">2026-05-26 20:48:17</t>
  </si>
  <si>
    <t xml:space="preserve">2026-05-26 20:48:18</t>
  </si>
  <si>
    <t xml:space="preserve">2026-05-26 20:48:19</t>
  </si>
  <si>
    <t xml:space="preserve">2026-05-26 20:48:47</t>
  </si>
  <si>
    <t xml:space="preserve">2026-05-26 20:48:48</t>
  </si>
  <si>
    <t xml:space="preserve">2026-05-26 20:48:49</t>
  </si>
  <si>
    <t xml:space="preserve">2026-05-26 20:49:19</t>
  </si>
  <si>
    <t xml:space="preserve">2026-05-26 20:49:20</t>
  </si>
  <si>
    <t xml:space="preserve">2026-05-26 20:49:49</t>
  </si>
  <si>
    <t xml:space="preserve">2026-05-26 20:50:19</t>
  </si>
  <si>
    <t xml:space="preserve">2026-05-26 20:50:20</t>
  </si>
  <si>
    <t xml:space="preserve">2026-05-26 20:50:49</t>
  </si>
  <si>
    <t xml:space="preserve">2026-05-26 20:50:50</t>
  </si>
  <si>
    <t xml:space="preserve">2026-05-26 20:51:19</t>
  </si>
  <si>
    <t xml:space="preserve">2026-05-26 20:51:20</t>
  </si>
  <si>
    <t xml:space="preserve">2026-05-26 20:51:49</t>
  </si>
  <si>
    <t xml:space="preserve">2026-05-26 20:51:50</t>
  </si>
  <si>
    <t xml:space="preserve">2026-05-26 20:52:20</t>
  </si>
  <si>
    <t xml:space="preserve">2026-05-26 20:52:50</t>
  </si>
  <si>
    <t xml:space="preserve">2026-05-26 20:53:20</t>
  </si>
  <si>
    <t xml:space="preserve">2026-05-26 20:53:50</t>
  </si>
  <si>
    <t xml:space="preserve">2026-05-26 20:54:20</t>
  </si>
  <si>
    <t xml:space="preserve">2026-05-26 20:54:50</t>
  </si>
  <si>
    <t xml:space="preserve">2026-05-26 20:55:20</t>
  </si>
  <si>
    <t xml:space="preserve">2026-05-26 20:55:50</t>
  </si>
  <si>
    <t xml:space="preserve">2026-05-26 20:56:20</t>
  </si>
  <si>
    <t xml:space="preserve">2026-05-26 20:56:50</t>
  </si>
  <si>
    <t xml:space="preserve">2026-05-26 20:57:22</t>
  </si>
  <si>
    <t xml:space="preserve">2026-05-26 20:57:23</t>
  </si>
  <si>
    <t xml:space="preserve">2026-05-26 20:57:50</t>
  </si>
  <si>
    <t xml:space="preserve">2026-05-26 20:57:51</t>
  </si>
  <si>
    <t xml:space="preserve">2026-05-26 20:58:20</t>
  </si>
  <si>
    <t xml:space="preserve">2026-05-26 20:58:21</t>
  </si>
  <si>
    <t xml:space="preserve">2026-05-26 20:58:50</t>
  </si>
  <si>
    <t xml:space="preserve">2026-05-26 20:58:51</t>
  </si>
  <si>
    <t xml:space="preserve">2026-05-26 20:59:20</t>
  </si>
  <si>
    <t xml:space="preserve">2026-05-26 20:59:21</t>
  </si>
  <si>
    <t xml:space="preserve">2026-05-26 20:59:51</t>
  </si>
  <si>
    <t xml:space="preserve">2026-05-26 20:59:52</t>
  </si>
  <si>
    <t xml:space="preserve">2026-05-26 21:00:22</t>
  </si>
  <si>
    <t xml:space="preserve">2026-05-26 21:00:23</t>
  </si>
  <si>
    <t xml:space="preserve">2026-05-26 21:00:52</t>
  </si>
  <si>
    <t xml:space="preserve">2026-05-26 21:00:53</t>
  </si>
  <si>
    <t xml:space="preserve">2026-05-26 21:01:22</t>
  </si>
  <si>
    <t xml:space="preserve">2026-05-26 21:01:23</t>
  </si>
  <si>
    <t xml:space="preserve">2026-05-26 21:01:53</t>
  </si>
  <si>
    <t xml:space="preserve">2026-05-26 21:01:54</t>
  </si>
  <si>
    <t xml:space="preserve">2026-05-26 21:02:24</t>
  </si>
  <si>
    <t xml:space="preserve">2026-05-26 21:02:25</t>
  </si>
  <si>
    <t xml:space="preserve">2026-05-26 21:02:54</t>
  </si>
  <si>
    <t xml:space="preserve">2026-05-26 21:02:55</t>
  </si>
  <si>
    <t xml:space="preserve">2026-05-26 21:02:56</t>
  </si>
  <si>
    <t xml:space="preserve">2026-05-26 21:03:25</t>
  </si>
  <si>
    <t xml:space="preserve">2026-05-26 21:03:26</t>
  </si>
  <si>
    <t xml:space="preserve">2026-05-26 21:03:56</t>
  </si>
  <si>
    <t xml:space="preserve">2026-05-26 21:03:57</t>
  </si>
  <si>
    <t xml:space="preserve">2026-05-26 21:04:26</t>
  </si>
  <si>
    <t xml:space="preserve">2026-05-26 21:04:56</t>
  </si>
  <si>
    <t xml:space="preserve">2026-05-26 21:04:57</t>
  </si>
  <si>
    <t xml:space="preserve">2026-05-26 21:05:26</t>
  </si>
  <si>
    <t xml:space="preserve">2026-05-26 21:05:27</t>
  </si>
  <si>
    <t xml:space="preserve">2026-05-26 21:05:57</t>
  </si>
  <si>
    <t xml:space="preserve">2026-05-26 21:05:58</t>
  </si>
  <si>
    <t xml:space="preserve">2026-05-26 21:06:28</t>
  </si>
  <si>
    <t xml:space="preserve">2026-05-26 21:06:58</t>
  </si>
  <si>
    <t xml:space="preserve">2026-05-26 21:07:28</t>
  </si>
  <si>
    <t xml:space="preserve">2026-05-26 21:07:58</t>
  </si>
  <si>
    <t xml:space="preserve">2026-05-26 21:08:28</t>
  </si>
  <si>
    <t xml:space="preserve">2026-05-26 21:08:58</t>
  </si>
  <si>
    <t xml:space="preserve">periodo_5 — Ref 7en1: 100.0% ± 0.0 | 18.2 min</t>
  </si>
  <si>
    <t xml:space="preserve">2026-05-26 21:13:02</t>
  </si>
  <si>
    <t xml:space="preserve">2026-05-26 21:13:32</t>
  </si>
  <si>
    <t xml:space="preserve">2026-05-26 21:13:33</t>
  </si>
  <si>
    <t xml:space="preserve">2026-05-26 21:14:02</t>
  </si>
  <si>
    <t xml:space="preserve">2026-05-26 21:14:03</t>
  </si>
  <si>
    <t xml:space="preserve">2026-05-26 21:14:32</t>
  </si>
  <si>
    <t xml:space="preserve">2026-05-26 21:14:33</t>
  </si>
  <si>
    <t xml:space="preserve">2026-05-26 21:15:02</t>
  </si>
  <si>
    <t xml:space="preserve">2026-05-26 21:15:03</t>
  </si>
  <si>
    <t xml:space="preserve">2026-05-26 21:15:33</t>
  </si>
  <si>
    <t xml:space="preserve">2026-05-26 21:16:03</t>
  </si>
  <si>
    <t xml:space="preserve">2026-05-26 21:16:33</t>
  </si>
  <si>
    <t xml:space="preserve">2026-05-26 21:17:03</t>
  </si>
  <si>
    <t xml:space="preserve">2026-05-26 21:17:04</t>
  </si>
  <si>
    <t xml:space="preserve">2026-05-26 21:17:33</t>
  </si>
  <si>
    <t xml:space="preserve">2026-05-26 21:17:34</t>
  </si>
  <si>
    <t xml:space="preserve">2026-05-26 21:18:04</t>
  </si>
  <si>
    <t xml:space="preserve">2026-05-26 21:18:34</t>
  </si>
  <si>
    <t xml:space="preserve">2026-05-26 21:18:35</t>
  </si>
  <si>
    <t xml:space="preserve">2026-05-26 21:19:04</t>
  </si>
  <si>
    <t xml:space="preserve">2026-05-26 21:19:05</t>
  </si>
  <si>
    <t xml:space="preserve">2026-05-26 21:19:34</t>
  </si>
  <si>
    <t xml:space="preserve">2026-05-26 21:19:35</t>
  </si>
  <si>
    <t xml:space="preserve">2026-05-26 21:20:05</t>
  </si>
  <si>
    <t xml:space="preserve">2026-05-26 21:20:06</t>
  </si>
  <si>
    <t xml:space="preserve">2026-05-26 21:20:35</t>
  </si>
  <si>
    <t xml:space="preserve">2026-05-26 21:20:36</t>
  </si>
  <si>
    <t xml:space="preserve">2026-05-26 21:21:05</t>
  </si>
  <si>
    <t xml:space="preserve">2026-05-26 21:21:06</t>
  </si>
  <si>
    <t xml:space="preserve">2026-05-26 21:21:07</t>
  </si>
  <si>
    <t xml:space="preserve">2026-05-26 21:21:35</t>
  </si>
  <si>
    <t xml:space="preserve">2026-05-26 21:21:36</t>
  </si>
  <si>
    <t xml:space="preserve">2026-05-26 21:22:06</t>
  </si>
  <si>
    <t xml:space="preserve">2026-05-26 21:22:36</t>
  </si>
  <si>
    <t xml:space="preserve">2026-05-26 21:22:37</t>
  </si>
  <si>
    <t xml:space="preserve">2026-05-26 21:23:07</t>
  </si>
  <si>
    <t xml:space="preserve">2026-05-26 21:23:08</t>
  </si>
  <si>
    <t xml:space="preserve">2026-05-26 21:23:37</t>
  </si>
  <si>
    <t xml:space="preserve">2026-05-26 21:23:38</t>
  </si>
  <si>
    <t xml:space="preserve">2026-05-26 21:24:08</t>
  </si>
  <si>
    <t xml:space="preserve">2026-05-26 21:24:38</t>
  </si>
  <si>
    <t xml:space="preserve">2026-05-26 21:24:39</t>
  </si>
  <si>
    <t xml:space="preserve">2026-05-26 21:25:08</t>
  </si>
  <si>
    <t xml:space="preserve">2026-05-26 21:25:09</t>
  </si>
  <si>
    <t xml:space="preserve">2026-05-26 21:25:39</t>
  </si>
  <si>
    <t xml:space="preserve">2026-05-26 21:26:09</t>
  </si>
  <si>
    <t xml:space="preserve">2026-05-26 21:26:10</t>
  </si>
  <si>
    <t xml:space="preserve">2026-05-26 21:26:40</t>
  </si>
  <si>
    <t xml:space="preserve">2026-05-26 21:27:10</t>
  </si>
  <si>
    <t xml:space="preserve">2026-05-26 21:27:11</t>
  </si>
  <si>
    <t xml:space="preserve">2026-05-26 21:27:40</t>
  </si>
  <si>
    <t xml:space="preserve">2026-05-26 21:27:41</t>
  </si>
  <si>
    <t xml:space="preserve">2026-05-26 21:27:42</t>
  </si>
  <si>
    <t xml:space="preserve">2026-05-26 21:28:11</t>
  </si>
  <si>
    <t xml:space="preserve">2026-05-26 21:28:12</t>
  </si>
  <si>
    <t xml:space="preserve">2026-05-26 21:28:42</t>
  </si>
  <si>
    <t xml:space="preserve">2026-05-26 21:29:12</t>
  </si>
  <si>
    <t xml:space="preserve">2026-05-26 21:29:42</t>
  </si>
  <si>
    <t xml:space="preserve">2026-05-26 21:30:12</t>
  </si>
  <si>
    <t xml:space="preserve">2026-05-26 21:30:13</t>
  </si>
  <si>
    <t xml:space="preserve">2026-05-26 21:30:43</t>
  </si>
  <si>
    <t xml:space="preserve">RAW promedio por sensor y período de calibración (sin lecturas saturadas ni arranque)</t>
  </si>
  <si>
    <t xml:space="preserve">Período</t>
  </si>
  <si>
    <t xml:space="preserve">Hum. ref 7en1 (%)</t>
  </si>
  <si>
    <t xml:space="preserve">m-adc-32
RAW medio</t>
  </si>
  <si>
    <t xml:space="preserve">m-adc-32
RAW std</t>
  </si>
  <si>
    <t xml:space="preserve">m-adc-34
RAW medio</t>
  </si>
  <si>
    <t xml:space="preserve">m-adc-34
RAW std</t>
  </si>
  <si>
    <t xml:space="preserve">m-adc-35
RAW medio</t>
  </si>
  <si>
    <t xml:space="preserve">m-adc-35
RAW std</t>
  </si>
  <si>
    <t xml:space="preserve">m-adc-36
RAW medio</t>
  </si>
  <si>
    <t xml:space="preserve">m-adc-36
RAW std</t>
  </si>
  <si>
    <t xml:space="preserve">m-adc-39
RAW medio</t>
  </si>
  <si>
    <t xml:space="preserve">m-adc-39
RAW std</t>
  </si>
  <si>
    <t xml:space="preserve">P2 (8.2%)</t>
  </si>
  <si>
    <t xml:space="preserve">P1 (16.2%)</t>
  </si>
  <si>
    <t xml:space="preserve">P3 (58.4%)</t>
  </si>
  <si>
    <t xml:space="preserve">P4 (87.6%)</t>
  </si>
  <si>
    <t xml:space="preserve">P5 (100%)</t>
  </si>
  <si>
    <t xml:space="preserve">Celdas en naranja: esos sensores tuvieron lecturas saturadas (RAW=4095) en ese período, que fueron excluidas del promedio. Los valores siguen siendo válidos pero con menor cantidad de muestras.</t>
  </si>
  <si>
    <t xml:space="preserve">Evaluación de calidad de sensores (ajuste cuadrático)</t>
  </si>
  <si>
    <t xml:space="preserve">Sensor</t>
  </si>
  <si>
    <t xml:space="preserve">R² cuad.</t>
  </si>
  <si>
    <t xml:space="preserve">MAE (%)</t>
  </si>
  <si>
    <t xml:space="preserve">Rango din.</t>
  </si>
  <si>
    <t xml:space="preserve">Saturación</t>
  </si>
  <si>
    <t xml:space="preserve">Veredicto</t>
  </si>
  <si>
    <t xml:space="preserve">Ecuación calibración recomendada (cuadrática: implementar en firmware)</t>
  </si>
  <si>
    <t xml:space="preserve">1.8%</t>
  </si>
  <si>
    <t xml:space="preserve">42.8%</t>
  </si>
  <si>
    <t xml:space="preserve">Ninguna</t>
  </si>
  <si>
    <t xml:space="preserve">Excelente</t>
  </si>
  <si>
    <t xml:space="preserve">hum = f(RAW²) — R²=0.997, error máx ±2.1%</t>
  </si>
  <si>
    <t xml:space="preserve">3.8%</t>
  </si>
  <si>
    <t xml:space="preserve">46.0%</t>
  </si>
  <si>
    <t xml:space="preserve">Muy bueno</t>
  </si>
  <si>
    <t xml:space="preserve">hum = f(RAW²) — R²=0.986, error máx ±6.5%</t>
  </si>
  <si>
    <t xml:space="preserve">4.1%</t>
  </si>
  <si>
    <t xml:space="preserve">27.2%</t>
  </si>
  <si>
    <t xml:space="preserve">P2 y P4</t>
  </si>
  <si>
    <t xml:space="preserve">Aceptable</t>
  </si>
  <si>
    <t xml:space="preserve">hum = f(RAW²) — R²=0.981, error máx ±9.5%</t>
  </si>
  <si>
    <t xml:space="preserve">2.5%</t>
  </si>
  <si>
    <t xml:space="preserve">24.6%</t>
  </si>
  <si>
    <t xml:space="preserve">hum = f(RAW²) — R²=0.993, error máx ±5.9%</t>
  </si>
  <si>
    <t xml:space="preserve">5.1%</t>
  </si>
  <si>
    <t xml:space="preserve">26.8%</t>
  </si>
  <si>
    <t xml:space="preserve">Revisar</t>
  </si>
  <si>
    <t xml:space="preserve">hum = f(RAW²) — R²=0.971, error máx ±12.0% (zona media)</t>
  </si>
  <si>
    <t xml:space="preserve">periodo_1 — Ref 7en1: 16.21% ± 0.03 | 41.9 min</t>
  </si>
  <si>
    <t xml:space="preserve">2026-05-26 18:28:25</t>
  </si>
  <si>
    <t xml:space="preserve">2026-05-26 18:28:26</t>
  </si>
  <si>
    <t xml:space="preserve">2026-05-26 18:28:55</t>
  </si>
  <si>
    <t xml:space="preserve">2026-05-26 18:28:56</t>
  </si>
  <si>
    <t xml:space="preserve">2026-05-26 18:29:26</t>
  </si>
  <si>
    <t xml:space="preserve">2026-05-26 18:29:56</t>
  </si>
  <si>
    <t xml:space="preserve">2026-05-26 18:29:57</t>
  </si>
  <si>
    <t xml:space="preserve">2026-05-26 18:29:58</t>
  </si>
  <si>
    <t xml:space="preserve">2026-05-26 18:30:26</t>
  </si>
  <si>
    <t xml:space="preserve">2026-05-26 18:30:27</t>
  </si>
  <si>
    <t xml:space="preserve">2026-05-26 18:30:57</t>
  </si>
  <si>
    <t xml:space="preserve">2026-05-26 18:31:27</t>
  </si>
  <si>
    <t xml:space="preserve">2026-05-26 18:31:28</t>
  </si>
  <si>
    <t xml:space="preserve">2026-05-26 18:31:58</t>
  </si>
  <si>
    <t xml:space="preserve">2026-05-26 18:31:59</t>
  </si>
  <si>
    <t xml:space="preserve">2026-05-26 18:32:00</t>
  </si>
  <si>
    <t xml:space="preserve">2026-05-26 18:32:28</t>
  </si>
  <si>
    <t xml:space="preserve">2026-05-26 18:32:29</t>
  </si>
  <si>
    <t xml:space="preserve">2026-05-26 18:32:59</t>
  </si>
  <si>
    <t xml:space="preserve">2026-05-26 18:33:29</t>
  </si>
  <si>
    <t xml:space="preserve">2026-05-26 18:33:30</t>
  </si>
  <si>
    <t xml:space="preserve">2026-05-26 18:34:00</t>
  </si>
  <si>
    <t xml:space="preserve">2026-05-26 18:34:01</t>
  </si>
  <si>
    <t xml:space="preserve">2026-05-26 18:34:31</t>
  </si>
  <si>
    <t xml:space="preserve">2026-05-26 18:35:01</t>
  </si>
  <si>
    <t xml:space="preserve">2026-05-26 18:35:02</t>
  </si>
  <si>
    <t xml:space="preserve">2026-05-26 18:35:31</t>
  </si>
  <si>
    <t xml:space="preserve">2026-05-26 18:35:32</t>
  </si>
  <si>
    <t xml:space="preserve">2026-05-26 18:36:02</t>
  </si>
  <si>
    <t xml:space="preserve">2026-05-26 18:36:32</t>
  </si>
  <si>
    <t xml:space="preserve">2026-05-26 18:36:33</t>
  </si>
  <si>
    <t xml:space="preserve">2026-05-26 18:37:02</t>
  </si>
  <si>
    <t xml:space="preserve">2026-05-26 18:37:03</t>
  </si>
  <si>
    <t xml:space="preserve">2026-05-26 18:37:33</t>
  </si>
  <si>
    <t xml:space="preserve">2026-05-26 18:38:03</t>
  </si>
  <si>
    <t xml:space="preserve">2026-05-26 18:38:04</t>
  </si>
  <si>
    <t xml:space="preserve">2026-05-26 18:38:34</t>
  </si>
  <si>
    <t xml:space="preserve">2026-05-26 18:39:04</t>
  </si>
  <si>
    <t xml:space="preserve">2026-05-26 18:39:05</t>
  </si>
  <si>
    <t xml:space="preserve">2026-05-26 18:39:34</t>
  </si>
  <si>
    <t xml:space="preserve">2026-05-26 18:39:35</t>
  </si>
  <si>
    <t xml:space="preserve">2026-05-26 18:40:04</t>
  </si>
  <si>
    <t xml:space="preserve">2026-05-26 18:40:05</t>
  </si>
  <si>
    <t xml:space="preserve">2026-05-26 18:40:34</t>
  </si>
  <si>
    <t xml:space="preserve">2026-05-26 18:40:35</t>
  </si>
  <si>
    <t xml:space="preserve">2026-05-26 18:41:05</t>
  </si>
  <si>
    <t xml:space="preserve">2026-05-26 18:41:06</t>
  </si>
  <si>
    <t xml:space="preserve">2026-05-26 18:41:35</t>
  </si>
  <si>
    <t xml:space="preserve">2026-05-26 18:41:36</t>
  </si>
  <si>
    <t xml:space="preserve">2026-05-26 18:42:05</t>
  </si>
  <si>
    <t xml:space="preserve">2026-05-26 18:42:06</t>
  </si>
  <si>
    <t xml:space="preserve">2026-05-26 18:42:36</t>
  </si>
  <si>
    <t xml:space="preserve">2026-05-26 18:42:37</t>
  </si>
  <si>
    <t xml:space="preserve">2026-05-26 18:43:06</t>
  </si>
  <si>
    <t xml:space="preserve">2026-05-26 18:43:36</t>
  </si>
  <si>
    <t xml:space="preserve">2026-05-26 18:44:06</t>
  </si>
  <si>
    <t xml:space="preserve">2026-05-26 18:44:36</t>
  </si>
  <si>
    <t xml:space="preserve">2026-05-26 18:45:06</t>
  </si>
  <si>
    <t xml:space="preserve">2026-05-26 18:45:07</t>
  </si>
  <si>
    <t xml:space="preserve">2026-05-26 18:45:37</t>
  </si>
  <si>
    <t xml:space="preserve">2026-05-26 18:46:07</t>
  </si>
  <si>
    <t xml:space="preserve">2026-05-26 18:46:08</t>
  </si>
  <si>
    <t xml:space="preserve">2026-05-26 18:46:38</t>
  </si>
  <si>
    <t xml:space="preserve">2026-05-26 18:47:08</t>
  </si>
  <si>
    <t xml:space="preserve">2026-05-26 18:47:38</t>
  </si>
  <si>
    <t xml:space="preserve">2026-05-26 18:47:39</t>
  </si>
  <si>
    <t xml:space="preserve">2026-05-26 18:48:08</t>
  </si>
  <si>
    <t xml:space="preserve">2026-05-26 18:48:38</t>
  </si>
  <si>
    <t xml:space="preserve">2026-05-26 18:49:08</t>
  </si>
  <si>
    <t xml:space="preserve">2026-05-26 18:49:09</t>
  </si>
  <si>
    <t xml:space="preserve">2026-05-26 18:49:38</t>
  </si>
  <si>
    <t xml:space="preserve">2026-05-26 18:50:08</t>
  </si>
  <si>
    <t xml:space="preserve">2026-05-26 18:50:09</t>
  </si>
  <si>
    <t xml:space="preserve">2026-05-26 18:50:38</t>
  </si>
  <si>
    <t xml:space="preserve">2026-05-26 18:50:39</t>
  </si>
  <si>
    <t xml:space="preserve">2026-05-26 18:51:08</t>
  </si>
  <si>
    <t xml:space="preserve">2026-05-26 18:51:09</t>
  </si>
  <si>
    <t xml:space="preserve">2026-05-26 18:51:39</t>
  </si>
  <si>
    <t xml:space="preserve">2026-05-26 18:52:09</t>
  </si>
  <si>
    <t xml:space="preserve">2026-05-26 18:52:10</t>
  </si>
  <si>
    <t xml:space="preserve">2026-05-26 18:52:39</t>
  </si>
  <si>
    <t xml:space="preserve">2026-05-26 18:52:40</t>
  </si>
  <si>
    <t xml:space="preserve">2026-05-26 18:53:10</t>
  </si>
  <si>
    <t xml:space="preserve">2026-05-26 18:53:40</t>
  </si>
  <si>
    <t xml:space="preserve">2026-05-26 18:53:41</t>
  </si>
  <si>
    <t xml:space="preserve">2026-05-26 18:54:10</t>
  </si>
  <si>
    <t xml:space="preserve">2026-05-26 18:54:11</t>
  </si>
  <si>
    <t xml:space="preserve">2026-05-26 18:54:12</t>
  </si>
  <si>
    <t xml:space="preserve">2026-05-26 18:54:41</t>
  </si>
  <si>
    <t xml:space="preserve">2026-05-26 18:54:42</t>
  </si>
  <si>
    <t xml:space="preserve">2026-05-26 18:55:12</t>
  </si>
  <si>
    <t xml:space="preserve">2026-05-26 18:55:13</t>
  </si>
  <si>
    <t xml:space="preserve">2026-05-26 18:55:43</t>
  </si>
  <si>
    <t xml:space="preserve">2026-05-26 18:55:44</t>
  </si>
  <si>
    <t xml:space="preserve">2026-05-26 18:56:13</t>
  </si>
  <si>
    <t xml:space="preserve">2026-05-26 18:56:14</t>
  </si>
  <si>
    <t xml:space="preserve">2026-05-26 18:56:15</t>
  </si>
  <si>
    <t xml:space="preserve">2026-05-26 18:56:43</t>
  </si>
  <si>
    <t xml:space="preserve">2026-05-26 18:56:44</t>
  </si>
  <si>
    <t xml:space="preserve">2026-05-26 18:57:13</t>
  </si>
  <si>
    <t xml:space="preserve">2026-05-26 18:57:14</t>
  </si>
  <si>
    <t xml:space="preserve">2026-05-26 18:57:44</t>
  </si>
  <si>
    <t xml:space="preserve">2026-05-26 18:58:14</t>
  </si>
  <si>
    <t xml:space="preserve">2026-05-26 18:58:15</t>
  </si>
  <si>
    <t xml:space="preserve">2026-05-26 18:58:44</t>
  </si>
  <si>
    <t xml:space="preserve">2026-05-26 18:58:45</t>
  </si>
  <si>
    <t xml:space="preserve">2026-05-26 18:59:15</t>
  </si>
  <si>
    <t xml:space="preserve">2026-05-26 18:59:16</t>
  </si>
  <si>
    <t xml:space="preserve">2026-05-26 18:59:45</t>
  </si>
  <si>
    <t xml:space="preserve">2026-05-26 18:59:46</t>
  </si>
  <si>
    <t xml:space="preserve">2026-05-26 19:00:16</t>
  </si>
  <si>
    <t xml:space="preserve">2026-05-26 19:00:18</t>
  </si>
  <si>
    <t xml:space="preserve">2026-05-26 19:00:46</t>
  </si>
  <si>
    <t xml:space="preserve">2026-05-26 19:01:16</t>
  </si>
  <si>
    <t xml:space="preserve">2026-05-26 19:01:17</t>
  </si>
  <si>
    <t xml:space="preserve">2026-05-26 19:08:51</t>
  </si>
  <si>
    <t xml:space="preserve">2026-05-26 19:08:52</t>
  </si>
  <si>
    <t xml:space="preserve">2026-05-26 19:09:20</t>
  </si>
  <si>
    <t xml:space="preserve">2026-05-26 19:09:21</t>
  </si>
  <si>
    <t xml:space="preserve">2026-05-26 19:09:51</t>
  </si>
  <si>
    <t xml:space="preserve">TABLA DE CALIBRACIÓN — RAW promedio por sensor y período (timestamps con RAW=4095 excluidos en bloque)</t>
  </si>
  <si>
    <t xml:space="preserve">Hum. ref
7en1 (%)</t>
  </si>
  <si>
    <t xml:space="preserve">Duración
(min)</t>
  </si>
  <si>
    <t xml:space="preserve">Hum. 7en1
(%)</t>
  </si>
  <si>
    <t xml:space="preserve">RAW medio</t>
  </si>
  <si>
    <t xml:space="preserve">RAW std</t>
  </si>
  <si>
    <t xml:space="preserve">N lecturas</t>
  </si>
  <si>
    <t xml:space="preserve">TS elim.</t>
  </si>
  <si>
    <t xml:space="preserve">periodo_1</t>
  </si>
  <si>
    <t xml:space="preserve">-</t>
  </si>
  <si>
    <t xml:space="preserve">periodo_2</t>
  </si>
  <si>
    <t xml:space="preserve">periodo_3</t>
  </si>
  <si>
    <t xml:space="preserve">periodo_4</t>
  </si>
  <si>
    <t xml:space="preserve">periodo_5</t>
  </si>
  <si>
    <t xml:space="preserve">Método: se eliminaron en bloque todos los timestamps donde cualquier sensor registró RAW=4095. Los valores resultantes son 100% válidos sin saturación.</t>
  </si>
  <si>
    <t xml:space="preserve">periodo_3 — Ref 7en1: 58.42% ± 0.085 | 31.8 min | 1 timestamps eliminados (arranque)</t>
  </si>
  <si>
    <t xml:space="preserve">2026-05-26 20:04:59</t>
  </si>
  <si>
    <t xml:space="preserve">2026-05-26 20:05:00</t>
  </si>
  <si>
    <t xml:space="preserve">2026-05-26 20:05:01</t>
  </si>
  <si>
    <t xml:space="preserve">2026-05-26 20:05:29</t>
  </si>
  <si>
    <t xml:space="preserve">2026-05-26 20:05:30</t>
  </si>
  <si>
    <t xml:space="preserve">2026-05-26 20:05:31</t>
  </si>
  <si>
    <t xml:space="preserve">2026-05-26 20:05:59</t>
  </si>
  <si>
    <t xml:space="preserve">2026-05-26 20:06:00</t>
  </si>
  <si>
    <t xml:space="preserve">2026-05-26 20:06:30</t>
  </si>
  <si>
    <t xml:space="preserve">2026-05-26 20:07:00</t>
  </si>
  <si>
    <t xml:space="preserve">2026-05-26 20:07:01</t>
  </si>
  <si>
    <t xml:space="preserve">2026-05-26 20:07:30</t>
  </si>
  <si>
    <t xml:space="preserve">2026-05-26 20:07:31</t>
  </si>
  <si>
    <t xml:space="preserve">2026-05-26 20:08:01</t>
  </si>
  <si>
    <t xml:space="preserve">2026-05-26 20:08:31</t>
  </si>
  <si>
    <t xml:space="preserve">2026-05-26 20:09:02</t>
  </si>
  <si>
    <t xml:space="preserve">2026-05-26 20:09:03</t>
  </si>
  <si>
    <t xml:space="preserve">2026-05-26 20:09:04</t>
  </si>
  <si>
    <t xml:space="preserve">2026-05-26 20:09:32</t>
  </si>
  <si>
    <t xml:space="preserve">2026-05-26 20:10:02</t>
  </si>
  <si>
    <t xml:space="preserve">2026-05-26 20:10:04</t>
  </si>
  <si>
    <t xml:space="preserve">2026-05-26 20:10:05</t>
  </si>
  <si>
    <t xml:space="preserve">2026-05-26 20:10:32</t>
  </si>
  <si>
    <t xml:space="preserve">2026-05-26 20:10:33</t>
  </si>
  <si>
    <t xml:space="preserve">2026-05-26 20:11:02</t>
  </si>
  <si>
    <t xml:space="preserve">2026-05-26 20:11:03</t>
  </si>
  <si>
    <t xml:space="preserve">2026-05-26 20:11:33</t>
  </si>
  <si>
    <t xml:space="preserve">2026-05-26 20:12:03</t>
  </si>
  <si>
    <t xml:space="preserve">2026-05-26 20:12:04</t>
  </si>
  <si>
    <t xml:space="preserve">2026-05-26 20:12:33</t>
  </si>
  <si>
    <t xml:space="preserve">2026-05-26 20:12:34</t>
  </si>
  <si>
    <t xml:space="preserve">2026-05-26 20:13:04</t>
  </si>
  <si>
    <t xml:space="preserve">2026-05-26 20:13:36</t>
  </si>
  <si>
    <t xml:space="preserve">2026-05-26 20:13:37</t>
  </si>
  <si>
    <t xml:space="preserve">2026-05-26 20:14:04</t>
  </si>
  <si>
    <t xml:space="preserve">2026-05-26 20:14:34</t>
  </si>
  <si>
    <t xml:space="preserve">2026-05-26 20:14:35</t>
  </si>
  <si>
    <t xml:space="preserve">2026-05-26 20:15:05</t>
  </si>
  <si>
    <t xml:space="preserve">2026-05-26 20:15:06</t>
  </si>
  <si>
    <t xml:space="preserve">2026-05-26 20:15:36</t>
  </si>
  <si>
    <t xml:space="preserve">2026-05-26 20:15:37</t>
  </si>
  <si>
    <t xml:space="preserve">2026-05-26 20:16:05</t>
  </si>
  <si>
    <t xml:space="preserve">2026-05-26 20:16:06</t>
  </si>
  <si>
    <t xml:space="preserve">2026-05-26 20:16:07</t>
  </si>
  <si>
    <t xml:space="preserve">2026-05-26 20:16:35</t>
  </si>
  <si>
    <t xml:space="preserve">2026-05-26 20:16:36</t>
  </si>
  <si>
    <t xml:space="preserve">2026-05-26 20:17:06</t>
  </si>
  <si>
    <t xml:space="preserve">2026-05-26 20:17:36</t>
  </si>
  <si>
    <t xml:space="preserve">2026-05-26 20:18:06</t>
  </si>
  <si>
    <t xml:space="preserve">2026-05-26 20:18:07</t>
  </si>
  <si>
    <t xml:space="preserve">2026-05-26 20:18:36</t>
  </si>
  <si>
    <t xml:space="preserve">2026-05-26 20:19:06</t>
  </si>
  <si>
    <t xml:space="preserve">2026-05-26 20:19:36</t>
  </si>
  <si>
    <t xml:space="preserve">2026-05-26 20:19:37</t>
  </si>
  <si>
    <t xml:space="preserve">2026-05-26 20:20:07</t>
  </si>
  <si>
    <t xml:space="preserve">2026-05-26 20:20:37</t>
  </si>
  <si>
    <t xml:space="preserve">2026-05-26 20:20:38</t>
  </si>
  <si>
    <t xml:space="preserve">2026-05-26 20:21:07</t>
  </si>
  <si>
    <t xml:space="preserve">2026-05-26 20:21:08</t>
  </si>
  <si>
    <t xml:space="preserve">2026-05-26 20:21:37</t>
  </si>
  <si>
    <t xml:space="preserve">2026-05-26 20:21:38</t>
  </si>
  <si>
    <t xml:space="preserve">2026-05-26 20:22:07</t>
  </si>
  <si>
    <t xml:space="preserve">2026-05-26 20:22:08</t>
  </si>
  <si>
    <t xml:space="preserve">2026-05-26 20:22:38</t>
  </si>
  <si>
    <t xml:space="preserve">2026-05-26 20:23:08</t>
  </si>
  <si>
    <t xml:space="preserve">2026-05-26 20:23:38</t>
  </si>
  <si>
    <t xml:space="preserve">2026-05-26 20:24:08</t>
  </si>
  <si>
    <t xml:space="preserve">2026-05-26 20:24:38</t>
  </si>
  <si>
    <t xml:space="preserve">2026-05-26 20:25:08</t>
  </si>
  <si>
    <t xml:space="preserve">2026-05-26 20:25:38</t>
  </si>
  <si>
    <t xml:space="preserve">2026-05-26 20:25:39</t>
  </si>
  <si>
    <t xml:space="preserve">2026-05-26 20:25:40</t>
  </si>
  <si>
    <t xml:space="preserve">2026-05-26 20:26:09</t>
  </si>
  <si>
    <t xml:space="preserve">2026-05-26 20:26:10</t>
  </si>
  <si>
    <t xml:space="preserve">2026-05-26 20:26:40</t>
  </si>
  <si>
    <t xml:space="preserve">2026-05-26 20:27:10</t>
  </si>
  <si>
    <t xml:space="preserve">2026-05-26 20:27:11</t>
  </si>
  <si>
    <t xml:space="preserve">2026-05-26 20:27:41</t>
  </si>
  <si>
    <t xml:space="preserve">2026-05-26 20:28:11</t>
  </si>
  <si>
    <t xml:space="preserve">2026-05-26 20:28:41</t>
  </si>
  <si>
    <t xml:space="preserve">2026-05-26 20:29:11</t>
  </si>
  <si>
    <t xml:space="preserve">2026-05-26 20:29:12</t>
  </si>
  <si>
    <t xml:space="preserve">2026-05-26 20:29:41</t>
  </si>
  <si>
    <t xml:space="preserve">2026-05-26 20:30:11</t>
  </si>
  <si>
    <t xml:space="preserve">2026-05-26 20:30:12</t>
  </si>
  <si>
    <t xml:space="preserve">2026-05-26 20:30:41</t>
  </si>
  <si>
    <t xml:space="preserve">2026-05-26 20:30:42</t>
  </si>
  <si>
    <t xml:space="preserve">2026-05-26 20:31:11</t>
  </si>
  <si>
    <t xml:space="preserve">2026-05-26 20:31:12</t>
  </si>
  <si>
    <t xml:space="preserve">2026-05-26 20:31:13</t>
  </si>
  <si>
    <t xml:space="preserve">2026-05-26 20:31:41</t>
  </si>
  <si>
    <t xml:space="preserve">2026-05-26 20:32:11</t>
  </si>
  <si>
    <t xml:space="preserve">2026-05-26 20:32:12</t>
  </si>
  <si>
    <t xml:space="preserve">2026-05-26 20:32:42</t>
  </si>
  <si>
    <t xml:space="preserve">2026-05-26 20:32:43</t>
  </si>
  <si>
    <t xml:space="preserve">2026-05-26 20:33:12</t>
  </si>
  <si>
    <t xml:space="preserve">2026-05-26 20:33:13</t>
  </si>
  <si>
    <t xml:space="preserve">2026-05-26 20:33:43</t>
  </si>
  <si>
    <t xml:space="preserve">2026-05-26 20:34:13</t>
  </si>
  <si>
    <t xml:space="preserve">2026-05-26 20:34:43</t>
  </si>
  <si>
    <t xml:space="preserve">2026-05-26 20:35:13</t>
  </si>
  <si>
    <t xml:space="preserve">2026-05-26 20:35:14</t>
  </si>
  <si>
    <t xml:space="preserve">2026-05-26 20:35:43</t>
  </si>
  <si>
    <t xml:space="preserve">2026-05-26 20:35:44</t>
  </si>
  <si>
    <t xml:space="preserve">2026-05-26 20:36:13</t>
  </si>
  <si>
    <t xml:space="preserve">2026-05-26 20:36:14</t>
  </si>
  <si>
    <t xml:space="preserve">Sensor 7en1 — promedios por período (sustrato constante, humedad variable)</t>
  </si>
  <si>
    <t xml:space="preserve">Hum. (%)</t>
  </si>
  <si>
    <t xml:space="preserve">Temp. (°C)</t>
  </si>
  <si>
    <t xml:space="preserve">N (mg/kg)</t>
  </si>
  <si>
    <t xml:space="preserve">P (mg/kg)</t>
  </si>
  <si>
    <t xml:space="preserve">K (mg/kg)</t>
  </si>
  <si>
    <t xml:space="preserve">—</t>
  </si>
  <si>
    <t xml:space="preserve">NPK sin datos (sensor frío)</t>
  </si>
  <si>
    <t xml:space="preserve">N=0: bajo umbral de detección</t>
  </si>
  <si>
    <t xml:space="preserve">Primeros valores NPK válidos</t>
  </si>
  <si>
    <t xml:space="preserve">Máxima movilización iónica</t>
  </si>
  <si>
    <t xml:space="preserve">Interpretación — efecto de la humedad sobre los parámetros (sustrato constante)</t>
  </si>
  <si>
    <t xml:space="preserve">Parámetro</t>
  </si>
  <si>
    <t xml:space="preserve">Tendencia observada</t>
  </si>
  <si>
    <t xml:space="preserve">Explicación</t>
  </si>
  <si>
    <t xml:space="preserve">EC (conductividad)</t>
  </si>
  <si>
    <t xml:space="preserve">Sube con la humedad</t>
  </si>
  <si>
    <t xml:space="preserve">Mayor agua disponible = más iones en solución = mayor conductividad. No indica más nutrientes.</t>
  </si>
  <si>
    <t xml:space="preserve">N, P, K (nutrientes)</t>
  </si>
  <si>
    <t xml:space="preserve">Suben con la humedad</t>
  </si>
  <si>
    <t xml:space="preserve">Efecto de movilización: el agua libera iones retenidos. Para comparar entre mediciones, medir siempre a la misma humedad.</t>
  </si>
  <si>
    <t xml:space="preserve">N (nitrógeno)</t>
  </si>
  <si>
    <t xml:space="preserve">Solo detectable &gt;87%</t>
  </si>
  <si>
    <t xml:space="preserve">Este sensor no detecta N a humedad media. Puede ser límite del sensor o baja concentración de N disponible.</t>
  </si>
  <si>
    <t xml:space="preserve">Baja levemente con hum.</t>
  </si>
  <si>
    <t xml:space="preserve">Agua disuelve CO₂ y ácidos orgánicos → leve acidificación. Rango 5.0–5.6, coherente con sustrato orgánico.</t>
  </si>
  <si>
    <t xml:space="preserve">Temperatura</t>
  </si>
  <si>
    <t xml:space="preserve">Sin tendencia</t>
  </si>
  <si>
    <t xml:space="preserve">Fluctúa 13.0–13.9°C sin patrón. Confirma que el sustrato fue constante en todos los períodos.</t>
  </si>
  <si>
    <t xml:space="preserve">RECOMENDACIÓN: Para comparar valores de nutrientes entre distintas fechas o muestras, definir un punto de muestreo estándar de humedad (sugerido: 55–65%). Sin esta estandarización, los valores de NPK y EC no son comparables.</t>
  </si>
  <si>
    <t xml:space="preserve">sensor </t>
  </si>
  <si>
    <t xml:space="preserve">2113</t>
  </si>
  <si>
    <t xml:space="preserve">2081</t>
  </si>
  <si>
    <t xml:space="preserve">2085</t>
  </si>
  <si>
    <t xml:space="preserve">2157</t>
  </si>
  <si>
    <t xml:space="preserve">2244</t>
  </si>
  <si>
    <t xml:space="preserve">Mean</t>
  </si>
  <si>
    <t xml:space="preserve">Standard Error</t>
  </si>
  <si>
    <t xml:space="preserve">Mode</t>
  </si>
  <si>
    <t xml:space="preserve">Median</t>
  </si>
  <si>
    <t xml:space="preserve">First Quartile</t>
  </si>
  <si>
    <t xml:space="preserve">Third Quartile</t>
  </si>
  <si>
    <t xml:space="preserve">Variance</t>
  </si>
  <si>
    <t xml:space="preserve">Standard Deviation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</si>
  <si>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</si>
  <si>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</si>
  <si>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</si>
  <si>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</si>
  <si>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</si>
  <si>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</si>
  <si>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</si>
  <si>
    <t xml:space="preserve">reference</t>
  </si>
  <si>
    <t xml:space="preserve">Raw values</t>
  </si>
  <si>
    <t xml:space="preserve">Adjusted measurement </t>
  </si>
  <si>
    <t xml:space="preserve">Absolute procentual error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</si>
</sst>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:mm:ss"/>
    <numFmt numFmtId="166" formatCode="0.0"/>
    <numFmt numFmtId="167" formatCode="0.00"/>
    <numFmt numFmtId="168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i val="true"/>
      <sz val="10"/>
      <color rgb="FF4A4A4A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9"/>
      <color rgb="FF7D6608"/>
      <name val="Arial"/>
      <family val="0"/>
      <charset val="1"/>
    </font>
    <font>
      <b val="true"/>
      <sz val="10"/>
      <name val="Cambria"/>
      <family val="0"/>
      <charset val="1"/>
    </font>
    <font>
      <i val="true"/>
      <sz val="10"/>
      <color rgb="FF1A5276"/>
      <name val="Cambria"/>
      <family val="0"/>
      <charset val="1"/>
    </font>
    <font>
      <b val="true"/>
      <i val="true"/>
      <sz val="10"/>
      <color rgb="FF1A5276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C5282"/>
        <bgColor rgb="FF1A5276"/>
      </patternFill>
    </fill>
    <fill>
      <patternFill patternType="solid">
        <fgColor rgb="FF2C3E50"/>
        <bgColor rgb="FF4A4A4A"/>
      </patternFill>
    </fill>
    <fill>
      <patternFill patternType="solid">
        <fgColor rgb="FF5D6D7E"/>
        <bgColor rgb="FF808080"/>
      </patternFill>
    </fill>
    <fill>
      <patternFill patternType="solid">
        <fgColor rgb="FFF8F9FA"/>
        <bgColor rgb="FFF4F6F7"/>
      </patternFill>
    </fill>
    <fill>
      <patternFill patternType="solid">
        <fgColor rgb="FF1A252F"/>
        <bgColor rgb="FF222222"/>
      </patternFill>
    </fill>
    <fill>
      <patternFill patternType="solid">
        <fgColor rgb="FFFADBD8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EBF5FB"/>
        <bgColor rgb="FFF4F6F7"/>
      </patternFill>
    </fill>
    <fill>
      <patternFill patternType="solid">
        <fgColor rgb="FFF4F6F7"/>
        <bgColor rgb="FFF8F9FA"/>
      </patternFill>
    </fill>
    <fill>
      <patternFill patternType="solid">
        <fgColor rgb="FFFDEBD0"/>
        <bgColor rgb="FFFADBD8"/>
      </patternFill>
    </fill>
    <fill>
      <patternFill patternType="solid">
        <fgColor rgb="FFFFFFFF"/>
        <bgColor rgb="FFF8F9FA"/>
      </patternFill>
    </fill>
    <fill>
      <patternFill patternType="solid">
        <fgColor rgb="FFD6EAF8"/>
        <bgColor rgb="FFD5F5E3"/>
      </patternFill>
    </fill>
    <fill>
      <patternFill patternType="solid">
        <fgColor rgb="FFEEEEEE"/>
        <bgColor rgb="FFEBF5FB"/>
      </patternFill>
    </fill>
    <fill>
      <patternFill patternType="solid">
        <fgColor rgb="FFB2B2B2"/>
        <bgColor rgb="FFB3B3B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B2B2B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222222"/>
      <rgbColor rgb="FF7D6608"/>
      <rgbColor rgb="FF800080"/>
      <rgbColor rgb="FF008080"/>
      <rgbColor rgb="FFCCCCCC"/>
      <rgbColor rgb="FF808080"/>
      <rgbColor rgb="FF729FCF"/>
      <rgbColor rgb="FF4A4A4A"/>
      <rgbColor rgb="FFFDEBD0"/>
      <rgbColor rgb="FFD6EAF8"/>
      <rgbColor rgb="FF660066"/>
      <rgbColor rgb="FFFF7B59"/>
      <rgbColor rgb="FF1A5276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EEEEEE"/>
      <rgbColor rgb="FFF4F6F7"/>
      <rgbColor rgb="FFF8F9FA"/>
      <rgbColor rgb="FFCC99FF"/>
      <rgbColor rgb="FFFADBD8"/>
      <rgbColor rgb="FF3366FF"/>
      <rgbColor rgb="FF33CCCC"/>
      <rgbColor rgb="FF81D41A"/>
      <rgbColor rgb="FFFFD320"/>
      <rgbColor rgb="FFFF9900"/>
      <rgbColor rgb="FFFF420E"/>
      <rgbColor rgb="FF5D6D7E"/>
      <rgbColor rgb="FFB2B2B2"/>
      <rgbColor rgb="FF004586"/>
      <rgbColor rgb="FF579D1C"/>
      <rgbColor rgb="FF1A252F"/>
      <rgbColor rgb="FF4B2204"/>
      <rgbColor rgb="FF993300"/>
      <rgbColor rgb="FF993366"/>
      <rgbColor rgb="FF2C5282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completa!$B$2:$B$2</c:f>
              <c:strCache>
                <c:ptCount val="1"/>
                <c:pt idx="0">
                  <c:v>m-adc-35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completa!$B$3:$B$180</c:f>
              <c:numCache>
                <c:formatCode>General</c:formatCode>
                <c:ptCount val="178"/>
                <c:pt idx="0">
                  <c:v>1297</c:v>
                </c:pt>
                <c:pt idx="1">
                  <c:v>1270</c:v>
                </c:pt>
                <c:pt idx="2">
                  <c:v>1261</c:v>
                </c:pt>
                <c:pt idx="3">
                  <c:v>1296</c:v>
                </c:pt>
                <c:pt idx="4">
                  <c:v>1264</c:v>
                </c:pt>
                <c:pt idx="5">
                  <c:v>1262</c:v>
                </c:pt>
                <c:pt idx="6">
                  <c:v>1275</c:v>
                </c:pt>
                <c:pt idx="7">
                  <c:v>1557</c:v>
                </c:pt>
                <c:pt idx="8">
                  <c:v>1291</c:v>
                </c:pt>
                <c:pt idx="9">
                  <c:v>1278</c:v>
                </c:pt>
                <c:pt idx="10">
                  <c:v>1285</c:v>
                </c:pt>
                <c:pt idx="11">
                  <c:v>1567</c:v>
                </c:pt>
                <c:pt idx="12">
                  <c:v>1281</c:v>
                </c:pt>
                <c:pt idx="13">
                  <c:v>1281</c:v>
                </c:pt>
                <c:pt idx="14">
                  <c:v>1287</c:v>
                </c:pt>
                <c:pt idx="15">
                  <c:v>1534</c:v>
                </c:pt>
                <c:pt idx="16">
                  <c:v>1264</c:v>
                </c:pt>
                <c:pt idx="17">
                  <c:v>1284</c:v>
                </c:pt>
                <c:pt idx="18">
                  <c:v>1264</c:v>
                </c:pt>
                <c:pt idx="19">
                  <c:v>1535</c:v>
                </c:pt>
                <c:pt idx="20">
                  <c:v>1264</c:v>
                </c:pt>
                <c:pt idx="21">
                  <c:v>1281</c:v>
                </c:pt>
                <c:pt idx="22">
                  <c:v>1280</c:v>
                </c:pt>
                <c:pt idx="23">
                  <c:v>1275</c:v>
                </c:pt>
                <c:pt idx="24">
                  <c:v>1238</c:v>
                </c:pt>
                <c:pt idx="25">
                  <c:v>1584</c:v>
                </c:pt>
                <c:pt idx="26">
                  <c:v>1250</c:v>
                </c:pt>
                <c:pt idx="27">
                  <c:v>1291</c:v>
                </c:pt>
                <c:pt idx="28">
                  <c:v>1257</c:v>
                </c:pt>
                <c:pt idx="29">
                  <c:v>1292</c:v>
                </c:pt>
                <c:pt idx="30">
                  <c:v>1587</c:v>
                </c:pt>
                <c:pt idx="31">
                  <c:v>1273</c:v>
                </c:pt>
                <c:pt idx="32">
                  <c:v>1243</c:v>
                </c:pt>
                <c:pt idx="33">
                  <c:v>1277</c:v>
                </c:pt>
                <c:pt idx="34">
                  <c:v>1291</c:v>
                </c:pt>
                <c:pt idx="35">
                  <c:v>1309</c:v>
                </c:pt>
                <c:pt idx="36">
                  <c:v>1571</c:v>
                </c:pt>
                <c:pt idx="37">
                  <c:v>1584</c:v>
                </c:pt>
                <c:pt idx="38">
                  <c:v>1270</c:v>
                </c:pt>
                <c:pt idx="39">
                  <c:v>1280</c:v>
                </c:pt>
                <c:pt idx="40">
                  <c:v>1535</c:v>
                </c:pt>
                <c:pt idx="41">
                  <c:v>1265</c:v>
                </c:pt>
                <c:pt idx="42">
                  <c:v>1258</c:v>
                </c:pt>
                <c:pt idx="43">
                  <c:v>1535</c:v>
                </c:pt>
                <c:pt idx="44">
                  <c:v>1271</c:v>
                </c:pt>
                <c:pt idx="45">
                  <c:v>1276</c:v>
                </c:pt>
                <c:pt idx="46">
                  <c:v>1266</c:v>
                </c:pt>
                <c:pt idx="47">
                  <c:v>1264</c:v>
                </c:pt>
                <c:pt idx="48">
                  <c:v>1255</c:v>
                </c:pt>
                <c:pt idx="49">
                  <c:v>1535</c:v>
                </c:pt>
                <c:pt idx="50">
                  <c:v>1252</c:v>
                </c:pt>
                <c:pt idx="51">
                  <c:v>1273</c:v>
                </c:pt>
                <c:pt idx="52">
                  <c:v>1555</c:v>
                </c:pt>
                <c:pt idx="53">
                  <c:v>1274</c:v>
                </c:pt>
                <c:pt idx="54">
                  <c:v>1586</c:v>
                </c:pt>
                <c:pt idx="55">
                  <c:v>1535</c:v>
                </c:pt>
                <c:pt idx="56">
                  <c:v>1613</c:v>
                </c:pt>
                <c:pt idx="57">
                  <c:v>1562</c:v>
                </c:pt>
                <c:pt idx="58">
                  <c:v>1535</c:v>
                </c:pt>
                <c:pt idx="59">
                  <c:v>1535</c:v>
                </c:pt>
                <c:pt idx="60">
                  <c:v>1535</c:v>
                </c:pt>
                <c:pt idx="61">
                  <c:v>1535</c:v>
                </c:pt>
                <c:pt idx="62">
                  <c:v>1570</c:v>
                </c:pt>
                <c:pt idx="63">
                  <c:v>1554</c:v>
                </c:pt>
                <c:pt idx="64">
                  <c:v>1557</c:v>
                </c:pt>
                <c:pt idx="65">
                  <c:v>1535</c:v>
                </c:pt>
                <c:pt idx="66">
                  <c:v>1535</c:v>
                </c:pt>
                <c:pt idx="67">
                  <c:v>1565</c:v>
                </c:pt>
                <c:pt idx="68">
                  <c:v>1570</c:v>
                </c:pt>
                <c:pt idx="69">
                  <c:v>1552</c:v>
                </c:pt>
                <c:pt idx="70">
                  <c:v>1552</c:v>
                </c:pt>
                <c:pt idx="71">
                  <c:v>1527</c:v>
                </c:pt>
                <c:pt idx="72">
                  <c:v>1552</c:v>
                </c:pt>
                <c:pt idx="73">
                  <c:v>1569</c:v>
                </c:pt>
                <c:pt idx="74">
                  <c:v>1581</c:v>
                </c:pt>
                <c:pt idx="75">
                  <c:v>1535</c:v>
                </c:pt>
                <c:pt idx="76">
                  <c:v>1535</c:v>
                </c:pt>
                <c:pt idx="77">
                  <c:v>1535</c:v>
                </c:pt>
                <c:pt idx="78">
                  <c:v>1569</c:v>
                </c:pt>
                <c:pt idx="79">
                  <c:v>1530</c:v>
                </c:pt>
                <c:pt idx="80">
                  <c:v>1571</c:v>
                </c:pt>
                <c:pt idx="81">
                  <c:v>1557</c:v>
                </c:pt>
                <c:pt idx="82">
                  <c:v>1581</c:v>
                </c:pt>
                <c:pt idx="83">
                  <c:v>1535</c:v>
                </c:pt>
                <c:pt idx="84">
                  <c:v>1573</c:v>
                </c:pt>
                <c:pt idx="85">
                  <c:v>1563</c:v>
                </c:pt>
                <c:pt idx="86">
                  <c:v>1587</c:v>
                </c:pt>
                <c:pt idx="87">
                  <c:v>1559</c:v>
                </c:pt>
                <c:pt idx="88">
                  <c:v>1556</c:v>
                </c:pt>
                <c:pt idx="89">
                  <c:v>1571</c:v>
                </c:pt>
                <c:pt idx="90">
                  <c:v>1563</c:v>
                </c:pt>
                <c:pt idx="91">
                  <c:v>1534</c:v>
                </c:pt>
                <c:pt idx="92">
                  <c:v>1559</c:v>
                </c:pt>
                <c:pt idx="93">
                  <c:v>1598</c:v>
                </c:pt>
                <c:pt idx="94">
                  <c:v>1535</c:v>
                </c:pt>
                <c:pt idx="95">
                  <c:v>1509</c:v>
                </c:pt>
                <c:pt idx="96">
                  <c:v>1565</c:v>
                </c:pt>
                <c:pt idx="97">
                  <c:v>2126</c:v>
                </c:pt>
                <c:pt idx="98">
                  <c:v>2217</c:v>
                </c:pt>
                <c:pt idx="99">
                  <c:v>2125</c:v>
                </c:pt>
                <c:pt idx="100">
                  <c:v>2132</c:v>
                </c:pt>
                <c:pt idx="101">
                  <c:v>2126</c:v>
                </c:pt>
                <c:pt idx="102">
                  <c:v>2064</c:v>
                </c:pt>
                <c:pt idx="103">
                  <c:v>2119</c:v>
                </c:pt>
                <c:pt idx="104">
                  <c:v>2101</c:v>
                </c:pt>
                <c:pt idx="105">
                  <c:v>2170</c:v>
                </c:pt>
                <c:pt idx="106">
                  <c:v>2126</c:v>
                </c:pt>
                <c:pt idx="107">
                  <c:v>2122</c:v>
                </c:pt>
                <c:pt idx="108">
                  <c:v>2128</c:v>
                </c:pt>
                <c:pt idx="109">
                  <c:v>2119</c:v>
                </c:pt>
                <c:pt idx="110">
                  <c:v>2117</c:v>
                </c:pt>
                <c:pt idx="111">
                  <c:v>2116</c:v>
                </c:pt>
                <c:pt idx="112">
                  <c:v>2125</c:v>
                </c:pt>
                <c:pt idx="113">
                  <c:v>2117</c:v>
                </c:pt>
                <c:pt idx="114">
                  <c:v>2127</c:v>
                </c:pt>
                <c:pt idx="115">
                  <c:v>2118</c:v>
                </c:pt>
                <c:pt idx="116">
                  <c:v>2125</c:v>
                </c:pt>
                <c:pt idx="117">
                  <c:v>2101</c:v>
                </c:pt>
                <c:pt idx="118">
                  <c:v>2116</c:v>
                </c:pt>
                <c:pt idx="119">
                  <c:v>2102</c:v>
                </c:pt>
                <c:pt idx="120">
                  <c:v>2125</c:v>
                </c:pt>
                <c:pt idx="121">
                  <c:v>2096</c:v>
                </c:pt>
                <c:pt idx="122">
                  <c:v>2124</c:v>
                </c:pt>
                <c:pt idx="123">
                  <c:v>2112</c:v>
                </c:pt>
                <c:pt idx="124">
                  <c:v>2118</c:v>
                </c:pt>
                <c:pt idx="125">
                  <c:v>2123</c:v>
                </c:pt>
                <c:pt idx="126">
                  <c:v>2129</c:v>
                </c:pt>
                <c:pt idx="127">
                  <c:v>2116</c:v>
                </c:pt>
                <c:pt idx="128">
                  <c:v>2122</c:v>
                </c:pt>
                <c:pt idx="129">
                  <c:v>2112</c:v>
                </c:pt>
                <c:pt idx="130">
                  <c:v>2100</c:v>
                </c:pt>
                <c:pt idx="131">
                  <c:v>2125</c:v>
                </c:pt>
                <c:pt idx="132">
                  <c:v>2096</c:v>
                </c:pt>
                <c:pt idx="133">
                  <c:v>2126</c:v>
                </c:pt>
                <c:pt idx="134">
                  <c:v>2102</c:v>
                </c:pt>
                <c:pt idx="135">
                  <c:v>2124</c:v>
                </c:pt>
                <c:pt idx="136">
                  <c:v>2119</c:v>
                </c:pt>
                <c:pt idx="137">
                  <c:v>2112</c:v>
                </c:pt>
                <c:pt idx="138">
                  <c:v>2112</c:v>
                </c:pt>
                <c:pt idx="139">
                  <c:v>2123</c:v>
                </c:pt>
                <c:pt idx="140">
                  <c:v>2085</c:v>
                </c:pt>
                <c:pt idx="141">
                  <c:v>2129</c:v>
                </c:pt>
                <c:pt idx="142">
                  <c:v>2128</c:v>
                </c:pt>
                <c:pt idx="143">
                  <c:v>2111</c:v>
                </c:pt>
                <c:pt idx="144">
                  <c:v>2121</c:v>
                </c:pt>
                <c:pt idx="145">
                  <c:v>2128</c:v>
                </c:pt>
                <c:pt idx="146">
                  <c:v>2121</c:v>
                </c:pt>
                <c:pt idx="147">
                  <c:v>2119</c:v>
                </c:pt>
                <c:pt idx="148">
                  <c:v>2119</c:v>
                </c:pt>
                <c:pt idx="149">
                  <c:v>2121</c:v>
                </c:pt>
                <c:pt idx="150">
                  <c:v>2121</c:v>
                </c:pt>
                <c:pt idx="151">
                  <c:v>2101</c:v>
                </c:pt>
                <c:pt idx="152">
                  <c:v>2130</c:v>
                </c:pt>
                <c:pt idx="153">
                  <c:v>2101</c:v>
                </c:pt>
                <c:pt idx="154">
                  <c:v>2111</c:v>
                </c:pt>
                <c:pt idx="155">
                  <c:v>2112</c:v>
                </c:pt>
                <c:pt idx="156">
                  <c:v>2112</c:v>
                </c:pt>
                <c:pt idx="157">
                  <c:v>1296</c:v>
                </c:pt>
                <c:pt idx="158">
                  <c:v>1255</c:v>
                </c:pt>
                <c:pt idx="159">
                  <c:v>1284</c:v>
                </c:pt>
                <c:pt idx="160">
                  <c:v>1264</c:v>
                </c:pt>
                <c:pt idx="161">
                  <c:v>1286</c:v>
                </c:pt>
                <c:pt idx="162">
                  <c:v>1268</c:v>
                </c:pt>
                <c:pt idx="163">
                  <c:v>1535</c:v>
                </c:pt>
                <c:pt idx="164">
                  <c:v>1579</c:v>
                </c:pt>
                <c:pt idx="165">
                  <c:v>1535</c:v>
                </c:pt>
                <c:pt idx="166">
                  <c:v>1565</c:v>
                </c:pt>
                <c:pt idx="167">
                  <c:v>1584</c:v>
                </c:pt>
                <c:pt idx="168">
                  <c:v>1535</c:v>
                </c:pt>
                <c:pt idx="169">
                  <c:v>1513</c:v>
                </c:pt>
                <c:pt idx="170">
                  <c:v>2111</c:v>
                </c:pt>
                <c:pt idx="171">
                  <c:v>2103</c:v>
                </c:pt>
                <c:pt idx="172">
                  <c:v>2128</c:v>
                </c:pt>
                <c:pt idx="173">
                  <c:v>2126</c:v>
                </c:pt>
                <c:pt idx="174">
                  <c:v>2178</c:v>
                </c:pt>
                <c:pt idx="175">
                  <c:v>2113</c:v>
                </c:pt>
                <c:pt idx="176">
                  <c:v>2134</c:v>
                </c:pt>
                <c:pt idx="177">
                  <c:v>2129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completa!$C$2:$C$2</c:f>
              <c:strCache>
                <c:ptCount val="1"/>
                <c:pt idx="0">
                  <c:v>m-adc-32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completa!$C$3:$C$180</c:f>
              <c:numCache>
                <c:formatCode>General</c:formatCode>
                <c:ptCount val="178"/>
                <c:pt idx="0">
                  <c:v>1200</c:v>
                </c:pt>
                <c:pt idx="1">
                  <c:v>1253</c:v>
                </c:pt>
                <c:pt idx="2">
                  <c:v>1231</c:v>
                </c:pt>
                <c:pt idx="3">
                  <c:v>1197</c:v>
                </c:pt>
                <c:pt idx="4">
                  <c:v>1197</c:v>
                </c:pt>
                <c:pt idx="5">
                  <c:v>1161</c:v>
                </c:pt>
                <c:pt idx="6">
                  <c:v>1200</c:v>
                </c:pt>
                <c:pt idx="7">
                  <c:v>1372</c:v>
                </c:pt>
                <c:pt idx="8">
                  <c:v>1197</c:v>
                </c:pt>
                <c:pt idx="9">
                  <c:v>1200</c:v>
                </c:pt>
                <c:pt idx="10">
                  <c:v>1200</c:v>
                </c:pt>
                <c:pt idx="11">
                  <c:v>1367</c:v>
                </c:pt>
                <c:pt idx="12">
                  <c:v>1197</c:v>
                </c:pt>
                <c:pt idx="13">
                  <c:v>1153</c:v>
                </c:pt>
                <c:pt idx="14">
                  <c:v>1198</c:v>
                </c:pt>
                <c:pt idx="15">
                  <c:v>1355</c:v>
                </c:pt>
                <c:pt idx="16">
                  <c:v>1190</c:v>
                </c:pt>
                <c:pt idx="17">
                  <c:v>1201</c:v>
                </c:pt>
                <c:pt idx="18">
                  <c:v>1189</c:v>
                </c:pt>
                <c:pt idx="19">
                  <c:v>1367</c:v>
                </c:pt>
                <c:pt idx="20">
                  <c:v>1182</c:v>
                </c:pt>
                <c:pt idx="21">
                  <c:v>1174</c:v>
                </c:pt>
                <c:pt idx="22">
                  <c:v>1179</c:v>
                </c:pt>
                <c:pt idx="23">
                  <c:v>1198</c:v>
                </c:pt>
                <c:pt idx="24">
                  <c:v>1273</c:v>
                </c:pt>
                <c:pt idx="25">
                  <c:v>1346</c:v>
                </c:pt>
                <c:pt idx="26">
                  <c:v>1198</c:v>
                </c:pt>
                <c:pt idx="27">
                  <c:v>1233</c:v>
                </c:pt>
                <c:pt idx="28">
                  <c:v>1204</c:v>
                </c:pt>
                <c:pt idx="29">
                  <c:v>1194</c:v>
                </c:pt>
                <c:pt idx="30">
                  <c:v>1390</c:v>
                </c:pt>
                <c:pt idx="31">
                  <c:v>1197</c:v>
                </c:pt>
                <c:pt idx="32">
                  <c:v>1199</c:v>
                </c:pt>
                <c:pt idx="33">
                  <c:v>1185</c:v>
                </c:pt>
                <c:pt idx="34">
                  <c:v>1195</c:v>
                </c:pt>
                <c:pt idx="35">
                  <c:v>1195</c:v>
                </c:pt>
                <c:pt idx="36">
                  <c:v>1371</c:v>
                </c:pt>
                <c:pt idx="37">
                  <c:v>1363</c:v>
                </c:pt>
                <c:pt idx="38">
                  <c:v>1186</c:v>
                </c:pt>
                <c:pt idx="39">
                  <c:v>1194</c:v>
                </c:pt>
                <c:pt idx="40">
                  <c:v>1379</c:v>
                </c:pt>
                <c:pt idx="41">
                  <c:v>1214</c:v>
                </c:pt>
                <c:pt idx="42">
                  <c:v>1191</c:v>
                </c:pt>
                <c:pt idx="43">
                  <c:v>1341</c:v>
                </c:pt>
                <c:pt idx="44">
                  <c:v>1201</c:v>
                </c:pt>
                <c:pt idx="45">
                  <c:v>1195</c:v>
                </c:pt>
                <c:pt idx="46">
                  <c:v>1189</c:v>
                </c:pt>
                <c:pt idx="47">
                  <c:v>1198</c:v>
                </c:pt>
                <c:pt idx="48">
                  <c:v>1206</c:v>
                </c:pt>
                <c:pt idx="49">
                  <c:v>1374</c:v>
                </c:pt>
                <c:pt idx="50">
                  <c:v>1168</c:v>
                </c:pt>
                <c:pt idx="51">
                  <c:v>1199</c:v>
                </c:pt>
                <c:pt idx="52">
                  <c:v>1366</c:v>
                </c:pt>
                <c:pt idx="53">
                  <c:v>1195</c:v>
                </c:pt>
                <c:pt idx="54">
                  <c:v>1371</c:v>
                </c:pt>
                <c:pt idx="55">
                  <c:v>1367</c:v>
                </c:pt>
                <c:pt idx="56">
                  <c:v>1363</c:v>
                </c:pt>
                <c:pt idx="57">
                  <c:v>1357</c:v>
                </c:pt>
                <c:pt idx="58">
                  <c:v>1362</c:v>
                </c:pt>
                <c:pt idx="59">
                  <c:v>1364</c:v>
                </c:pt>
                <c:pt idx="60">
                  <c:v>1362</c:v>
                </c:pt>
                <c:pt idx="61">
                  <c:v>1392</c:v>
                </c:pt>
                <c:pt idx="62">
                  <c:v>1362</c:v>
                </c:pt>
                <c:pt idx="63">
                  <c:v>1409</c:v>
                </c:pt>
                <c:pt idx="64">
                  <c:v>1363</c:v>
                </c:pt>
                <c:pt idx="65">
                  <c:v>1365</c:v>
                </c:pt>
                <c:pt idx="66">
                  <c:v>1362</c:v>
                </c:pt>
                <c:pt idx="67">
                  <c:v>1362</c:v>
                </c:pt>
                <c:pt idx="68">
                  <c:v>1361</c:v>
                </c:pt>
                <c:pt idx="69">
                  <c:v>1361</c:v>
                </c:pt>
                <c:pt idx="70">
                  <c:v>1360</c:v>
                </c:pt>
                <c:pt idx="71">
                  <c:v>1366</c:v>
                </c:pt>
                <c:pt idx="72">
                  <c:v>1360</c:v>
                </c:pt>
                <c:pt idx="73">
                  <c:v>1367</c:v>
                </c:pt>
                <c:pt idx="74">
                  <c:v>1374</c:v>
                </c:pt>
                <c:pt idx="75">
                  <c:v>1280</c:v>
                </c:pt>
                <c:pt idx="76">
                  <c:v>1363</c:v>
                </c:pt>
                <c:pt idx="77">
                  <c:v>1363</c:v>
                </c:pt>
                <c:pt idx="78">
                  <c:v>1437</c:v>
                </c:pt>
                <c:pt idx="79">
                  <c:v>1361</c:v>
                </c:pt>
                <c:pt idx="80">
                  <c:v>1375</c:v>
                </c:pt>
                <c:pt idx="81">
                  <c:v>1361</c:v>
                </c:pt>
                <c:pt idx="82">
                  <c:v>1363</c:v>
                </c:pt>
                <c:pt idx="83">
                  <c:v>1360</c:v>
                </c:pt>
                <c:pt idx="84">
                  <c:v>1360</c:v>
                </c:pt>
                <c:pt idx="85">
                  <c:v>1360</c:v>
                </c:pt>
                <c:pt idx="86">
                  <c:v>1362</c:v>
                </c:pt>
                <c:pt idx="87">
                  <c:v>1360</c:v>
                </c:pt>
                <c:pt idx="88">
                  <c:v>1362</c:v>
                </c:pt>
                <c:pt idx="89">
                  <c:v>1353</c:v>
                </c:pt>
                <c:pt idx="90">
                  <c:v>1360</c:v>
                </c:pt>
                <c:pt idx="91">
                  <c:v>1360</c:v>
                </c:pt>
                <c:pt idx="92">
                  <c:v>1360</c:v>
                </c:pt>
                <c:pt idx="93">
                  <c:v>1362</c:v>
                </c:pt>
                <c:pt idx="94">
                  <c:v>1364</c:v>
                </c:pt>
                <c:pt idx="95">
                  <c:v>1366</c:v>
                </c:pt>
                <c:pt idx="96">
                  <c:v>1390</c:v>
                </c:pt>
                <c:pt idx="97">
                  <c:v>2075</c:v>
                </c:pt>
                <c:pt idx="98">
                  <c:v>2082</c:v>
                </c:pt>
                <c:pt idx="99">
                  <c:v>2079</c:v>
                </c:pt>
                <c:pt idx="100">
                  <c:v>2083</c:v>
                </c:pt>
                <c:pt idx="101">
                  <c:v>2019</c:v>
                </c:pt>
                <c:pt idx="102">
                  <c:v>2081</c:v>
                </c:pt>
                <c:pt idx="103">
                  <c:v>2076</c:v>
                </c:pt>
                <c:pt idx="104">
                  <c:v>2096</c:v>
                </c:pt>
                <c:pt idx="105">
                  <c:v>2081</c:v>
                </c:pt>
                <c:pt idx="106">
                  <c:v>2081</c:v>
                </c:pt>
                <c:pt idx="107">
                  <c:v>2078</c:v>
                </c:pt>
                <c:pt idx="108">
                  <c:v>2079</c:v>
                </c:pt>
                <c:pt idx="109">
                  <c:v>2079</c:v>
                </c:pt>
                <c:pt idx="110">
                  <c:v>2080</c:v>
                </c:pt>
                <c:pt idx="111">
                  <c:v>2077</c:v>
                </c:pt>
                <c:pt idx="112">
                  <c:v>2032</c:v>
                </c:pt>
                <c:pt idx="113">
                  <c:v>2081</c:v>
                </c:pt>
                <c:pt idx="114">
                  <c:v>2096</c:v>
                </c:pt>
                <c:pt idx="115">
                  <c:v>2083</c:v>
                </c:pt>
                <c:pt idx="116">
                  <c:v>2076</c:v>
                </c:pt>
                <c:pt idx="117">
                  <c:v>2043</c:v>
                </c:pt>
                <c:pt idx="118">
                  <c:v>2081</c:v>
                </c:pt>
                <c:pt idx="119">
                  <c:v>2080</c:v>
                </c:pt>
                <c:pt idx="120">
                  <c:v>2080</c:v>
                </c:pt>
                <c:pt idx="121">
                  <c:v>2067</c:v>
                </c:pt>
                <c:pt idx="122">
                  <c:v>2064</c:v>
                </c:pt>
                <c:pt idx="123">
                  <c:v>2073</c:v>
                </c:pt>
                <c:pt idx="124">
                  <c:v>2075</c:v>
                </c:pt>
                <c:pt idx="125">
                  <c:v>2078</c:v>
                </c:pt>
                <c:pt idx="126">
                  <c:v>2082</c:v>
                </c:pt>
                <c:pt idx="127">
                  <c:v>2074</c:v>
                </c:pt>
                <c:pt idx="128">
                  <c:v>2077</c:v>
                </c:pt>
                <c:pt idx="129">
                  <c:v>2078</c:v>
                </c:pt>
                <c:pt idx="130">
                  <c:v>2078</c:v>
                </c:pt>
                <c:pt idx="131">
                  <c:v>2004</c:v>
                </c:pt>
                <c:pt idx="132">
                  <c:v>2080</c:v>
                </c:pt>
                <c:pt idx="133">
                  <c:v>2069</c:v>
                </c:pt>
                <c:pt idx="134">
                  <c:v>2157</c:v>
                </c:pt>
                <c:pt idx="135">
                  <c:v>2077</c:v>
                </c:pt>
                <c:pt idx="136">
                  <c:v>2033</c:v>
                </c:pt>
                <c:pt idx="137">
                  <c:v>2063</c:v>
                </c:pt>
                <c:pt idx="138">
                  <c:v>2074</c:v>
                </c:pt>
                <c:pt idx="139">
                  <c:v>2061</c:v>
                </c:pt>
                <c:pt idx="140">
                  <c:v>2222</c:v>
                </c:pt>
                <c:pt idx="141">
                  <c:v>1984</c:v>
                </c:pt>
                <c:pt idx="142">
                  <c:v>2073</c:v>
                </c:pt>
                <c:pt idx="143">
                  <c:v>2087</c:v>
                </c:pt>
                <c:pt idx="144">
                  <c:v>2085</c:v>
                </c:pt>
                <c:pt idx="145">
                  <c:v>2075</c:v>
                </c:pt>
                <c:pt idx="146">
                  <c:v>2073</c:v>
                </c:pt>
                <c:pt idx="147">
                  <c:v>2015</c:v>
                </c:pt>
                <c:pt idx="148">
                  <c:v>2096</c:v>
                </c:pt>
                <c:pt idx="149">
                  <c:v>2066</c:v>
                </c:pt>
                <c:pt idx="150">
                  <c:v>2079</c:v>
                </c:pt>
                <c:pt idx="151">
                  <c:v>2027</c:v>
                </c:pt>
                <c:pt idx="152">
                  <c:v>2076</c:v>
                </c:pt>
                <c:pt idx="153">
                  <c:v>2074</c:v>
                </c:pt>
                <c:pt idx="154">
                  <c:v>2065</c:v>
                </c:pt>
                <c:pt idx="155">
                  <c:v>2068</c:v>
                </c:pt>
                <c:pt idx="156">
                  <c:v>2068</c:v>
                </c:pt>
                <c:pt idx="157">
                  <c:v>1197</c:v>
                </c:pt>
                <c:pt idx="158">
                  <c:v>1199</c:v>
                </c:pt>
                <c:pt idx="159">
                  <c:v>1210</c:v>
                </c:pt>
                <c:pt idx="160">
                  <c:v>1227</c:v>
                </c:pt>
                <c:pt idx="161">
                  <c:v>1289</c:v>
                </c:pt>
                <c:pt idx="162">
                  <c:v>1312</c:v>
                </c:pt>
                <c:pt idx="163">
                  <c:v>1366</c:v>
                </c:pt>
                <c:pt idx="164">
                  <c:v>1370</c:v>
                </c:pt>
                <c:pt idx="165">
                  <c:v>1376</c:v>
                </c:pt>
                <c:pt idx="166">
                  <c:v>1376</c:v>
                </c:pt>
                <c:pt idx="167">
                  <c:v>1376</c:v>
                </c:pt>
                <c:pt idx="168">
                  <c:v>1382</c:v>
                </c:pt>
                <c:pt idx="169">
                  <c:v>1415</c:v>
                </c:pt>
                <c:pt idx="170">
                  <c:v>2189</c:v>
                </c:pt>
                <c:pt idx="171">
                  <c:v>2096</c:v>
                </c:pt>
                <c:pt idx="172">
                  <c:v>2096</c:v>
                </c:pt>
                <c:pt idx="173">
                  <c:v>2087</c:v>
                </c:pt>
                <c:pt idx="174">
                  <c:v>2087</c:v>
                </c:pt>
                <c:pt idx="175">
                  <c:v>2081</c:v>
                </c:pt>
                <c:pt idx="176">
                  <c:v>2079</c:v>
                </c:pt>
                <c:pt idx="177">
                  <c:v>2035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completa!$D$2:$D$2</c:f>
              <c:strCache>
                <c:ptCount val="1"/>
                <c:pt idx="0">
                  <c:v>m-adc-34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completa!$D$3:$D$180</c:f>
              <c:numCache>
                <c:formatCode>General</c:formatCode>
                <c:ptCount val="178"/>
                <c:pt idx="0">
                  <c:v>1891</c:v>
                </c:pt>
                <c:pt idx="1">
                  <c:v>2000</c:v>
                </c:pt>
                <c:pt idx="2">
                  <c:v>2011</c:v>
                </c:pt>
                <c:pt idx="3">
                  <c:v>2014</c:v>
                </c:pt>
                <c:pt idx="4">
                  <c:v>2015</c:v>
                </c:pt>
                <c:pt idx="5">
                  <c:v>2022</c:v>
                </c:pt>
                <c:pt idx="6">
                  <c:v>2027</c:v>
                </c:pt>
                <c:pt idx="7">
                  <c:v>2027</c:v>
                </c:pt>
                <c:pt idx="8">
                  <c:v>2032</c:v>
                </c:pt>
                <c:pt idx="9">
                  <c:v>2033</c:v>
                </c:pt>
                <c:pt idx="10">
                  <c:v>2037</c:v>
                </c:pt>
                <c:pt idx="11">
                  <c:v>2037</c:v>
                </c:pt>
                <c:pt idx="12">
                  <c:v>2042</c:v>
                </c:pt>
                <c:pt idx="13">
                  <c:v>2045</c:v>
                </c:pt>
                <c:pt idx="14">
                  <c:v>2047</c:v>
                </c:pt>
                <c:pt idx="15">
                  <c:v>2054</c:v>
                </c:pt>
                <c:pt idx="16">
                  <c:v>2055</c:v>
                </c:pt>
                <c:pt idx="17">
                  <c:v>2057</c:v>
                </c:pt>
                <c:pt idx="18">
                  <c:v>2064</c:v>
                </c:pt>
                <c:pt idx="19">
                  <c:v>2064</c:v>
                </c:pt>
                <c:pt idx="20">
                  <c:v>2065</c:v>
                </c:pt>
                <c:pt idx="21">
                  <c:v>2066</c:v>
                </c:pt>
                <c:pt idx="22">
                  <c:v>2066</c:v>
                </c:pt>
                <c:pt idx="23">
                  <c:v>2066</c:v>
                </c:pt>
                <c:pt idx="24">
                  <c:v>2066</c:v>
                </c:pt>
                <c:pt idx="25">
                  <c:v>2067</c:v>
                </c:pt>
                <c:pt idx="26">
                  <c:v>2070</c:v>
                </c:pt>
                <c:pt idx="27">
                  <c:v>2071</c:v>
                </c:pt>
                <c:pt idx="28">
                  <c:v>2072</c:v>
                </c:pt>
                <c:pt idx="29">
                  <c:v>2075</c:v>
                </c:pt>
                <c:pt idx="30">
                  <c:v>2075</c:v>
                </c:pt>
                <c:pt idx="31">
                  <c:v>2077</c:v>
                </c:pt>
                <c:pt idx="32">
                  <c:v>2077</c:v>
                </c:pt>
                <c:pt idx="33">
                  <c:v>2078</c:v>
                </c:pt>
                <c:pt idx="34">
                  <c:v>2082</c:v>
                </c:pt>
                <c:pt idx="35">
                  <c:v>2083</c:v>
                </c:pt>
                <c:pt idx="36">
                  <c:v>2083</c:v>
                </c:pt>
                <c:pt idx="37">
                  <c:v>2084</c:v>
                </c:pt>
                <c:pt idx="38">
                  <c:v>2085</c:v>
                </c:pt>
                <c:pt idx="39">
                  <c:v>2086</c:v>
                </c:pt>
                <c:pt idx="40">
                  <c:v>2086</c:v>
                </c:pt>
                <c:pt idx="41">
                  <c:v>2090</c:v>
                </c:pt>
                <c:pt idx="42">
                  <c:v>2091</c:v>
                </c:pt>
                <c:pt idx="43">
                  <c:v>2091</c:v>
                </c:pt>
                <c:pt idx="44">
                  <c:v>2094</c:v>
                </c:pt>
                <c:pt idx="45">
                  <c:v>2095</c:v>
                </c:pt>
                <c:pt idx="46">
                  <c:v>2096</c:v>
                </c:pt>
                <c:pt idx="47">
                  <c:v>2096</c:v>
                </c:pt>
                <c:pt idx="48">
                  <c:v>2096</c:v>
                </c:pt>
                <c:pt idx="49">
                  <c:v>2097</c:v>
                </c:pt>
                <c:pt idx="50">
                  <c:v>2099</c:v>
                </c:pt>
                <c:pt idx="51">
                  <c:v>2100</c:v>
                </c:pt>
                <c:pt idx="52">
                  <c:v>2100</c:v>
                </c:pt>
                <c:pt idx="53">
                  <c:v>2101</c:v>
                </c:pt>
                <c:pt idx="54">
                  <c:v>2102</c:v>
                </c:pt>
                <c:pt idx="55">
                  <c:v>2108</c:v>
                </c:pt>
                <c:pt idx="56">
                  <c:v>2109</c:v>
                </c:pt>
                <c:pt idx="57">
                  <c:v>2112</c:v>
                </c:pt>
                <c:pt idx="58">
                  <c:v>2113</c:v>
                </c:pt>
                <c:pt idx="59">
                  <c:v>2114</c:v>
                </c:pt>
                <c:pt idx="60">
                  <c:v>2119</c:v>
                </c:pt>
                <c:pt idx="61">
                  <c:v>2119</c:v>
                </c:pt>
                <c:pt idx="62">
                  <c:v>2121</c:v>
                </c:pt>
                <c:pt idx="63">
                  <c:v>2121</c:v>
                </c:pt>
                <c:pt idx="64">
                  <c:v>2122</c:v>
                </c:pt>
                <c:pt idx="65">
                  <c:v>2122</c:v>
                </c:pt>
                <c:pt idx="66">
                  <c:v>2128</c:v>
                </c:pt>
                <c:pt idx="67">
                  <c:v>2128</c:v>
                </c:pt>
                <c:pt idx="68">
                  <c:v>2130</c:v>
                </c:pt>
                <c:pt idx="69">
                  <c:v>2131</c:v>
                </c:pt>
                <c:pt idx="70">
                  <c:v>2132</c:v>
                </c:pt>
                <c:pt idx="71">
                  <c:v>2134</c:v>
                </c:pt>
                <c:pt idx="72">
                  <c:v>2135</c:v>
                </c:pt>
                <c:pt idx="73">
                  <c:v>2138</c:v>
                </c:pt>
                <c:pt idx="74">
                  <c:v>2138</c:v>
                </c:pt>
                <c:pt idx="75">
                  <c:v>2141</c:v>
                </c:pt>
                <c:pt idx="76">
                  <c:v>2141</c:v>
                </c:pt>
                <c:pt idx="77">
                  <c:v>2143</c:v>
                </c:pt>
                <c:pt idx="78">
                  <c:v>2145</c:v>
                </c:pt>
                <c:pt idx="79">
                  <c:v>2146</c:v>
                </c:pt>
                <c:pt idx="80">
                  <c:v>2146</c:v>
                </c:pt>
                <c:pt idx="81">
                  <c:v>2148</c:v>
                </c:pt>
                <c:pt idx="82">
                  <c:v>2148</c:v>
                </c:pt>
                <c:pt idx="83">
                  <c:v>2151</c:v>
                </c:pt>
                <c:pt idx="84">
                  <c:v>2153</c:v>
                </c:pt>
                <c:pt idx="85">
                  <c:v>2154</c:v>
                </c:pt>
                <c:pt idx="86">
                  <c:v>2155</c:v>
                </c:pt>
                <c:pt idx="87">
                  <c:v>2156</c:v>
                </c:pt>
                <c:pt idx="88">
                  <c:v>2157</c:v>
                </c:pt>
                <c:pt idx="89">
                  <c:v>2158</c:v>
                </c:pt>
                <c:pt idx="90">
                  <c:v>2159</c:v>
                </c:pt>
                <c:pt idx="91">
                  <c:v>2160</c:v>
                </c:pt>
                <c:pt idx="92">
                  <c:v>2160</c:v>
                </c:pt>
                <c:pt idx="93">
                  <c:v>2160</c:v>
                </c:pt>
                <c:pt idx="94">
                  <c:v>2160</c:v>
                </c:pt>
                <c:pt idx="95">
                  <c:v>2160</c:v>
                </c:pt>
                <c:pt idx="96">
                  <c:v>2174</c:v>
                </c:pt>
                <c:pt idx="97">
                  <c:v>2309</c:v>
                </c:pt>
                <c:pt idx="98">
                  <c:v>2325</c:v>
                </c:pt>
                <c:pt idx="99">
                  <c:v>2337</c:v>
                </c:pt>
                <c:pt idx="100">
                  <c:v>2341</c:v>
                </c:pt>
                <c:pt idx="101">
                  <c:v>2351</c:v>
                </c:pt>
                <c:pt idx="102">
                  <c:v>2357</c:v>
                </c:pt>
                <c:pt idx="103">
                  <c:v>2364</c:v>
                </c:pt>
                <c:pt idx="104">
                  <c:v>2369</c:v>
                </c:pt>
                <c:pt idx="105">
                  <c:v>2379</c:v>
                </c:pt>
                <c:pt idx="106">
                  <c:v>2381</c:v>
                </c:pt>
                <c:pt idx="107">
                  <c:v>2382</c:v>
                </c:pt>
                <c:pt idx="108">
                  <c:v>2384</c:v>
                </c:pt>
                <c:pt idx="109">
                  <c:v>2387</c:v>
                </c:pt>
                <c:pt idx="110">
                  <c:v>2390</c:v>
                </c:pt>
                <c:pt idx="111">
                  <c:v>2399</c:v>
                </c:pt>
                <c:pt idx="112">
                  <c:v>2400</c:v>
                </c:pt>
                <c:pt idx="113">
                  <c:v>2402</c:v>
                </c:pt>
                <c:pt idx="114">
                  <c:v>2403</c:v>
                </c:pt>
                <c:pt idx="115">
                  <c:v>2411</c:v>
                </c:pt>
                <c:pt idx="116">
                  <c:v>2411</c:v>
                </c:pt>
                <c:pt idx="117">
                  <c:v>2413</c:v>
                </c:pt>
                <c:pt idx="118">
                  <c:v>2416</c:v>
                </c:pt>
                <c:pt idx="119">
                  <c:v>2416</c:v>
                </c:pt>
                <c:pt idx="120">
                  <c:v>2416</c:v>
                </c:pt>
                <c:pt idx="121">
                  <c:v>2416</c:v>
                </c:pt>
                <c:pt idx="122">
                  <c:v>2416</c:v>
                </c:pt>
                <c:pt idx="123">
                  <c:v>2417</c:v>
                </c:pt>
                <c:pt idx="124">
                  <c:v>2418</c:v>
                </c:pt>
                <c:pt idx="125">
                  <c:v>2419</c:v>
                </c:pt>
                <c:pt idx="126">
                  <c:v>2421</c:v>
                </c:pt>
                <c:pt idx="127">
                  <c:v>2422</c:v>
                </c:pt>
                <c:pt idx="128">
                  <c:v>2426</c:v>
                </c:pt>
                <c:pt idx="129">
                  <c:v>2430</c:v>
                </c:pt>
                <c:pt idx="130">
                  <c:v>2431</c:v>
                </c:pt>
                <c:pt idx="131">
                  <c:v>2431</c:v>
                </c:pt>
                <c:pt idx="132">
                  <c:v>2432</c:v>
                </c:pt>
                <c:pt idx="133">
                  <c:v>2432</c:v>
                </c:pt>
                <c:pt idx="134">
                  <c:v>2434</c:v>
                </c:pt>
                <c:pt idx="135">
                  <c:v>2434</c:v>
                </c:pt>
                <c:pt idx="136">
                  <c:v>2435</c:v>
                </c:pt>
                <c:pt idx="137">
                  <c:v>2437</c:v>
                </c:pt>
                <c:pt idx="138">
                  <c:v>2439</c:v>
                </c:pt>
                <c:pt idx="139">
                  <c:v>2442</c:v>
                </c:pt>
                <c:pt idx="140">
                  <c:v>2443</c:v>
                </c:pt>
                <c:pt idx="141">
                  <c:v>2443</c:v>
                </c:pt>
                <c:pt idx="142">
                  <c:v>2444</c:v>
                </c:pt>
                <c:pt idx="143">
                  <c:v>2445</c:v>
                </c:pt>
                <c:pt idx="144">
                  <c:v>2445</c:v>
                </c:pt>
                <c:pt idx="145">
                  <c:v>2445</c:v>
                </c:pt>
                <c:pt idx="146">
                  <c:v>2447</c:v>
                </c:pt>
                <c:pt idx="147">
                  <c:v>2447</c:v>
                </c:pt>
                <c:pt idx="148">
                  <c:v>2448</c:v>
                </c:pt>
                <c:pt idx="149">
                  <c:v>2448</c:v>
                </c:pt>
                <c:pt idx="150">
                  <c:v>2449</c:v>
                </c:pt>
                <c:pt idx="151">
                  <c:v>2449</c:v>
                </c:pt>
                <c:pt idx="152">
                  <c:v>2450</c:v>
                </c:pt>
                <c:pt idx="153">
                  <c:v>2450</c:v>
                </c:pt>
                <c:pt idx="154">
                  <c:v>2451</c:v>
                </c:pt>
                <c:pt idx="155">
                  <c:v>2462</c:v>
                </c:pt>
                <c:pt idx="156">
                  <c:v>2463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completa!$E$2:$E$2</c:f>
              <c:strCache>
                <c:ptCount val="1"/>
                <c:pt idx="0">
                  <c:v>m-adc-36</c:v>
                </c:pt>
              </c:strCache>
            </c:strRef>
          </c:tx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completa!$E$3:$E$180</c:f>
              <c:numCache>
                <c:formatCode>General</c:formatCode>
                <c:ptCount val="178"/>
                <c:pt idx="0">
                  <c:v>2063</c:v>
                </c:pt>
                <c:pt idx="1">
                  <c:v>2125</c:v>
                </c:pt>
                <c:pt idx="2">
                  <c:v>2128</c:v>
                </c:pt>
                <c:pt idx="3">
                  <c:v>2133</c:v>
                </c:pt>
                <c:pt idx="4">
                  <c:v>2128</c:v>
                </c:pt>
                <c:pt idx="5">
                  <c:v>2138</c:v>
                </c:pt>
                <c:pt idx="6">
                  <c:v>2143</c:v>
                </c:pt>
                <c:pt idx="7">
                  <c:v>2174</c:v>
                </c:pt>
                <c:pt idx="8">
                  <c:v>2142</c:v>
                </c:pt>
                <c:pt idx="9">
                  <c:v>2143</c:v>
                </c:pt>
                <c:pt idx="10">
                  <c:v>2143</c:v>
                </c:pt>
                <c:pt idx="11">
                  <c:v>2179</c:v>
                </c:pt>
                <c:pt idx="12">
                  <c:v>2145</c:v>
                </c:pt>
                <c:pt idx="13">
                  <c:v>2147</c:v>
                </c:pt>
                <c:pt idx="14">
                  <c:v>2154</c:v>
                </c:pt>
                <c:pt idx="15">
                  <c:v>2187</c:v>
                </c:pt>
                <c:pt idx="16">
                  <c:v>2153</c:v>
                </c:pt>
                <c:pt idx="17">
                  <c:v>2155</c:v>
                </c:pt>
                <c:pt idx="18">
                  <c:v>2154</c:v>
                </c:pt>
                <c:pt idx="19">
                  <c:v>2189</c:v>
                </c:pt>
                <c:pt idx="20">
                  <c:v>2157</c:v>
                </c:pt>
                <c:pt idx="21">
                  <c:v>2153</c:v>
                </c:pt>
                <c:pt idx="22">
                  <c:v>2159</c:v>
                </c:pt>
                <c:pt idx="23">
                  <c:v>2157</c:v>
                </c:pt>
                <c:pt idx="24">
                  <c:v>2159</c:v>
                </c:pt>
                <c:pt idx="25">
                  <c:v>2189</c:v>
                </c:pt>
                <c:pt idx="26">
                  <c:v>2160</c:v>
                </c:pt>
                <c:pt idx="27">
                  <c:v>2175</c:v>
                </c:pt>
                <c:pt idx="28">
                  <c:v>2160</c:v>
                </c:pt>
                <c:pt idx="29">
                  <c:v>2160</c:v>
                </c:pt>
                <c:pt idx="30">
                  <c:v>2194</c:v>
                </c:pt>
                <c:pt idx="31">
                  <c:v>2163</c:v>
                </c:pt>
                <c:pt idx="32">
                  <c:v>2165</c:v>
                </c:pt>
                <c:pt idx="33">
                  <c:v>2165</c:v>
                </c:pt>
                <c:pt idx="34">
                  <c:v>2159</c:v>
                </c:pt>
                <c:pt idx="35">
                  <c:v>2166</c:v>
                </c:pt>
                <c:pt idx="36">
                  <c:v>2194</c:v>
                </c:pt>
                <c:pt idx="37">
                  <c:v>2192</c:v>
                </c:pt>
                <c:pt idx="38">
                  <c:v>2163</c:v>
                </c:pt>
                <c:pt idx="39">
                  <c:v>2164</c:v>
                </c:pt>
                <c:pt idx="40">
                  <c:v>2202</c:v>
                </c:pt>
                <c:pt idx="41">
                  <c:v>2167</c:v>
                </c:pt>
                <c:pt idx="42">
                  <c:v>2166</c:v>
                </c:pt>
                <c:pt idx="43">
                  <c:v>2201</c:v>
                </c:pt>
                <c:pt idx="44">
                  <c:v>2167</c:v>
                </c:pt>
                <c:pt idx="45">
                  <c:v>2170</c:v>
                </c:pt>
                <c:pt idx="46">
                  <c:v>2171</c:v>
                </c:pt>
                <c:pt idx="47">
                  <c:v>2173</c:v>
                </c:pt>
                <c:pt idx="48">
                  <c:v>2175</c:v>
                </c:pt>
                <c:pt idx="49">
                  <c:v>2206</c:v>
                </c:pt>
                <c:pt idx="50">
                  <c:v>2170</c:v>
                </c:pt>
                <c:pt idx="51">
                  <c:v>2174</c:v>
                </c:pt>
                <c:pt idx="52">
                  <c:v>2205</c:v>
                </c:pt>
                <c:pt idx="53">
                  <c:v>2172</c:v>
                </c:pt>
                <c:pt idx="54">
                  <c:v>2231</c:v>
                </c:pt>
                <c:pt idx="55">
                  <c:v>2214</c:v>
                </c:pt>
                <c:pt idx="56">
                  <c:v>2204</c:v>
                </c:pt>
                <c:pt idx="57">
                  <c:v>2208</c:v>
                </c:pt>
                <c:pt idx="58">
                  <c:v>2215</c:v>
                </c:pt>
                <c:pt idx="59">
                  <c:v>2218</c:v>
                </c:pt>
                <c:pt idx="60">
                  <c:v>2224</c:v>
                </c:pt>
                <c:pt idx="61">
                  <c:v>2224</c:v>
                </c:pt>
                <c:pt idx="62">
                  <c:v>2224</c:v>
                </c:pt>
                <c:pt idx="63">
                  <c:v>2222</c:v>
                </c:pt>
                <c:pt idx="64">
                  <c:v>2222</c:v>
                </c:pt>
                <c:pt idx="65">
                  <c:v>2215</c:v>
                </c:pt>
                <c:pt idx="66">
                  <c:v>2224</c:v>
                </c:pt>
                <c:pt idx="67">
                  <c:v>2224</c:v>
                </c:pt>
                <c:pt idx="68">
                  <c:v>2224</c:v>
                </c:pt>
                <c:pt idx="69">
                  <c:v>2226</c:v>
                </c:pt>
                <c:pt idx="70">
                  <c:v>2224</c:v>
                </c:pt>
                <c:pt idx="71">
                  <c:v>2228</c:v>
                </c:pt>
                <c:pt idx="72">
                  <c:v>2227</c:v>
                </c:pt>
                <c:pt idx="73">
                  <c:v>2228</c:v>
                </c:pt>
                <c:pt idx="74">
                  <c:v>2237</c:v>
                </c:pt>
                <c:pt idx="75">
                  <c:v>2227</c:v>
                </c:pt>
                <c:pt idx="76">
                  <c:v>2228</c:v>
                </c:pt>
                <c:pt idx="77">
                  <c:v>2231</c:v>
                </c:pt>
                <c:pt idx="78">
                  <c:v>2235</c:v>
                </c:pt>
                <c:pt idx="79">
                  <c:v>2238</c:v>
                </c:pt>
                <c:pt idx="80">
                  <c:v>2233</c:v>
                </c:pt>
                <c:pt idx="81">
                  <c:v>2231</c:v>
                </c:pt>
                <c:pt idx="82">
                  <c:v>2228</c:v>
                </c:pt>
                <c:pt idx="83">
                  <c:v>2236</c:v>
                </c:pt>
                <c:pt idx="84">
                  <c:v>2238</c:v>
                </c:pt>
                <c:pt idx="85">
                  <c:v>2240</c:v>
                </c:pt>
                <c:pt idx="86">
                  <c:v>2238</c:v>
                </c:pt>
                <c:pt idx="87">
                  <c:v>2242</c:v>
                </c:pt>
                <c:pt idx="88">
                  <c:v>2243</c:v>
                </c:pt>
                <c:pt idx="89">
                  <c:v>2238</c:v>
                </c:pt>
                <c:pt idx="90">
                  <c:v>2243</c:v>
                </c:pt>
                <c:pt idx="91">
                  <c:v>2239</c:v>
                </c:pt>
                <c:pt idx="92">
                  <c:v>2243</c:v>
                </c:pt>
                <c:pt idx="93">
                  <c:v>2241</c:v>
                </c:pt>
                <c:pt idx="94">
                  <c:v>2242</c:v>
                </c:pt>
                <c:pt idx="95">
                  <c:v>2243</c:v>
                </c:pt>
                <c:pt idx="96">
                  <c:v>2241</c:v>
                </c:pt>
                <c:pt idx="97">
                  <c:v>2368</c:v>
                </c:pt>
                <c:pt idx="98">
                  <c:v>2359</c:v>
                </c:pt>
                <c:pt idx="99">
                  <c:v>2367</c:v>
                </c:pt>
                <c:pt idx="100">
                  <c:v>2369</c:v>
                </c:pt>
                <c:pt idx="101">
                  <c:v>2386</c:v>
                </c:pt>
                <c:pt idx="102">
                  <c:v>2383</c:v>
                </c:pt>
                <c:pt idx="103">
                  <c:v>2384</c:v>
                </c:pt>
                <c:pt idx="104">
                  <c:v>2401</c:v>
                </c:pt>
                <c:pt idx="105">
                  <c:v>2395</c:v>
                </c:pt>
                <c:pt idx="106">
                  <c:v>2431</c:v>
                </c:pt>
                <c:pt idx="107">
                  <c:v>2403</c:v>
                </c:pt>
                <c:pt idx="108">
                  <c:v>2403</c:v>
                </c:pt>
                <c:pt idx="109">
                  <c:v>2405</c:v>
                </c:pt>
                <c:pt idx="110">
                  <c:v>2401</c:v>
                </c:pt>
                <c:pt idx="111">
                  <c:v>2414</c:v>
                </c:pt>
                <c:pt idx="112">
                  <c:v>2415</c:v>
                </c:pt>
                <c:pt idx="113">
                  <c:v>2411</c:v>
                </c:pt>
                <c:pt idx="114">
                  <c:v>2417</c:v>
                </c:pt>
                <c:pt idx="115">
                  <c:v>2420</c:v>
                </c:pt>
                <c:pt idx="116">
                  <c:v>2419</c:v>
                </c:pt>
                <c:pt idx="117">
                  <c:v>2416</c:v>
                </c:pt>
                <c:pt idx="118">
                  <c:v>2426</c:v>
                </c:pt>
                <c:pt idx="119">
                  <c:v>2402</c:v>
                </c:pt>
                <c:pt idx="120">
                  <c:v>2423</c:v>
                </c:pt>
                <c:pt idx="121">
                  <c:v>2427</c:v>
                </c:pt>
                <c:pt idx="122">
                  <c:v>2430</c:v>
                </c:pt>
                <c:pt idx="123">
                  <c:v>2442</c:v>
                </c:pt>
                <c:pt idx="124">
                  <c:v>2432</c:v>
                </c:pt>
                <c:pt idx="125">
                  <c:v>2432</c:v>
                </c:pt>
                <c:pt idx="126">
                  <c:v>2437</c:v>
                </c:pt>
                <c:pt idx="127">
                  <c:v>2432</c:v>
                </c:pt>
                <c:pt idx="128">
                  <c:v>2437</c:v>
                </c:pt>
                <c:pt idx="129">
                  <c:v>2448</c:v>
                </c:pt>
                <c:pt idx="130">
                  <c:v>2429</c:v>
                </c:pt>
                <c:pt idx="131">
                  <c:v>2441</c:v>
                </c:pt>
                <c:pt idx="132">
                  <c:v>2441</c:v>
                </c:pt>
                <c:pt idx="133">
                  <c:v>2445</c:v>
                </c:pt>
                <c:pt idx="134">
                  <c:v>2447</c:v>
                </c:pt>
                <c:pt idx="135">
                  <c:v>2444</c:v>
                </c:pt>
                <c:pt idx="136">
                  <c:v>2435</c:v>
                </c:pt>
                <c:pt idx="137">
                  <c:v>2448</c:v>
                </c:pt>
                <c:pt idx="138">
                  <c:v>2444</c:v>
                </c:pt>
                <c:pt idx="139">
                  <c:v>2459</c:v>
                </c:pt>
                <c:pt idx="140">
                  <c:v>2449</c:v>
                </c:pt>
                <c:pt idx="141">
                  <c:v>2448</c:v>
                </c:pt>
                <c:pt idx="142">
                  <c:v>2454</c:v>
                </c:pt>
                <c:pt idx="143">
                  <c:v>2450</c:v>
                </c:pt>
                <c:pt idx="144">
                  <c:v>2448</c:v>
                </c:pt>
                <c:pt idx="145">
                  <c:v>2450</c:v>
                </c:pt>
                <c:pt idx="146">
                  <c:v>2449</c:v>
                </c:pt>
                <c:pt idx="147">
                  <c:v>2451</c:v>
                </c:pt>
                <c:pt idx="148">
                  <c:v>2458</c:v>
                </c:pt>
                <c:pt idx="149">
                  <c:v>2454</c:v>
                </c:pt>
                <c:pt idx="150">
                  <c:v>2455</c:v>
                </c:pt>
                <c:pt idx="151">
                  <c:v>2457</c:v>
                </c:pt>
                <c:pt idx="152">
                  <c:v>2463</c:v>
                </c:pt>
                <c:pt idx="153">
                  <c:v>2450</c:v>
                </c:pt>
                <c:pt idx="154">
                  <c:v>2461</c:v>
                </c:pt>
                <c:pt idx="155">
                  <c:v>2469</c:v>
                </c:pt>
                <c:pt idx="156">
                  <c:v>2466</c:v>
                </c:pt>
                <c:pt idx="157">
                  <c:v>2113</c:v>
                </c:pt>
                <c:pt idx="158">
                  <c:v>2108</c:v>
                </c:pt>
                <c:pt idx="159">
                  <c:v>2086</c:v>
                </c:pt>
                <c:pt idx="160">
                  <c:v>2083</c:v>
                </c:pt>
                <c:pt idx="161">
                  <c:v>2101</c:v>
                </c:pt>
                <c:pt idx="162">
                  <c:v>2123</c:v>
                </c:pt>
                <c:pt idx="164">
                  <c:v>2160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completa!$F$2:$F$2</c:f>
              <c:strCache>
                <c:ptCount val="1"/>
                <c:pt idx="0">
                  <c:v>m-adc-39</c:v>
                </c:pt>
              </c:strCache>
            </c:strRef>
          </c:tx>
          <c:spPr>
            <a:solidFill>
              <a:srgbClr val="7e0021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completa!$F$3:$F$180</c:f>
              <c:numCache>
                <c:formatCode>General</c:formatCode>
                <c:ptCount val="178"/>
                <c:pt idx="3">
                  <c:v>2059</c:v>
                </c:pt>
                <c:pt idx="5">
                  <c:v>2063</c:v>
                </c:pt>
                <c:pt idx="6">
                  <c:v>2067</c:v>
                </c:pt>
                <c:pt idx="8">
                  <c:v>2073</c:v>
                </c:pt>
                <c:pt idx="9">
                  <c:v>2077</c:v>
                </c:pt>
                <c:pt idx="10">
                  <c:v>2078</c:v>
                </c:pt>
                <c:pt idx="12">
                  <c:v>2079</c:v>
                </c:pt>
                <c:pt idx="13">
                  <c:v>2083</c:v>
                </c:pt>
                <c:pt idx="14">
                  <c:v>2085</c:v>
                </c:pt>
                <c:pt idx="16">
                  <c:v>2089</c:v>
                </c:pt>
                <c:pt idx="17">
                  <c:v>2096</c:v>
                </c:pt>
                <c:pt idx="18">
                  <c:v>2095</c:v>
                </c:pt>
                <c:pt idx="20">
                  <c:v>2103</c:v>
                </c:pt>
                <c:pt idx="21">
                  <c:v>2096</c:v>
                </c:pt>
                <c:pt idx="22">
                  <c:v>2101</c:v>
                </c:pt>
                <c:pt idx="23">
                  <c:v>2097</c:v>
                </c:pt>
                <c:pt idx="24">
                  <c:v>2101</c:v>
                </c:pt>
                <c:pt idx="26">
                  <c:v>2106</c:v>
                </c:pt>
                <c:pt idx="27">
                  <c:v>2128</c:v>
                </c:pt>
                <c:pt idx="28">
                  <c:v>2107</c:v>
                </c:pt>
                <c:pt idx="29">
                  <c:v>2109</c:v>
                </c:pt>
                <c:pt idx="31">
                  <c:v>2113</c:v>
                </c:pt>
                <c:pt idx="32">
                  <c:v>2118</c:v>
                </c:pt>
                <c:pt idx="33">
                  <c:v>2115</c:v>
                </c:pt>
                <c:pt idx="34">
                  <c:v>2112</c:v>
                </c:pt>
                <c:pt idx="35">
                  <c:v>2119</c:v>
                </c:pt>
                <c:pt idx="37">
                  <c:v>2096</c:v>
                </c:pt>
                <c:pt idx="38">
                  <c:v>2112</c:v>
                </c:pt>
                <c:pt idx="39">
                  <c:v>2117</c:v>
                </c:pt>
                <c:pt idx="40">
                  <c:v>2103</c:v>
                </c:pt>
                <c:pt idx="41">
                  <c:v>2119</c:v>
                </c:pt>
                <c:pt idx="42">
                  <c:v>2119</c:v>
                </c:pt>
                <c:pt idx="43">
                  <c:v>2095</c:v>
                </c:pt>
                <c:pt idx="44">
                  <c:v>2123</c:v>
                </c:pt>
                <c:pt idx="45">
                  <c:v>2119</c:v>
                </c:pt>
                <c:pt idx="46">
                  <c:v>2117</c:v>
                </c:pt>
                <c:pt idx="47">
                  <c:v>2125</c:v>
                </c:pt>
                <c:pt idx="48">
                  <c:v>2128</c:v>
                </c:pt>
                <c:pt idx="49">
                  <c:v>2109</c:v>
                </c:pt>
                <c:pt idx="50">
                  <c:v>2128</c:v>
                </c:pt>
                <c:pt idx="51">
                  <c:v>2130</c:v>
                </c:pt>
                <c:pt idx="52">
                  <c:v>2110</c:v>
                </c:pt>
                <c:pt idx="53">
                  <c:v>2129</c:v>
                </c:pt>
                <c:pt idx="54">
                  <c:v>2114</c:v>
                </c:pt>
                <c:pt idx="55">
                  <c:v>2114</c:v>
                </c:pt>
                <c:pt idx="56">
                  <c:v>2122</c:v>
                </c:pt>
                <c:pt idx="57">
                  <c:v>2117</c:v>
                </c:pt>
                <c:pt idx="58">
                  <c:v>2115</c:v>
                </c:pt>
                <c:pt idx="59">
                  <c:v>2118</c:v>
                </c:pt>
                <c:pt idx="60">
                  <c:v>2132</c:v>
                </c:pt>
                <c:pt idx="61">
                  <c:v>2134</c:v>
                </c:pt>
                <c:pt idx="62">
                  <c:v>2126</c:v>
                </c:pt>
                <c:pt idx="63">
                  <c:v>2128</c:v>
                </c:pt>
                <c:pt idx="64">
                  <c:v>2128</c:v>
                </c:pt>
                <c:pt idx="65">
                  <c:v>2126</c:v>
                </c:pt>
                <c:pt idx="66">
                  <c:v>2134</c:v>
                </c:pt>
                <c:pt idx="67">
                  <c:v>2137</c:v>
                </c:pt>
                <c:pt idx="68">
                  <c:v>2134</c:v>
                </c:pt>
                <c:pt idx="69">
                  <c:v>2149</c:v>
                </c:pt>
                <c:pt idx="70">
                  <c:v>2137</c:v>
                </c:pt>
                <c:pt idx="71">
                  <c:v>2145</c:v>
                </c:pt>
                <c:pt idx="72">
                  <c:v>2140</c:v>
                </c:pt>
                <c:pt idx="73">
                  <c:v>2144</c:v>
                </c:pt>
                <c:pt idx="74">
                  <c:v>2146</c:v>
                </c:pt>
                <c:pt idx="75">
                  <c:v>2146</c:v>
                </c:pt>
                <c:pt idx="76">
                  <c:v>2147</c:v>
                </c:pt>
                <c:pt idx="77">
                  <c:v>2150</c:v>
                </c:pt>
                <c:pt idx="78">
                  <c:v>2157</c:v>
                </c:pt>
                <c:pt idx="79">
                  <c:v>2159</c:v>
                </c:pt>
                <c:pt idx="80">
                  <c:v>2149</c:v>
                </c:pt>
                <c:pt idx="81">
                  <c:v>2155</c:v>
                </c:pt>
                <c:pt idx="82">
                  <c:v>2153</c:v>
                </c:pt>
                <c:pt idx="83">
                  <c:v>2160</c:v>
                </c:pt>
                <c:pt idx="84">
                  <c:v>2139</c:v>
                </c:pt>
                <c:pt idx="85">
                  <c:v>2159</c:v>
                </c:pt>
                <c:pt idx="86">
                  <c:v>2157</c:v>
                </c:pt>
                <c:pt idx="87">
                  <c:v>2160</c:v>
                </c:pt>
                <c:pt idx="88">
                  <c:v>2158</c:v>
                </c:pt>
                <c:pt idx="89">
                  <c:v>2160</c:v>
                </c:pt>
                <c:pt idx="90">
                  <c:v>2163</c:v>
                </c:pt>
                <c:pt idx="91">
                  <c:v>2161</c:v>
                </c:pt>
                <c:pt idx="92">
                  <c:v>2164</c:v>
                </c:pt>
                <c:pt idx="93">
                  <c:v>2162</c:v>
                </c:pt>
                <c:pt idx="94">
                  <c:v>2164</c:v>
                </c:pt>
                <c:pt idx="95">
                  <c:v>2162</c:v>
                </c:pt>
                <c:pt idx="96">
                  <c:v>2160</c:v>
                </c:pt>
                <c:pt idx="97">
                  <c:v>2336</c:v>
                </c:pt>
                <c:pt idx="98">
                  <c:v>2355</c:v>
                </c:pt>
                <c:pt idx="99">
                  <c:v>2368</c:v>
                </c:pt>
                <c:pt idx="100">
                  <c:v>2367</c:v>
                </c:pt>
                <c:pt idx="101">
                  <c:v>2370</c:v>
                </c:pt>
                <c:pt idx="102">
                  <c:v>2384</c:v>
                </c:pt>
                <c:pt idx="103">
                  <c:v>2375</c:v>
                </c:pt>
                <c:pt idx="104">
                  <c:v>2378</c:v>
                </c:pt>
                <c:pt idx="105">
                  <c:v>2384</c:v>
                </c:pt>
                <c:pt idx="106">
                  <c:v>2384</c:v>
                </c:pt>
                <c:pt idx="107">
                  <c:v>2384</c:v>
                </c:pt>
                <c:pt idx="108">
                  <c:v>2388</c:v>
                </c:pt>
                <c:pt idx="109">
                  <c:v>2390</c:v>
                </c:pt>
                <c:pt idx="110">
                  <c:v>2391</c:v>
                </c:pt>
                <c:pt idx="111">
                  <c:v>2388</c:v>
                </c:pt>
                <c:pt idx="112">
                  <c:v>2401</c:v>
                </c:pt>
                <c:pt idx="113">
                  <c:v>2385</c:v>
                </c:pt>
                <c:pt idx="114">
                  <c:v>2398</c:v>
                </c:pt>
                <c:pt idx="115">
                  <c:v>2401</c:v>
                </c:pt>
                <c:pt idx="116">
                  <c:v>2400</c:v>
                </c:pt>
                <c:pt idx="117">
                  <c:v>2402</c:v>
                </c:pt>
                <c:pt idx="118">
                  <c:v>2405</c:v>
                </c:pt>
                <c:pt idx="119">
                  <c:v>2399</c:v>
                </c:pt>
                <c:pt idx="120">
                  <c:v>2402</c:v>
                </c:pt>
                <c:pt idx="121">
                  <c:v>2406</c:v>
                </c:pt>
                <c:pt idx="122">
                  <c:v>2413</c:v>
                </c:pt>
                <c:pt idx="123">
                  <c:v>2422</c:v>
                </c:pt>
                <c:pt idx="124">
                  <c:v>2412</c:v>
                </c:pt>
                <c:pt idx="125">
                  <c:v>2410</c:v>
                </c:pt>
                <c:pt idx="126">
                  <c:v>2417</c:v>
                </c:pt>
                <c:pt idx="127">
                  <c:v>2413</c:v>
                </c:pt>
                <c:pt idx="128">
                  <c:v>2416</c:v>
                </c:pt>
                <c:pt idx="129">
                  <c:v>2431</c:v>
                </c:pt>
                <c:pt idx="130">
                  <c:v>2419</c:v>
                </c:pt>
                <c:pt idx="131">
                  <c:v>2416</c:v>
                </c:pt>
                <c:pt idx="132">
                  <c:v>2418</c:v>
                </c:pt>
                <c:pt idx="133">
                  <c:v>2422</c:v>
                </c:pt>
                <c:pt idx="134">
                  <c:v>2426</c:v>
                </c:pt>
                <c:pt idx="135">
                  <c:v>2426</c:v>
                </c:pt>
                <c:pt idx="136">
                  <c:v>2416</c:v>
                </c:pt>
                <c:pt idx="137">
                  <c:v>2429</c:v>
                </c:pt>
                <c:pt idx="138">
                  <c:v>2427</c:v>
                </c:pt>
                <c:pt idx="139">
                  <c:v>2426</c:v>
                </c:pt>
                <c:pt idx="140">
                  <c:v>2434</c:v>
                </c:pt>
                <c:pt idx="141">
                  <c:v>2429</c:v>
                </c:pt>
                <c:pt idx="142">
                  <c:v>2431</c:v>
                </c:pt>
                <c:pt idx="143">
                  <c:v>2432</c:v>
                </c:pt>
                <c:pt idx="144">
                  <c:v>2435</c:v>
                </c:pt>
                <c:pt idx="145">
                  <c:v>2432</c:v>
                </c:pt>
                <c:pt idx="146">
                  <c:v>2434</c:v>
                </c:pt>
                <c:pt idx="147">
                  <c:v>2435</c:v>
                </c:pt>
                <c:pt idx="148">
                  <c:v>2426</c:v>
                </c:pt>
                <c:pt idx="149">
                  <c:v>2430</c:v>
                </c:pt>
                <c:pt idx="150">
                  <c:v>2433</c:v>
                </c:pt>
                <c:pt idx="151">
                  <c:v>2443</c:v>
                </c:pt>
                <c:pt idx="152">
                  <c:v>2435</c:v>
                </c:pt>
                <c:pt idx="153">
                  <c:v>2435</c:v>
                </c:pt>
                <c:pt idx="154">
                  <c:v>2443</c:v>
                </c:pt>
                <c:pt idx="155">
                  <c:v>2439</c:v>
                </c:pt>
                <c:pt idx="156">
                  <c:v>2442</c:v>
                </c:pt>
              </c:numCache>
            </c:numRef>
          </c:yVal>
          <c:smooth val="0"/>
        </c:ser>
        <c:axId val="96229266"/>
        <c:axId val="92461787"/>
      </c:scatterChart>
      <c:valAx>
        <c:axId val="962292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2461787"/>
        <c:crosses val="autoZero"/>
        <c:crossBetween val="midCat"/>
      </c:valAx>
      <c:valAx>
        <c:axId val="924617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2292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completa!$B$2:$B$2</c:f>
              <c:strCache>
                <c:ptCount val="1"/>
                <c:pt idx="0">
                  <c:v>m-adc-35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completa!$B$3:$B$180</c:f>
              <c:numCache>
                <c:formatCode>General</c:formatCode>
                <c:ptCount val="178"/>
                <c:pt idx="0">
                  <c:v>1297</c:v>
                </c:pt>
                <c:pt idx="1">
                  <c:v>1270</c:v>
                </c:pt>
                <c:pt idx="2">
                  <c:v>1261</c:v>
                </c:pt>
                <c:pt idx="3">
                  <c:v>1296</c:v>
                </c:pt>
                <c:pt idx="4">
                  <c:v>1264</c:v>
                </c:pt>
                <c:pt idx="5">
                  <c:v>1262</c:v>
                </c:pt>
                <c:pt idx="6">
                  <c:v>1275</c:v>
                </c:pt>
                <c:pt idx="7">
                  <c:v>1557</c:v>
                </c:pt>
                <c:pt idx="8">
                  <c:v>1291</c:v>
                </c:pt>
                <c:pt idx="9">
                  <c:v>1278</c:v>
                </c:pt>
                <c:pt idx="10">
                  <c:v>1285</c:v>
                </c:pt>
                <c:pt idx="11">
                  <c:v>1567</c:v>
                </c:pt>
                <c:pt idx="12">
                  <c:v>1281</c:v>
                </c:pt>
                <c:pt idx="13">
                  <c:v>1281</c:v>
                </c:pt>
                <c:pt idx="14">
                  <c:v>1287</c:v>
                </c:pt>
                <c:pt idx="15">
                  <c:v>1534</c:v>
                </c:pt>
                <c:pt idx="16">
                  <c:v>1264</c:v>
                </c:pt>
                <c:pt idx="17">
                  <c:v>1284</c:v>
                </c:pt>
                <c:pt idx="18">
                  <c:v>1264</c:v>
                </c:pt>
                <c:pt idx="19">
                  <c:v>1535</c:v>
                </c:pt>
                <c:pt idx="20">
                  <c:v>1264</c:v>
                </c:pt>
                <c:pt idx="21">
                  <c:v>1281</c:v>
                </c:pt>
                <c:pt idx="22">
                  <c:v>1280</c:v>
                </c:pt>
                <c:pt idx="23">
                  <c:v>1275</c:v>
                </c:pt>
                <c:pt idx="24">
                  <c:v>1238</c:v>
                </c:pt>
                <c:pt idx="25">
                  <c:v>1584</c:v>
                </c:pt>
                <c:pt idx="26">
                  <c:v>1250</c:v>
                </c:pt>
                <c:pt idx="27">
                  <c:v>1291</c:v>
                </c:pt>
                <c:pt idx="28">
                  <c:v>1257</c:v>
                </c:pt>
                <c:pt idx="29">
                  <c:v>1292</c:v>
                </c:pt>
                <c:pt idx="30">
                  <c:v>1587</c:v>
                </c:pt>
                <c:pt idx="31">
                  <c:v>1273</c:v>
                </c:pt>
                <c:pt idx="32">
                  <c:v>1243</c:v>
                </c:pt>
                <c:pt idx="33">
                  <c:v>1277</c:v>
                </c:pt>
                <c:pt idx="34">
                  <c:v>1291</c:v>
                </c:pt>
                <c:pt idx="35">
                  <c:v>1309</c:v>
                </c:pt>
                <c:pt idx="36">
                  <c:v>1571</c:v>
                </c:pt>
                <c:pt idx="37">
                  <c:v>1584</c:v>
                </c:pt>
                <c:pt idx="38">
                  <c:v>1270</c:v>
                </c:pt>
                <c:pt idx="39">
                  <c:v>1280</c:v>
                </c:pt>
                <c:pt idx="40">
                  <c:v>1535</c:v>
                </c:pt>
                <c:pt idx="41">
                  <c:v>1265</c:v>
                </c:pt>
                <c:pt idx="42">
                  <c:v>1258</c:v>
                </c:pt>
                <c:pt idx="43">
                  <c:v>1535</c:v>
                </c:pt>
                <c:pt idx="44">
                  <c:v>1271</c:v>
                </c:pt>
                <c:pt idx="45">
                  <c:v>1276</c:v>
                </c:pt>
                <c:pt idx="46">
                  <c:v>1266</c:v>
                </c:pt>
                <c:pt idx="47">
                  <c:v>1264</c:v>
                </c:pt>
                <c:pt idx="48">
                  <c:v>1255</c:v>
                </c:pt>
                <c:pt idx="49">
                  <c:v>1535</c:v>
                </c:pt>
                <c:pt idx="50">
                  <c:v>1252</c:v>
                </c:pt>
                <c:pt idx="51">
                  <c:v>1273</c:v>
                </c:pt>
                <c:pt idx="52">
                  <c:v>1555</c:v>
                </c:pt>
                <c:pt idx="53">
                  <c:v>1274</c:v>
                </c:pt>
                <c:pt idx="54">
                  <c:v>1586</c:v>
                </c:pt>
                <c:pt idx="55">
                  <c:v>1535</c:v>
                </c:pt>
                <c:pt idx="56">
                  <c:v>1613</c:v>
                </c:pt>
                <c:pt idx="57">
                  <c:v>1562</c:v>
                </c:pt>
                <c:pt idx="58">
                  <c:v>1535</c:v>
                </c:pt>
                <c:pt idx="59">
                  <c:v>1535</c:v>
                </c:pt>
                <c:pt idx="60">
                  <c:v>1535</c:v>
                </c:pt>
                <c:pt idx="61">
                  <c:v>1535</c:v>
                </c:pt>
                <c:pt idx="62">
                  <c:v>1570</c:v>
                </c:pt>
                <c:pt idx="63">
                  <c:v>1554</c:v>
                </c:pt>
                <c:pt idx="64">
                  <c:v>1557</c:v>
                </c:pt>
                <c:pt idx="65">
                  <c:v>1535</c:v>
                </c:pt>
                <c:pt idx="66">
                  <c:v>1535</c:v>
                </c:pt>
                <c:pt idx="67">
                  <c:v>1565</c:v>
                </c:pt>
                <c:pt idx="68">
                  <c:v>1570</c:v>
                </c:pt>
                <c:pt idx="69">
                  <c:v>1552</c:v>
                </c:pt>
                <c:pt idx="70">
                  <c:v>1552</c:v>
                </c:pt>
                <c:pt idx="71">
                  <c:v>1527</c:v>
                </c:pt>
                <c:pt idx="72">
                  <c:v>1552</c:v>
                </c:pt>
                <c:pt idx="73">
                  <c:v>1569</c:v>
                </c:pt>
                <c:pt idx="74">
                  <c:v>1581</c:v>
                </c:pt>
                <c:pt idx="75">
                  <c:v>1535</c:v>
                </c:pt>
                <c:pt idx="76">
                  <c:v>1535</c:v>
                </c:pt>
                <c:pt idx="77">
                  <c:v>1535</c:v>
                </c:pt>
                <c:pt idx="78">
                  <c:v>1569</c:v>
                </c:pt>
                <c:pt idx="79">
                  <c:v>1530</c:v>
                </c:pt>
                <c:pt idx="80">
                  <c:v>1571</c:v>
                </c:pt>
                <c:pt idx="81">
                  <c:v>1557</c:v>
                </c:pt>
                <c:pt idx="82">
                  <c:v>1581</c:v>
                </c:pt>
                <c:pt idx="83">
                  <c:v>1535</c:v>
                </c:pt>
                <c:pt idx="84">
                  <c:v>1573</c:v>
                </c:pt>
                <c:pt idx="85">
                  <c:v>1563</c:v>
                </c:pt>
                <c:pt idx="86">
                  <c:v>1587</c:v>
                </c:pt>
                <c:pt idx="87">
                  <c:v>1559</c:v>
                </c:pt>
                <c:pt idx="88">
                  <c:v>1556</c:v>
                </c:pt>
                <c:pt idx="89">
                  <c:v>1571</c:v>
                </c:pt>
                <c:pt idx="90">
                  <c:v>1563</c:v>
                </c:pt>
                <c:pt idx="91">
                  <c:v>1534</c:v>
                </c:pt>
                <c:pt idx="92">
                  <c:v>1559</c:v>
                </c:pt>
                <c:pt idx="93">
                  <c:v>1598</c:v>
                </c:pt>
                <c:pt idx="94">
                  <c:v>1535</c:v>
                </c:pt>
                <c:pt idx="95">
                  <c:v>1509</c:v>
                </c:pt>
                <c:pt idx="96">
                  <c:v>1565</c:v>
                </c:pt>
                <c:pt idx="97">
                  <c:v>2126</c:v>
                </c:pt>
                <c:pt idx="98">
                  <c:v>2217</c:v>
                </c:pt>
                <c:pt idx="99">
                  <c:v>2125</c:v>
                </c:pt>
                <c:pt idx="100">
                  <c:v>2132</c:v>
                </c:pt>
                <c:pt idx="101">
                  <c:v>2126</c:v>
                </c:pt>
                <c:pt idx="102">
                  <c:v>2064</c:v>
                </c:pt>
                <c:pt idx="103">
                  <c:v>2119</c:v>
                </c:pt>
                <c:pt idx="104">
                  <c:v>2101</c:v>
                </c:pt>
                <c:pt idx="105">
                  <c:v>2170</c:v>
                </c:pt>
                <c:pt idx="106">
                  <c:v>2126</c:v>
                </c:pt>
                <c:pt idx="107">
                  <c:v>2122</c:v>
                </c:pt>
                <c:pt idx="108">
                  <c:v>2128</c:v>
                </c:pt>
                <c:pt idx="109">
                  <c:v>2119</c:v>
                </c:pt>
                <c:pt idx="110">
                  <c:v>2117</c:v>
                </c:pt>
                <c:pt idx="111">
                  <c:v>2116</c:v>
                </c:pt>
                <c:pt idx="112">
                  <c:v>2125</c:v>
                </c:pt>
                <c:pt idx="113">
                  <c:v>2117</c:v>
                </c:pt>
                <c:pt idx="114">
                  <c:v>2127</c:v>
                </c:pt>
                <c:pt idx="115">
                  <c:v>2118</c:v>
                </c:pt>
                <c:pt idx="116">
                  <c:v>2125</c:v>
                </c:pt>
                <c:pt idx="117">
                  <c:v>2101</c:v>
                </c:pt>
                <c:pt idx="118">
                  <c:v>2116</c:v>
                </c:pt>
                <c:pt idx="119">
                  <c:v>2102</c:v>
                </c:pt>
                <c:pt idx="120">
                  <c:v>2125</c:v>
                </c:pt>
                <c:pt idx="121">
                  <c:v>2096</c:v>
                </c:pt>
                <c:pt idx="122">
                  <c:v>2124</c:v>
                </c:pt>
                <c:pt idx="123">
                  <c:v>2112</c:v>
                </c:pt>
                <c:pt idx="124">
                  <c:v>2118</c:v>
                </c:pt>
                <c:pt idx="125">
                  <c:v>2123</c:v>
                </c:pt>
                <c:pt idx="126">
                  <c:v>2129</c:v>
                </c:pt>
                <c:pt idx="127">
                  <c:v>2116</c:v>
                </c:pt>
                <c:pt idx="128">
                  <c:v>2122</c:v>
                </c:pt>
                <c:pt idx="129">
                  <c:v>2112</c:v>
                </c:pt>
                <c:pt idx="130">
                  <c:v>2100</c:v>
                </c:pt>
                <c:pt idx="131">
                  <c:v>2125</c:v>
                </c:pt>
                <c:pt idx="132">
                  <c:v>2096</c:v>
                </c:pt>
                <c:pt idx="133">
                  <c:v>2126</c:v>
                </c:pt>
                <c:pt idx="134">
                  <c:v>2102</c:v>
                </c:pt>
                <c:pt idx="135">
                  <c:v>2124</c:v>
                </c:pt>
                <c:pt idx="136">
                  <c:v>2119</c:v>
                </c:pt>
                <c:pt idx="137">
                  <c:v>2112</c:v>
                </c:pt>
                <c:pt idx="138">
                  <c:v>2112</c:v>
                </c:pt>
                <c:pt idx="139">
                  <c:v>2123</c:v>
                </c:pt>
                <c:pt idx="140">
                  <c:v>2085</c:v>
                </c:pt>
                <c:pt idx="141">
                  <c:v>2129</c:v>
                </c:pt>
                <c:pt idx="142">
                  <c:v>2128</c:v>
                </c:pt>
                <c:pt idx="143">
                  <c:v>2111</c:v>
                </c:pt>
                <c:pt idx="144">
                  <c:v>2121</c:v>
                </c:pt>
                <c:pt idx="145">
                  <c:v>2128</c:v>
                </c:pt>
                <c:pt idx="146">
                  <c:v>2121</c:v>
                </c:pt>
                <c:pt idx="147">
                  <c:v>2119</c:v>
                </c:pt>
                <c:pt idx="148">
                  <c:v>2119</c:v>
                </c:pt>
                <c:pt idx="149">
                  <c:v>2121</c:v>
                </c:pt>
                <c:pt idx="150">
                  <c:v>2121</c:v>
                </c:pt>
                <c:pt idx="151">
                  <c:v>2101</c:v>
                </c:pt>
                <c:pt idx="152">
                  <c:v>2130</c:v>
                </c:pt>
                <c:pt idx="153">
                  <c:v>2101</c:v>
                </c:pt>
                <c:pt idx="154">
                  <c:v>2111</c:v>
                </c:pt>
                <c:pt idx="155">
                  <c:v>2112</c:v>
                </c:pt>
                <c:pt idx="156">
                  <c:v>2112</c:v>
                </c:pt>
                <c:pt idx="157">
                  <c:v>1296</c:v>
                </c:pt>
                <c:pt idx="158">
                  <c:v>1255</c:v>
                </c:pt>
                <c:pt idx="159">
                  <c:v>1284</c:v>
                </c:pt>
                <c:pt idx="160">
                  <c:v>1264</c:v>
                </c:pt>
                <c:pt idx="161">
                  <c:v>1286</c:v>
                </c:pt>
                <c:pt idx="162">
                  <c:v>1268</c:v>
                </c:pt>
                <c:pt idx="163">
                  <c:v>1535</c:v>
                </c:pt>
                <c:pt idx="164">
                  <c:v>1579</c:v>
                </c:pt>
                <c:pt idx="165">
                  <c:v>1535</c:v>
                </c:pt>
                <c:pt idx="166">
                  <c:v>1565</c:v>
                </c:pt>
                <c:pt idx="167">
                  <c:v>1584</c:v>
                </c:pt>
                <c:pt idx="168">
                  <c:v>1535</c:v>
                </c:pt>
                <c:pt idx="169">
                  <c:v>1513</c:v>
                </c:pt>
                <c:pt idx="170">
                  <c:v>2111</c:v>
                </c:pt>
                <c:pt idx="171">
                  <c:v>2103</c:v>
                </c:pt>
                <c:pt idx="172">
                  <c:v>2128</c:v>
                </c:pt>
                <c:pt idx="173">
                  <c:v>2126</c:v>
                </c:pt>
                <c:pt idx="174">
                  <c:v>2178</c:v>
                </c:pt>
                <c:pt idx="175">
                  <c:v>2113</c:v>
                </c:pt>
                <c:pt idx="176">
                  <c:v>2134</c:v>
                </c:pt>
                <c:pt idx="177">
                  <c:v>2129</c:v>
                </c:pt>
              </c:numCache>
            </c:numRef>
          </c:xVal>
          <c:y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yVal>
          <c:smooth val="0"/>
        </c:ser>
        <c:axId val="10802455"/>
        <c:axId val="92150464"/>
      </c:scatterChart>
      <c:valAx>
        <c:axId val="108024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2150464"/>
        <c:crosses val="autoZero"/>
        <c:crossBetween val="midCat"/>
      </c:valAx>
      <c:valAx>
        <c:axId val="921504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80245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completa!$D$2:$D$2</c:f>
              <c:strCache>
                <c:ptCount val="1"/>
                <c:pt idx="0">
                  <c:v>m-adc-34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completa!$D$3:$D$180</c:f>
              <c:numCache>
                <c:formatCode>General</c:formatCode>
                <c:ptCount val="178"/>
                <c:pt idx="0">
                  <c:v>1891</c:v>
                </c:pt>
                <c:pt idx="1">
                  <c:v>2000</c:v>
                </c:pt>
                <c:pt idx="2">
                  <c:v>2011</c:v>
                </c:pt>
                <c:pt idx="3">
                  <c:v>2014</c:v>
                </c:pt>
                <c:pt idx="4">
                  <c:v>2015</c:v>
                </c:pt>
                <c:pt idx="5">
                  <c:v>2022</c:v>
                </c:pt>
                <c:pt idx="6">
                  <c:v>2027</c:v>
                </c:pt>
                <c:pt idx="7">
                  <c:v>2027</c:v>
                </c:pt>
                <c:pt idx="8">
                  <c:v>2032</c:v>
                </c:pt>
                <c:pt idx="9">
                  <c:v>2033</c:v>
                </c:pt>
                <c:pt idx="10">
                  <c:v>2037</c:v>
                </c:pt>
                <c:pt idx="11">
                  <c:v>2037</c:v>
                </c:pt>
                <c:pt idx="12">
                  <c:v>2042</c:v>
                </c:pt>
                <c:pt idx="13">
                  <c:v>2045</c:v>
                </c:pt>
                <c:pt idx="14">
                  <c:v>2047</c:v>
                </c:pt>
                <c:pt idx="15">
                  <c:v>2054</c:v>
                </c:pt>
                <c:pt idx="16">
                  <c:v>2055</c:v>
                </c:pt>
                <c:pt idx="17">
                  <c:v>2057</c:v>
                </c:pt>
                <c:pt idx="18">
                  <c:v>2064</c:v>
                </c:pt>
                <c:pt idx="19">
                  <c:v>2064</c:v>
                </c:pt>
                <c:pt idx="20">
                  <c:v>2065</c:v>
                </c:pt>
                <c:pt idx="21">
                  <c:v>2066</c:v>
                </c:pt>
                <c:pt idx="22">
                  <c:v>2066</c:v>
                </c:pt>
                <c:pt idx="23">
                  <c:v>2066</c:v>
                </c:pt>
                <c:pt idx="24">
                  <c:v>2066</c:v>
                </c:pt>
                <c:pt idx="25">
                  <c:v>2067</c:v>
                </c:pt>
                <c:pt idx="26">
                  <c:v>2070</c:v>
                </c:pt>
                <c:pt idx="27">
                  <c:v>2071</c:v>
                </c:pt>
                <c:pt idx="28">
                  <c:v>2072</c:v>
                </c:pt>
                <c:pt idx="29">
                  <c:v>2075</c:v>
                </c:pt>
                <c:pt idx="30">
                  <c:v>2075</c:v>
                </c:pt>
                <c:pt idx="31">
                  <c:v>2077</c:v>
                </c:pt>
                <c:pt idx="32">
                  <c:v>2077</c:v>
                </c:pt>
                <c:pt idx="33">
                  <c:v>2078</c:v>
                </c:pt>
                <c:pt idx="34">
                  <c:v>2082</c:v>
                </c:pt>
                <c:pt idx="35">
                  <c:v>2083</c:v>
                </c:pt>
                <c:pt idx="36">
                  <c:v>2083</c:v>
                </c:pt>
                <c:pt idx="37">
                  <c:v>2084</c:v>
                </c:pt>
                <c:pt idx="38">
                  <c:v>2085</c:v>
                </c:pt>
                <c:pt idx="39">
                  <c:v>2086</c:v>
                </c:pt>
                <c:pt idx="40">
                  <c:v>2086</c:v>
                </c:pt>
                <c:pt idx="41">
                  <c:v>2090</c:v>
                </c:pt>
                <c:pt idx="42">
                  <c:v>2091</c:v>
                </c:pt>
                <c:pt idx="43">
                  <c:v>2091</c:v>
                </c:pt>
                <c:pt idx="44">
                  <c:v>2094</c:v>
                </c:pt>
                <c:pt idx="45">
                  <c:v>2095</c:v>
                </c:pt>
                <c:pt idx="46">
                  <c:v>2096</c:v>
                </c:pt>
                <c:pt idx="47">
                  <c:v>2096</c:v>
                </c:pt>
                <c:pt idx="48">
                  <c:v>2096</c:v>
                </c:pt>
                <c:pt idx="49">
                  <c:v>2097</c:v>
                </c:pt>
                <c:pt idx="50">
                  <c:v>2099</c:v>
                </c:pt>
                <c:pt idx="51">
                  <c:v>2100</c:v>
                </c:pt>
                <c:pt idx="52">
                  <c:v>2100</c:v>
                </c:pt>
                <c:pt idx="53">
                  <c:v>2101</c:v>
                </c:pt>
                <c:pt idx="54">
                  <c:v>2102</c:v>
                </c:pt>
                <c:pt idx="55">
                  <c:v>2108</c:v>
                </c:pt>
                <c:pt idx="56">
                  <c:v>2109</c:v>
                </c:pt>
                <c:pt idx="57">
                  <c:v>2112</c:v>
                </c:pt>
                <c:pt idx="58">
                  <c:v>2113</c:v>
                </c:pt>
                <c:pt idx="59">
                  <c:v>2114</c:v>
                </c:pt>
                <c:pt idx="60">
                  <c:v>2119</c:v>
                </c:pt>
                <c:pt idx="61">
                  <c:v>2119</c:v>
                </c:pt>
                <c:pt idx="62">
                  <c:v>2121</c:v>
                </c:pt>
                <c:pt idx="63">
                  <c:v>2121</c:v>
                </c:pt>
                <c:pt idx="64">
                  <c:v>2122</c:v>
                </c:pt>
                <c:pt idx="65">
                  <c:v>2122</c:v>
                </c:pt>
                <c:pt idx="66">
                  <c:v>2128</c:v>
                </c:pt>
                <c:pt idx="67">
                  <c:v>2128</c:v>
                </c:pt>
                <c:pt idx="68">
                  <c:v>2130</c:v>
                </c:pt>
                <c:pt idx="69">
                  <c:v>2131</c:v>
                </c:pt>
                <c:pt idx="70">
                  <c:v>2132</c:v>
                </c:pt>
                <c:pt idx="71">
                  <c:v>2134</c:v>
                </c:pt>
                <c:pt idx="72">
                  <c:v>2135</c:v>
                </c:pt>
                <c:pt idx="73">
                  <c:v>2138</c:v>
                </c:pt>
                <c:pt idx="74">
                  <c:v>2138</c:v>
                </c:pt>
                <c:pt idx="75">
                  <c:v>2141</c:v>
                </c:pt>
                <c:pt idx="76">
                  <c:v>2141</c:v>
                </c:pt>
                <c:pt idx="77">
                  <c:v>2143</c:v>
                </c:pt>
                <c:pt idx="78">
                  <c:v>2145</c:v>
                </c:pt>
                <c:pt idx="79">
                  <c:v>2146</c:v>
                </c:pt>
                <c:pt idx="80">
                  <c:v>2146</c:v>
                </c:pt>
                <c:pt idx="81">
                  <c:v>2148</c:v>
                </c:pt>
                <c:pt idx="82">
                  <c:v>2148</c:v>
                </c:pt>
                <c:pt idx="83">
                  <c:v>2151</c:v>
                </c:pt>
                <c:pt idx="84">
                  <c:v>2153</c:v>
                </c:pt>
                <c:pt idx="85">
                  <c:v>2154</c:v>
                </c:pt>
                <c:pt idx="86">
                  <c:v>2155</c:v>
                </c:pt>
                <c:pt idx="87">
                  <c:v>2156</c:v>
                </c:pt>
                <c:pt idx="88">
                  <c:v>2157</c:v>
                </c:pt>
                <c:pt idx="89">
                  <c:v>2158</c:v>
                </c:pt>
                <c:pt idx="90">
                  <c:v>2159</c:v>
                </c:pt>
                <c:pt idx="91">
                  <c:v>2160</c:v>
                </c:pt>
                <c:pt idx="92">
                  <c:v>2160</c:v>
                </c:pt>
                <c:pt idx="93">
                  <c:v>2160</c:v>
                </c:pt>
                <c:pt idx="94">
                  <c:v>2160</c:v>
                </c:pt>
                <c:pt idx="95">
                  <c:v>2160</c:v>
                </c:pt>
                <c:pt idx="96">
                  <c:v>2174</c:v>
                </c:pt>
                <c:pt idx="97">
                  <c:v>2309</c:v>
                </c:pt>
                <c:pt idx="98">
                  <c:v>2325</c:v>
                </c:pt>
                <c:pt idx="99">
                  <c:v>2337</c:v>
                </c:pt>
                <c:pt idx="100">
                  <c:v>2341</c:v>
                </c:pt>
                <c:pt idx="101">
                  <c:v>2351</c:v>
                </c:pt>
                <c:pt idx="102">
                  <c:v>2357</c:v>
                </c:pt>
                <c:pt idx="103">
                  <c:v>2364</c:v>
                </c:pt>
                <c:pt idx="104">
                  <c:v>2369</c:v>
                </c:pt>
                <c:pt idx="105">
                  <c:v>2379</c:v>
                </c:pt>
                <c:pt idx="106">
                  <c:v>2381</c:v>
                </c:pt>
                <c:pt idx="107">
                  <c:v>2382</c:v>
                </c:pt>
                <c:pt idx="108">
                  <c:v>2384</c:v>
                </c:pt>
                <c:pt idx="109">
                  <c:v>2387</c:v>
                </c:pt>
                <c:pt idx="110">
                  <c:v>2390</c:v>
                </c:pt>
                <c:pt idx="111">
                  <c:v>2399</c:v>
                </c:pt>
                <c:pt idx="112">
                  <c:v>2400</c:v>
                </c:pt>
                <c:pt idx="113">
                  <c:v>2402</c:v>
                </c:pt>
                <c:pt idx="114">
                  <c:v>2403</c:v>
                </c:pt>
                <c:pt idx="115">
                  <c:v>2411</c:v>
                </c:pt>
                <c:pt idx="116">
                  <c:v>2411</c:v>
                </c:pt>
                <c:pt idx="117">
                  <c:v>2413</c:v>
                </c:pt>
                <c:pt idx="118">
                  <c:v>2416</c:v>
                </c:pt>
                <c:pt idx="119">
                  <c:v>2416</c:v>
                </c:pt>
                <c:pt idx="120">
                  <c:v>2416</c:v>
                </c:pt>
                <c:pt idx="121">
                  <c:v>2416</c:v>
                </c:pt>
                <c:pt idx="122">
                  <c:v>2416</c:v>
                </c:pt>
                <c:pt idx="123">
                  <c:v>2417</c:v>
                </c:pt>
                <c:pt idx="124">
                  <c:v>2418</c:v>
                </c:pt>
                <c:pt idx="125">
                  <c:v>2419</c:v>
                </c:pt>
                <c:pt idx="126">
                  <c:v>2421</c:v>
                </c:pt>
                <c:pt idx="127">
                  <c:v>2422</c:v>
                </c:pt>
                <c:pt idx="128">
                  <c:v>2426</c:v>
                </c:pt>
                <c:pt idx="129">
                  <c:v>2430</c:v>
                </c:pt>
                <c:pt idx="130">
                  <c:v>2431</c:v>
                </c:pt>
                <c:pt idx="131">
                  <c:v>2431</c:v>
                </c:pt>
                <c:pt idx="132">
                  <c:v>2432</c:v>
                </c:pt>
                <c:pt idx="133">
                  <c:v>2432</c:v>
                </c:pt>
                <c:pt idx="134">
                  <c:v>2434</c:v>
                </c:pt>
                <c:pt idx="135">
                  <c:v>2434</c:v>
                </c:pt>
                <c:pt idx="136">
                  <c:v>2435</c:v>
                </c:pt>
                <c:pt idx="137">
                  <c:v>2437</c:v>
                </c:pt>
                <c:pt idx="138">
                  <c:v>2439</c:v>
                </c:pt>
                <c:pt idx="139">
                  <c:v>2442</c:v>
                </c:pt>
                <c:pt idx="140">
                  <c:v>2443</c:v>
                </c:pt>
                <c:pt idx="141">
                  <c:v>2443</c:v>
                </c:pt>
                <c:pt idx="142">
                  <c:v>2444</c:v>
                </c:pt>
                <c:pt idx="143">
                  <c:v>2445</c:v>
                </c:pt>
                <c:pt idx="144">
                  <c:v>2445</c:v>
                </c:pt>
                <c:pt idx="145">
                  <c:v>2445</c:v>
                </c:pt>
                <c:pt idx="146">
                  <c:v>2447</c:v>
                </c:pt>
                <c:pt idx="147">
                  <c:v>2447</c:v>
                </c:pt>
                <c:pt idx="148">
                  <c:v>2448</c:v>
                </c:pt>
                <c:pt idx="149">
                  <c:v>2448</c:v>
                </c:pt>
                <c:pt idx="150">
                  <c:v>2449</c:v>
                </c:pt>
                <c:pt idx="151">
                  <c:v>2449</c:v>
                </c:pt>
                <c:pt idx="152">
                  <c:v>2450</c:v>
                </c:pt>
                <c:pt idx="153">
                  <c:v>2450</c:v>
                </c:pt>
                <c:pt idx="154">
                  <c:v>2451</c:v>
                </c:pt>
                <c:pt idx="155">
                  <c:v>2462</c:v>
                </c:pt>
                <c:pt idx="156">
                  <c:v>2463</c:v>
                </c:pt>
              </c:numCache>
            </c:numRef>
          </c:xVal>
          <c:y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yVal>
          <c:smooth val="0"/>
        </c:ser>
        <c:axId val="93012269"/>
        <c:axId val="24534272"/>
      </c:scatterChart>
      <c:valAx>
        <c:axId val="9301226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534272"/>
        <c:crosses val="autoZero"/>
        <c:crossBetween val="midCat"/>
      </c:valAx>
      <c:valAx>
        <c:axId val="245342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301226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completa!$E$2:$E$2</c:f>
              <c:strCache>
                <c:ptCount val="1"/>
                <c:pt idx="0">
                  <c:v>m-adc-36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completa!$E$3:$E$180</c:f>
              <c:numCache>
                <c:formatCode>General</c:formatCode>
                <c:ptCount val="178"/>
                <c:pt idx="0">
                  <c:v>2063</c:v>
                </c:pt>
                <c:pt idx="1">
                  <c:v>2125</c:v>
                </c:pt>
                <c:pt idx="2">
                  <c:v>2128</c:v>
                </c:pt>
                <c:pt idx="3">
                  <c:v>2133</c:v>
                </c:pt>
                <c:pt idx="4">
                  <c:v>2128</c:v>
                </c:pt>
                <c:pt idx="5">
                  <c:v>2138</c:v>
                </c:pt>
                <c:pt idx="6">
                  <c:v>2143</c:v>
                </c:pt>
                <c:pt idx="7">
                  <c:v>2174</c:v>
                </c:pt>
                <c:pt idx="8">
                  <c:v>2142</c:v>
                </c:pt>
                <c:pt idx="9">
                  <c:v>2143</c:v>
                </c:pt>
                <c:pt idx="10">
                  <c:v>2143</c:v>
                </c:pt>
                <c:pt idx="11">
                  <c:v>2179</c:v>
                </c:pt>
                <c:pt idx="12">
                  <c:v>2145</c:v>
                </c:pt>
                <c:pt idx="13">
                  <c:v>2147</c:v>
                </c:pt>
                <c:pt idx="14">
                  <c:v>2154</c:v>
                </c:pt>
                <c:pt idx="15">
                  <c:v>2187</c:v>
                </c:pt>
                <c:pt idx="16">
                  <c:v>2153</c:v>
                </c:pt>
                <c:pt idx="17">
                  <c:v>2155</c:v>
                </c:pt>
                <c:pt idx="18">
                  <c:v>2154</c:v>
                </c:pt>
                <c:pt idx="19">
                  <c:v>2189</c:v>
                </c:pt>
                <c:pt idx="20">
                  <c:v>2157</c:v>
                </c:pt>
                <c:pt idx="21">
                  <c:v>2153</c:v>
                </c:pt>
                <c:pt idx="22">
                  <c:v>2159</c:v>
                </c:pt>
                <c:pt idx="23">
                  <c:v>2157</c:v>
                </c:pt>
                <c:pt idx="24">
                  <c:v>2159</c:v>
                </c:pt>
                <c:pt idx="25">
                  <c:v>2189</c:v>
                </c:pt>
                <c:pt idx="26">
                  <c:v>2160</c:v>
                </c:pt>
                <c:pt idx="27">
                  <c:v>2175</c:v>
                </c:pt>
                <c:pt idx="28">
                  <c:v>2160</c:v>
                </c:pt>
                <c:pt idx="29">
                  <c:v>2160</c:v>
                </c:pt>
                <c:pt idx="30">
                  <c:v>2194</c:v>
                </c:pt>
                <c:pt idx="31">
                  <c:v>2163</c:v>
                </c:pt>
                <c:pt idx="32">
                  <c:v>2165</c:v>
                </c:pt>
                <c:pt idx="33">
                  <c:v>2165</c:v>
                </c:pt>
                <c:pt idx="34">
                  <c:v>2159</c:v>
                </c:pt>
                <c:pt idx="35">
                  <c:v>2166</c:v>
                </c:pt>
                <c:pt idx="36">
                  <c:v>2194</c:v>
                </c:pt>
                <c:pt idx="37">
                  <c:v>2192</c:v>
                </c:pt>
                <c:pt idx="38">
                  <c:v>2163</c:v>
                </c:pt>
                <c:pt idx="39">
                  <c:v>2164</c:v>
                </c:pt>
                <c:pt idx="40">
                  <c:v>2202</c:v>
                </c:pt>
                <c:pt idx="41">
                  <c:v>2167</c:v>
                </c:pt>
                <c:pt idx="42">
                  <c:v>2166</c:v>
                </c:pt>
                <c:pt idx="43">
                  <c:v>2201</c:v>
                </c:pt>
                <c:pt idx="44">
                  <c:v>2167</c:v>
                </c:pt>
                <c:pt idx="45">
                  <c:v>2170</c:v>
                </c:pt>
                <c:pt idx="46">
                  <c:v>2171</c:v>
                </c:pt>
                <c:pt idx="47">
                  <c:v>2173</c:v>
                </c:pt>
                <c:pt idx="48">
                  <c:v>2175</c:v>
                </c:pt>
                <c:pt idx="49">
                  <c:v>2206</c:v>
                </c:pt>
                <c:pt idx="50">
                  <c:v>2170</c:v>
                </c:pt>
                <c:pt idx="51">
                  <c:v>2174</c:v>
                </c:pt>
                <c:pt idx="52">
                  <c:v>2205</c:v>
                </c:pt>
                <c:pt idx="53">
                  <c:v>2172</c:v>
                </c:pt>
                <c:pt idx="54">
                  <c:v>2231</c:v>
                </c:pt>
                <c:pt idx="55">
                  <c:v>2214</c:v>
                </c:pt>
                <c:pt idx="56">
                  <c:v>2204</c:v>
                </c:pt>
                <c:pt idx="57">
                  <c:v>2208</c:v>
                </c:pt>
                <c:pt idx="58">
                  <c:v>2215</c:v>
                </c:pt>
                <c:pt idx="59">
                  <c:v>2218</c:v>
                </c:pt>
                <c:pt idx="60">
                  <c:v>2224</c:v>
                </c:pt>
                <c:pt idx="61">
                  <c:v>2224</c:v>
                </c:pt>
                <c:pt idx="62">
                  <c:v>2224</c:v>
                </c:pt>
                <c:pt idx="63">
                  <c:v>2222</c:v>
                </c:pt>
                <c:pt idx="64">
                  <c:v>2222</c:v>
                </c:pt>
                <c:pt idx="65">
                  <c:v>2215</c:v>
                </c:pt>
                <c:pt idx="66">
                  <c:v>2224</c:v>
                </c:pt>
                <c:pt idx="67">
                  <c:v>2224</c:v>
                </c:pt>
                <c:pt idx="68">
                  <c:v>2224</c:v>
                </c:pt>
                <c:pt idx="69">
                  <c:v>2226</c:v>
                </c:pt>
                <c:pt idx="70">
                  <c:v>2224</c:v>
                </c:pt>
                <c:pt idx="71">
                  <c:v>2228</c:v>
                </c:pt>
                <c:pt idx="72">
                  <c:v>2227</c:v>
                </c:pt>
                <c:pt idx="73">
                  <c:v>2228</c:v>
                </c:pt>
                <c:pt idx="74">
                  <c:v>2237</c:v>
                </c:pt>
                <c:pt idx="75">
                  <c:v>2227</c:v>
                </c:pt>
                <c:pt idx="76">
                  <c:v>2228</c:v>
                </c:pt>
                <c:pt idx="77">
                  <c:v>2231</c:v>
                </c:pt>
                <c:pt idx="78">
                  <c:v>2235</c:v>
                </c:pt>
                <c:pt idx="79">
                  <c:v>2238</c:v>
                </c:pt>
                <c:pt idx="80">
                  <c:v>2233</c:v>
                </c:pt>
                <c:pt idx="81">
                  <c:v>2231</c:v>
                </c:pt>
                <c:pt idx="82">
                  <c:v>2228</c:v>
                </c:pt>
                <c:pt idx="83">
                  <c:v>2236</c:v>
                </c:pt>
                <c:pt idx="84">
                  <c:v>2238</c:v>
                </c:pt>
                <c:pt idx="85">
                  <c:v>2240</c:v>
                </c:pt>
                <c:pt idx="86">
                  <c:v>2238</c:v>
                </c:pt>
                <c:pt idx="87">
                  <c:v>2242</c:v>
                </c:pt>
                <c:pt idx="88">
                  <c:v>2243</c:v>
                </c:pt>
                <c:pt idx="89">
                  <c:v>2238</c:v>
                </c:pt>
                <c:pt idx="90">
                  <c:v>2243</c:v>
                </c:pt>
                <c:pt idx="91">
                  <c:v>2239</c:v>
                </c:pt>
                <c:pt idx="92">
                  <c:v>2243</c:v>
                </c:pt>
                <c:pt idx="93">
                  <c:v>2241</c:v>
                </c:pt>
                <c:pt idx="94">
                  <c:v>2242</c:v>
                </c:pt>
                <c:pt idx="95">
                  <c:v>2243</c:v>
                </c:pt>
                <c:pt idx="96">
                  <c:v>2241</c:v>
                </c:pt>
                <c:pt idx="97">
                  <c:v>2368</c:v>
                </c:pt>
                <c:pt idx="98">
                  <c:v>2359</c:v>
                </c:pt>
                <c:pt idx="99">
                  <c:v>2367</c:v>
                </c:pt>
                <c:pt idx="100">
                  <c:v>2369</c:v>
                </c:pt>
                <c:pt idx="101">
                  <c:v>2386</c:v>
                </c:pt>
                <c:pt idx="102">
                  <c:v>2383</c:v>
                </c:pt>
                <c:pt idx="103">
                  <c:v>2384</c:v>
                </c:pt>
                <c:pt idx="104">
                  <c:v>2401</c:v>
                </c:pt>
                <c:pt idx="105">
                  <c:v>2395</c:v>
                </c:pt>
                <c:pt idx="106">
                  <c:v>2431</c:v>
                </c:pt>
                <c:pt idx="107">
                  <c:v>2403</c:v>
                </c:pt>
                <c:pt idx="108">
                  <c:v>2403</c:v>
                </c:pt>
                <c:pt idx="109">
                  <c:v>2405</c:v>
                </c:pt>
                <c:pt idx="110">
                  <c:v>2401</c:v>
                </c:pt>
                <c:pt idx="111">
                  <c:v>2414</c:v>
                </c:pt>
                <c:pt idx="112">
                  <c:v>2415</c:v>
                </c:pt>
                <c:pt idx="113">
                  <c:v>2411</c:v>
                </c:pt>
                <c:pt idx="114">
                  <c:v>2417</c:v>
                </c:pt>
                <c:pt idx="115">
                  <c:v>2420</c:v>
                </c:pt>
                <c:pt idx="116">
                  <c:v>2419</c:v>
                </c:pt>
                <c:pt idx="117">
                  <c:v>2416</c:v>
                </c:pt>
                <c:pt idx="118">
                  <c:v>2426</c:v>
                </c:pt>
                <c:pt idx="119">
                  <c:v>2402</c:v>
                </c:pt>
                <c:pt idx="120">
                  <c:v>2423</c:v>
                </c:pt>
                <c:pt idx="121">
                  <c:v>2427</c:v>
                </c:pt>
                <c:pt idx="122">
                  <c:v>2430</c:v>
                </c:pt>
                <c:pt idx="123">
                  <c:v>2442</c:v>
                </c:pt>
                <c:pt idx="124">
                  <c:v>2432</c:v>
                </c:pt>
                <c:pt idx="125">
                  <c:v>2432</c:v>
                </c:pt>
                <c:pt idx="126">
                  <c:v>2437</c:v>
                </c:pt>
                <c:pt idx="127">
                  <c:v>2432</c:v>
                </c:pt>
                <c:pt idx="128">
                  <c:v>2437</c:v>
                </c:pt>
                <c:pt idx="129">
                  <c:v>2448</c:v>
                </c:pt>
                <c:pt idx="130">
                  <c:v>2429</c:v>
                </c:pt>
                <c:pt idx="131">
                  <c:v>2441</c:v>
                </c:pt>
                <c:pt idx="132">
                  <c:v>2441</c:v>
                </c:pt>
                <c:pt idx="133">
                  <c:v>2445</c:v>
                </c:pt>
                <c:pt idx="134">
                  <c:v>2447</c:v>
                </c:pt>
                <c:pt idx="135">
                  <c:v>2444</c:v>
                </c:pt>
                <c:pt idx="136">
                  <c:v>2435</c:v>
                </c:pt>
                <c:pt idx="137">
                  <c:v>2448</c:v>
                </c:pt>
                <c:pt idx="138">
                  <c:v>2444</c:v>
                </c:pt>
                <c:pt idx="139">
                  <c:v>2459</c:v>
                </c:pt>
                <c:pt idx="140">
                  <c:v>2449</c:v>
                </c:pt>
                <c:pt idx="141">
                  <c:v>2448</c:v>
                </c:pt>
                <c:pt idx="142">
                  <c:v>2454</c:v>
                </c:pt>
                <c:pt idx="143">
                  <c:v>2450</c:v>
                </c:pt>
                <c:pt idx="144">
                  <c:v>2448</c:v>
                </c:pt>
                <c:pt idx="145">
                  <c:v>2450</c:v>
                </c:pt>
                <c:pt idx="146">
                  <c:v>2449</c:v>
                </c:pt>
                <c:pt idx="147">
                  <c:v>2451</c:v>
                </c:pt>
                <c:pt idx="148">
                  <c:v>2458</c:v>
                </c:pt>
                <c:pt idx="149">
                  <c:v>2454</c:v>
                </c:pt>
                <c:pt idx="150">
                  <c:v>2455</c:v>
                </c:pt>
                <c:pt idx="151">
                  <c:v>2457</c:v>
                </c:pt>
                <c:pt idx="152">
                  <c:v>2463</c:v>
                </c:pt>
                <c:pt idx="153">
                  <c:v>2450</c:v>
                </c:pt>
                <c:pt idx="154">
                  <c:v>2461</c:v>
                </c:pt>
                <c:pt idx="155">
                  <c:v>2469</c:v>
                </c:pt>
                <c:pt idx="156">
                  <c:v>2466</c:v>
                </c:pt>
                <c:pt idx="157">
                  <c:v>2113</c:v>
                </c:pt>
                <c:pt idx="158">
                  <c:v>2108</c:v>
                </c:pt>
                <c:pt idx="159">
                  <c:v>2086</c:v>
                </c:pt>
                <c:pt idx="160">
                  <c:v>2083</c:v>
                </c:pt>
                <c:pt idx="161">
                  <c:v>2101</c:v>
                </c:pt>
                <c:pt idx="162">
                  <c:v>2123</c:v>
                </c:pt>
                <c:pt idx="164">
                  <c:v>2160</c:v>
                </c:pt>
              </c:numCache>
            </c:numRef>
          </c:xVal>
          <c:y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yVal>
          <c:smooth val="0"/>
        </c:ser>
        <c:axId val="18521065"/>
        <c:axId val="81298873"/>
      </c:scatterChart>
      <c:valAx>
        <c:axId val="185210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1298873"/>
        <c:crosses val="autoZero"/>
        <c:crossBetween val="midCat"/>
      </c:valAx>
      <c:valAx>
        <c:axId val="81298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852106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completa!$F$2:$F$2</c:f>
              <c:strCache>
                <c:ptCount val="1"/>
                <c:pt idx="0">
                  <c:v>m-adc-39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completa!$F$3:$F$180</c:f>
              <c:numCache>
                <c:formatCode>General</c:formatCode>
                <c:ptCount val="178"/>
                <c:pt idx="3">
                  <c:v>2059</c:v>
                </c:pt>
                <c:pt idx="5">
                  <c:v>2063</c:v>
                </c:pt>
                <c:pt idx="6">
                  <c:v>2067</c:v>
                </c:pt>
                <c:pt idx="8">
                  <c:v>2073</c:v>
                </c:pt>
                <c:pt idx="9">
                  <c:v>2077</c:v>
                </c:pt>
                <c:pt idx="10">
                  <c:v>2078</c:v>
                </c:pt>
                <c:pt idx="12">
                  <c:v>2079</c:v>
                </c:pt>
                <c:pt idx="13">
                  <c:v>2083</c:v>
                </c:pt>
                <c:pt idx="14">
                  <c:v>2085</c:v>
                </c:pt>
                <c:pt idx="16">
                  <c:v>2089</c:v>
                </c:pt>
                <c:pt idx="17">
                  <c:v>2096</c:v>
                </c:pt>
                <c:pt idx="18">
                  <c:v>2095</c:v>
                </c:pt>
                <c:pt idx="20">
                  <c:v>2103</c:v>
                </c:pt>
                <c:pt idx="21">
                  <c:v>2096</c:v>
                </c:pt>
                <c:pt idx="22">
                  <c:v>2101</c:v>
                </c:pt>
                <c:pt idx="23">
                  <c:v>2097</c:v>
                </c:pt>
                <c:pt idx="24">
                  <c:v>2101</c:v>
                </c:pt>
                <c:pt idx="26">
                  <c:v>2106</c:v>
                </c:pt>
                <c:pt idx="27">
                  <c:v>2128</c:v>
                </c:pt>
                <c:pt idx="28">
                  <c:v>2107</c:v>
                </c:pt>
                <c:pt idx="29">
                  <c:v>2109</c:v>
                </c:pt>
                <c:pt idx="31">
                  <c:v>2113</c:v>
                </c:pt>
                <c:pt idx="32">
                  <c:v>2118</c:v>
                </c:pt>
                <c:pt idx="33">
                  <c:v>2115</c:v>
                </c:pt>
                <c:pt idx="34">
                  <c:v>2112</c:v>
                </c:pt>
                <c:pt idx="35">
                  <c:v>2119</c:v>
                </c:pt>
                <c:pt idx="37">
                  <c:v>2096</c:v>
                </c:pt>
                <c:pt idx="38">
                  <c:v>2112</c:v>
                </c:pt>
                <c:pt idx="39">
                  <c:v>2117</c:v>
                </c:pt>
                <c:pt idx="40">
                  <c:v>2103</c:v>
                </c:pt>
                <c:pt idx="41">
                  <c:v>2119</c:v>
                </c:pt>
                <c:pt idx="42">
                  <c:v>2119</c:v>
                </c:pt>
                <c:pt idx="43">
                  <c:v>2095</c:v>
                </c:pt>
                <c:pt idx="44">
                  <c:v>2123</c:v>
                </c:pt>
                <c:pt idx="45">
                  <c:v>2119</c:v>
                </c:pt>
                <c:pt idx="46">
                  <c:v>2117</c:v>
                </c:pt>
                <c:pt idx="47">
                  <c:v>2125</c:v>
                </c:pt>
                <c:pt idx="48">
                  <c:v>2128</c:v>
                </c:pt>
                <c:pt idx="49">
                  <c:v>2109</c:v>
                </c:pt>
                <c:pt idx="50">
                  <c:v>2128</c:v>
                </c:pt>
                <c:pt idx="51">
                  <c:v>2130</c:v>
                </c:pt>
                <c:pt idx="52">
                  <c:v>2110</c:v>
                </c:pt>
                <c:pt idx="53">
                  <c:v>2129</c:v>
                </c:pt>
                <c:pt idx="54">
                  <c:v>2114</c:v>
                </c:pt>
                <c:pt idx="55">
                  <c:v>2114</c:v>
                </c:pt>
                <c:pt idx="56">
                  <c:v>2122</c:v>
                </c:pt>
                <c:pt idx="57">
                  <c:v>2117</c:v>
                </c:pt>
                <c:pt idx="58">
                  <c:v>2115</c:v>
                </c:pt>
                <c:pt idx="59">
                  <c:v>2118</c:v>
                </c:pt>
                <c:pt idx="60">
                  <c:v>2132</c:v>
                </c:pt>
                <c:pt idx="61">
                  <c:v>2134</c:v>
                </c:pt>
                <c:pt idx="62">
                  <c:v>2126</c:v>
                </c:pt>
                <c:pt idx="63">
                  <c:v>2128</c:v>
                </c:pt>
                <c:pt idx="64">
                  <c:v>2128</c:v>
                </c:pt>
                <c:pt idx="65">
                  <c:v>2126</c:v>
                </c:pt>
                <c:pt idx="66">
                  <c:v>2134</c:v>
                </c:pt>
                <c:pt idx="67">
                  <c:v>2137</c:v>
                </c:pt>
                <c:pt idx="68">
                  <c:v>2134</c:v>
                </c:pt>
                <c:pt idx="69">
                  <c:v>2149</c:v>
                </c:pt>
                <c:pt idx="70">
                  <c:v>2137</c:v>
                </c:pt>
                <c:pt idx="71">
                  <c:v>2145</c:v>
                </c:pt>
                <c:pt idx="72">
                  <c:v>2140</c:v>
                </c:pt>
                <c:pt idx="73">
                  <c:v>2144</c:v>
                </c:pt>
                <c:pt idx="74">
                  <c:v>2146</c:v>
                </c:pt>
                <c:pt idx="75">
                  <c:v>2146</c:v>
                </c:pt>
                <c:pt idx="76">
                  <c:v>2147</c:v>
                </c:pt>
                <c:pt idx="77">
                  <c:v>2150</c:v>
                </c:pt>
                <c:pt idx="78">
                  <c:v>2157</c:v>
                </c:pt>
                <c:pt idx="79">
                  <c:v>2159</c:v>
                </c:pt>
                <c:pt idx="80">
                  <c:v>2149</c:v>
                </c:pt>
                <c:pt idx="81">
                  <c:v>2155</c:v>
                </c:pt>
                <c:pt idx="82">
                  <c:v>2153</c:v>
                </c:pt>
                <c:pt idx="83">
                  <c:v>2160</c:v>
                </c:pt>
                <c:pt idx="84">
                  <c:v>2139</c:v>
                </c:pt>
                <c:pt idx="85">
                  <c:v>2159</c:v>
                </c:pt>
                <c:pt idx="86">
                  <c:v>2157</c:v>
                </c:pt>
                <c:pt idx="87">
                  <c:v>2160</c:v>
                </c:pt>
                <c:pt idx="88">
                  <c:v>2158</c:v>
                </c:pt>
                <c:pt idx="89">
                  <c:v>2160</c:v>
                </c:pt>
                <c:pt idx="90">
                  <c:v>2163</c:v>
                </c:pt>
                <c:pt idx="91">
                  <c:v>2161</c:v>
                </c:pt>
                <c:pt idx="92">
                  <c:v>2164</c:v>
                </c:pt>
                <c:pt idx="93">
                  <c:v>2162</c:v>
                </c:pt>
                <c:pt idx="94">
                  <c:v>2164</c:v>
                </c:pt>
                <c:pt idx="95">
                  <c:v>2162</c:v>
                </c:pt>
                <c:pt idx="96">
                  <c:v>2160</c:v>
                </c:pt>
                <c:pt idx="97">
                  <c:v>2336</c:v>
                </c:pt>
                <c:pt idx="98">
                  <c:v>2355</c:v>
                </c:pt>
                <c:pt idx="99">
                  <c:v>2368</c:v>
                </c:pt>
                <c:pt idx="100">
                  <c:v>2367</c:v>
                </c:pt>
                <c:pt idx="101">
                  <c:v>2370</c:v>
                </c:pt>
                <c:pt idx="102">
                  <c:v>2384</c:v>
                </c:pt>
                <c:pt idx="103">
                  <c:v>2375</c:v>
                </c:pt>
                <c:pt idx="104">
                  <c:v>2378</c:v>
                </c:pt>
                <c:pt idx="105">
                  <c:v>2384</c:v>
                </c:pt>
                <c:pt idx="106">
                  <c:v>2384</c:v>
                </c:pt>
                <c:pt idx="107">
                  <c:v>2384</c:v>
                </c:pt>
                <c:pt idx="108">
                  <c:v>2388</c:v>
                </c:pt>
                <c:pt idx="109">
                  <c:v>2390</c:v>
                </c:pt>
                <c:pt idx="110">
                  <c:v>2391</c:v>
                </c:pt>
                <c:pt idx="111">
                  <c:v>2388</c:v>
                </c:pt>
                <c:pt idx="112">
                  <c:v>2401</c:v>
                </c:pt>
                <c:pt idx="113">
                  <c:v>2385</c:v>
                </c:pt>
                <c:pt idx="114">
                  <c:v>2398</c:v>
                </c:pt>
                <c:pt idx="115">
                  <c:v>2401</c:v>
                </c:pt>
                <c:pt idx="116">
                  <c:v>2400</c:v>
                </c:pt>
                <c:pt idx="117">
                  <c:v>2402</c:v>
                </c:pt>
                <c:pt idx="118">
                  <c:v>2405</c:v>
                </c:pt>
                <c:pt idx="119">
                  <c:v>2399</c:v>
                </c:pt>
                <c:pt idx="120">
                  <c:v>2402</c:v>
                </c:pt>
                <c:pt idx="121">
                  <c:v>2406</c:v>
                </c:pt>
                <c:pt idx="122">
                  <c:v>2413</c:v>
                </c:pt>
                <c:pt idx="123">
                  <c:v>2422</c:v>
                </c:pt>
                <c:pt idx="124">
                  <c:v>2412</c:v>
                </c:pt>
                <c:pt idx="125">
                  <c:v>2410</c:v>
                </c:pt>
                <c:pt idx="126">
                  <c:v>2417</c:v>
                </c:pt>
                <c:pt idx="127">
                  <c:v>2413</c:v>
                </c:pt>
                <c:pt idx="128">
                  <c:v>2416</c:v>
                </c:pt>
                <c:pt idx="129">
                  <c:v>2431</c:v>
                </c:pt>
                <c:pt idx="130">
                  <c:v>2419</c:v>
                </c:pt>
                <c:pt idx="131">
                  <c:v>2416</c:v>
                </c:pt>
                <c:pt idx="132">
                  <c:v>2418</c:v>
                </c:pt>
                <c:pt idx="133">
                  <c:v>2422</c:v>
                </c:pt>
                <c:pt idx="134">
                  <c:v>2426</c:v>
                </c:pt>
                <c:pt idx="135">
                  <c:v>2426</c:v>
                </c:pt>
                <c:pt idx="136">
                  <c:v>2416</c:v>
                </c:pt>
                <c:pt idx="137">
                  <c:v>2429</c:v>
                </c:pt>
                <c:pt idx="138">
                  <c:v>2427</c:v>
                </c:pt>
                <c:pt idx="139">
                  <c:v>2426</c:v>
                </c:pt>
                <c:pt idx="140">
                  <c:v>2434</c:v>
                </c:pt>
                <c:pt idx="141">
                  <c:v>2429</c:v>
                </c:pt>
                <c:pt idx="142">
                  <c:v>2431</c:v>
                </c:pt>
                <c:pt idx="143">
                  <c:v>2432</c:v>
                </c:pt>
                <c:pt idx="144">
                  <c:v>2435</c:v>
                </c:pt>
                <c:pt idx="145">
                  <c:v>2432</c:v>
                </c:pt>
                <c:pt idx="146">
                  <c:v>2434</c:v>
                </c:pt>
                <c:pt idx="147">
                  <c:v>2435</c:v>
                </c:pt>
                <c:pt idx="148">
                  <c:v>2426</c:v>
                </c:pt>
                <c:pt idx="149">
                  <c:v>2430</c:v>
                </c:pt>
                <c:pt idx="150">
                  <c:v>2433</c:v>
                </c:pt>
                <c:pt idx="151">
                  <c:v>2443</c:v>
                </c:pt>
                <c:pt idx="152">
                  <c:v>2435</c:v>
                </c:pt>
                <c:pt idx="153">
                  <c:v>2435</c:v>
                </c:pt>
                <c:pt idx="154">
                  <c:v>2443</c:v>
                </c:pt>
                <c:pt idx="155">
                  <c:v>2439</c:v>
                </c:pt>
                <c:pt idx="156">
                  <c:v>2442</c:v>
                </c:pt>
              </c:numCache>
            </c:numRef>
          </c:xVal>
          <c:y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yVal>
          <c:smooth val="0"/>
        </c:ser>
        <c:axId val="5442519"/>
        <c:axId val="48841250"/>
      </c:scatterChart>
      <c:valAx>
        <c:axId val="5442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841250"/>
        <c:crosses val="autoZero"/>
        <c:crossBetween val="between"/>
      </c:valAx>
      <c:valAx>
        <c:axId val="488412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4251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completa!$G$2:$G$2</c:f>
              <c:strCache>
                <c:ptCount val="1"/>
                <c:pt idx="0">
                  <c:v>m-adc-35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35</c:nam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completa!$G$3:$G$180</c:f>
              <c:numCache>
                <c:formatCode>General</c:formatCode>
                <c:ptCount val="178"/>
                <c:pt idx="0">
                  <c:v>84.70992536</c:v>
                </c:pt>
                <c:pt idx="1">
                  <c:v>87.714116</c:v>
                </c:pt>
                <c:pt idx="2">
                  <c:v>88.72621784</c:v>
                </c:pt>
                <c:pt idx="3">
                  <c:v>84.82033264</c:v>
                </c:pt>
                <c:pt idx="4">
                  <c:v>88.38825584</c:v>
                </c:pt>
                <c:pt idx="5">
                  <c:v>88.61349776</c:v>
                </c:pt>
                <c:pt idx="6">
                  <c:v>87.15415</c:v>
                </c:pt>
                <c:pt idx="7">
                  <c:v>58.24612696</c:v>
                </c:pt>
                <c:pt idx="8">
                  <c:v>85.37336024</c:v>
                </c:pt>
                <c:pt idx="9">
                  <c:v>86.81896336</c:v>
                </c:pt>
                <c:pt idx="10">
                  <c:v>86.039174</c:v>
                </c:pt>
                <c:pt idx="11">
                  <c:v>57.31749656</c:v>
                </c:pt>
                <c:pt idx="12">
                  <c:v>86.48437144</c:v>
                </c:pt>
                <c:pt idx="13">
                  <c:v>86.48437144</c:v>
                </c:pt>
                <c:pt idx="14">
                  <c:v>85.81697176</c:v>
                </c:pt>
                <c:pt idx="15">
                  <c:v>60.40705424</c:v>
                </c:pt>
                <c:pt idx="16">
                  <c:v>88.38825584</c:v>
                </c:pt>
                <c:pt idx="17">
                  <c:v>86.15037424</c:v>
                </c:pt>
                <c:pt idx="18">
                  <c:v>88.38825584</c:v>
                </c:pt>
                <c:pt idx="19">
                  <c:v>60.312374</c:v>
                </c:pt>
                <c:pt idx="20">
                  <c:v>88.38825584</c:v>
                </c:pt>
                <c:pt idx="21">
                  <c:v>86.48437144</c:v>
                </c:pt>
                <c:pt idx="22">
                  <c:v>86.595836</c:v>
                </c:pt>
                <c:pt idx="23">
                  <c:v>87.15415</c:v>
                </c:pt>
                <c:pt idx="24">
                  <c:v>91.33701776</c:v>
                </c:pt>
                <c:pt idx="25">
                  <c:v>55.75399024</c:v>
                </c:pt>
                <c:pt idx="26">
                  <c:v>89.9705</c:v>
                </c:pt>
                <c:pt idx="27">
                  <c:v>85.37336024</c:v>
                </c:pt>
                <c:pt idx="28">
                  <c:v>89.17775896</c:v>
                </c:pt>
                <c:pt idx="29">
                  <c:v>85.26262256</c:v>
                </c:pt>
                <c:pt idx="30">
                  <c:v>55.48005976</c:v>
                </c:pt>
                <c:pt idx="31">
                  <c:v>87.37793816</c:v>
                </c:pt>
                <c:pt idx="32">
                  <c:v>90.76647896</c:v>
                </c:pt>
                <c:pt idx="33">
                  <c:v>86.93062616</c:v>
                </c:pt>
                <c:pt idx="34">
                  <c:v>85.37336024</c:v>
                </c:pt>
                <c:pt idx="35">
                  <c:v>83.39019224</c:v>
                </c:pt>
                <c:pt idx="36">
                  <c:v>56.94789464</c:v>
                </c:pt>
                <c:pt idx="37">
                  <c:v>55.75399024</c:v>
                </c:pt>
                <c:pt idx="38">
                  <c:v>87.714116</c:v>
                </c:pt>
                <c:pt idx="39">
                  <c:v>86.595836</c:v>
                </c:pt>
                <c:pt idx="40">
                  <c:v>60.312374</c:v>
                </c:pt>
                <c:pt idx="41">
                  <c:v>88.275734</c:v>
                </c:pt>
                <c:pt idx="42">
                  <c:v>89.06477456</c:v>
                </c:pt>
                <c:pt idx="43">
                  <c:v>60.312374</c:v>
                </c:pt>
                <c:pt idx="44">
                  <c:v>87.60199064</c:v>
                </c:pt>
                <c:pt idx="45">
                  <c:v>87.04235504</c:v>
                </c:pt>
                <c:pt idx="46">
                  <c:v>88.16327824</c:v>
                </c:pt>
                <c:pt idx="47">
                  <c:v>88.38825584</c:v>
                </c:pt>
                <c:pt idx="48">
                  <c:v>89.403926</c:v>
                </c:pt>
                <c:pt idx="49">
                  <c:v>60.312374</c:v>
                </c:pt>
                <c:pt idx="50">
                  <c:v>89.74367216</c:v>
                </c:pt>
                <c:pt idx="51">
                  <c:v>87.37793816</c:v>
                </c:pt>
                <c:pt idx="52">
                  <c:v>58.432646</c:v>
                </c:pt>
                <c:pt idx="53">
                  <c:v>87.26601104</c:v>
                </c:pt>
                <c:pt idx="54">
                  <c:v>55.57130384</c:v>
                </c:pt>
                <c:pt idx="55">
                  <c:v>60.312374</c:v>
                </c:pt>
                <c:pt idx="56">
                  <c:v>53.13090776</c:v>
                </c:pt>
                <c:pt idx="57">
                  <c:v>57.78098576</c:v>
                </c:pt>
                <c:pt idx="58">
                  <c:v>60.312374</c:v>
                </c:pt>
                <c:pt idx="59">
                  <c:v>60.312374</c:v>
                </c:pt>
                <c:pt idx="60">
                  <c:v>60.312374</c:v>
                </c:pt>
                <c:pt idx="61">
                  <c:v>60.312374</c:v>
                </c:pt>
                <c:pt idx="62">
                  <c:v>57.040196</c:v>
                </c:pt>
                <c:pt idx="63">
                  <c:v>58.52600464</c:v>
                </c:pt>
                <c:pt idx="64">
                  <c:v>58.24612696</c:v>
                </c:pt>
                <c:pt idx="65">
                  <c:v>60.312374</c:v>
                </c:pt>
                <c:pt idx="66">
                  <c:v>60.312374</c:v>
                </c:pt>
                <c:pt idx="67">
                  <c:v>57.502694</c:v>
                </c:pt>
                <c:pt idx="68">
                  <c:v>57.040196</c:v>
                </c:pt>
                <c:pt idx="69">
                  <c:v>58.71292016</c:v>
                </c:pt>
                <c:pt idx="70">
                  <c:v>58.71292016</c:v>
                </c:pt>
                <c:pt idx="71">
                  <c:v>61.07166616</c:v>
                </c:pt>
                <c:pt idx="72">
                  <c:v>58.71292016</c:v>
                </c:pt>
                <c:pt idx="73">
                  <c:v>57.13256344</c:v>
                </c:pt>
                <c:pt idx="74">
                  <c:v>56.02851544</c:v>
                </c:pt>
                <c:pt idx="75">
                  <c:v>60.312374</c:v>
                </c:pt>
                <c:pt idx="76">
                  <c:v>60.312374</c:v>
                </c:pt>
                <c:pt idx="77">
                  <c:v>60.312374</c:v>
                </c:pt>
                <c:pt idx="78">
                  <c:v>57.13256344</c:v>
                </c:pt>
                <c:pt idx="79">
                  <c:v>60.786436</c:v>
                </c:pt>
                <c:pt idx="80">
                  <c:v>56.94789464</c:v>
                </c:pt>
                <c:pt idx="81">
                  <c:v>58.24612696</c:v>
                </c:pt>
                <c:pt idx="82">
                  <c:v>56.02851544</c:v>
                </c:pt>
                <c:pt idx="83">
                  <c:v>60.312374</c:v>
                </c:pt>
                <c:pt idx="84">
                  <c:v>56.76349016</c:v>
                </c:pt>
                <c:pt idx="85">
                  <c:v>57.68815576</c:v>
                </c:pt>
                <c:pt idx="86">
                  <c:v>55.48005976</c:v>
                </c:pt>
                <c:pt idx="87">
                  <c:v>58.05987224</c:v>
                </c:pt>
                <c:pt idx="88">
                  <c:v>58.33935344</c:v>
                </c:pt>
                <c:pt idx="89">
                  <c:v>56.94789464</c:v>
                </c:pt>
                <c:pt idx="90">
                  <c:v>57.68815576</c:v>
                </c:pt>
                <c:pt idx="91">
                  <c:v>60.40705424</c:v>
                </c:pt>
                <c:pt idx="92">
                  <c:v>58.05987224</c:v>
                </c:pt>
                <c:pt idx="93">
                  <c:v>54.48073616</c:v>
                </c:pt>
                <c:pt idx="94">
                  <c:v>60.312374</c:v>
                </c:pt>
                <c:pt idx="95">
                  <c:v>62.79553624</c:v>
                </c:pt>
                <c:pt idx="96">
                  <c:v>57.502694</c:v>
                </c:pt>
                <c:pt idx="97">
                  <c:v>15.9161230399999</c:v>
                </c:pt>
                <c:pt idx="98">
                  <c:v>11.13068056</c:v>
                </c:pt>
                <c:pt idx="99">
                  <c:v>15.97175</c:v>
                </c:pt>
                <c:pt idx="100">
                  <c:v>15.5837489599999</c:v>
                </c:pt>
                <c:pt idx="101">
                  <c:v>15.9161230399999</c:v>
                </c:pt>
                <c:pt idx="102">
                  <c:v>19.48995184</c:v>
                </c:pt>
                <c:pt idx="103">
                  <c:v>16.30689944</c:v>
                </c:pt>
                <c:pt idx="104">
                  <c:v>17.32662104</c:v>
                </c:pt>
                <c:pt idx="105">
                  <c:v>13.533956</c:v>
                </c:pt>
                <c:pt idx="106">
                  <c:v>15.9161230399999</c:v>
                </c:pt>
                <c:pt idx="107">
                  <c:v>16.1390273599999</c:v>
                </c:pt>
                <c:pt idx="108">
                  <c:v>15.80506736</c:v>
                </c:pt>
                <c:pt idx="109">
                  <c:v>16.30689944</c:v>
                </c:pt>
                <c:pt idx="110">
                  <c:v>16.41914456</c:v>
                </c:pt>
                <c:pt idx="111">
                  <c:v>16.47536624</c:v>
                </c:pt>
                <c:pt idx="112">
                  <c:v>15.97175</c:v>
                </c:pt>
                <c:pt idx="113">
                  <c:v>16.41914456</c:v>
                </c:pt>
                <c:pt idx="114">
                  <c:v>15.86056216</c:v>
                </c:pt>
                <c:pt idx="115">
                  <c:v>16.36298896</c:v>
                </c:pt>
                <c:pt idx="116">
                  <c:v>15.97175</c:v>
                </c:pt>
                <c:pt idx="117">
                  <c:v>17.32662104</c:v>
                </c:pt>
                <c:pt idx="118">
                  <c:v>16.47536624</c:v>
                </c:pt>
                <c:pt idx="119">
                  <c:v>17.26940816</c:v>
                </c:pt>
                <c:pt idx="120">
                  <c:v>15.97175</c:v>
                </c:pt>
                <c:pt idx="121">
                  <c:v>17.61367664</c:v>
                </c:pt>
                <c:pt idx="122">
                  <c:v>16.02744304</c:v>
                </c:pt>
                <c:pt idx="123">
                  <c:v>16.70091376</c:v>
                </c:pt>
                <c:pt idx="124">
                  <c:v>16.36298896</c:v>
                </c:pt>
                <c:pt idx="125">
                  <c:v>16.08320216</c:v>
                </c:pt>
                <c:pt idx="126">
                  <c:v>15.74963864</c:v>
                </c:pt>
                <c:pt idx="127">
                  <c:v>16.47536624</c:v>
                </c:pt>
                <c:pt idx="128">
                  <c:v>16.1390273599999</c:v>
                </c:pt>
                <c:pt idx="129">
                  <c:v>16.70091376</c:v>
                </c:pt>
                <c:pt idx="130">
                  <c:v>17.3839</c:v>
                </c:pt>
                <c:pt idx="131">
                  <c:v>15.97175</c:v>
                </c:pt>
                <c:pt idx="132">
                  <c:v>17.61367664</c:v>
                </c:pt>
                <c:pt idx="133">
                  <c:v>15.9161230399999</c:v>
                </c:pt>
                <c:pt idx="134">
                  <c:v>17.26940816</c:v>
                </c:pt>
                <c:pt idx="135">
                  <c:v>16.02744304</c:v>
                </c:pt>
                <c:pt idx="136">
                  <c:v>16.30689944</c:v>
                </c:pt>
                <c:pt idx="137">
                  <c:v>16.70091376</c:v>
                </c:pt>
                <c:pt idx="138">
                  <c:v>16.70091376</c:v>
                </c:pt>
                <c:pt idx="139">
                  <c:v>16.08320216</c:v>
                </c:pt>
                <c:pt idx="140">
                  <c:v>18.251014</c:v>
                </c:pt>
                <c:pt idx="141">
                  <c:v>15.74963864</c:v>
                </c:pt>
                <c:pt idx="142">
                  <c:v>15.80506736</c:v>
                </c:pt>
                <c:pt idx="143">
                  <c:v>16.75746584</c:v>
                </c:pt>
                <c:pt idx="144">
                  <c:v>16.19491864</c:v>
                </c:pt>
                <c:pt idx="145">
                  <c:v>15.80506736</c:v>
                </c:pt>
                <c:pt idx="146">
                  <c:v>16.19491864</c:v>
                </c:pt>
                <c:pt idx="147">
                  <c:v>16.30689944</c:v>
                </c:pt>
                <c:pt idx="148">
                  <c:v>16.30689944</c:v>
                </c:pt>
                <c:pt idx="149">
                  <c:v>16.19491864</c:v>
                </c:pt>
                <c:pt idx="150">
                  <c:v>16.19491864</c:v>
                </c:pt>
                <c:pt idx="151">
                  <c:v>17.32662104</c:v>
                </c:pt>
                <c:pt idx="152">
                  <c:v>15.694276</c:v>
                </c:pt>
                <c:pt idx="153">
                  <c:v>17.32662104</c:v>
                </c:pt>
                <c:pt idx="154">
                  <c:v>16.75746584</c:v>
                </c:pt>
                <c:pt idx="155">
                  <c:v>16.70091376</c:v>
                </c:pt>
                <c:pt idx="156">
                  <c:v>16.70091376</c:v>
                </c:pt>
                <c:pt idx="157">
                  <c:v>84.82033264</c:v>
                </c:pt>
                <c:pt idx="158">
                  <c:v>89.403926</c:v>
                </c:pt>
                <c:pt idx="159">
                  <c:v>86.15037424</c:v>
                </c:pt>
                <c:pt idx="160">
                  <c:v>88.38825584</c:v>
                </c:pt>
                <c:pt idx="161">
                  <c:v>85.92803984</c:v>
                </c:pt>
                <c:pt idx="162">
                  <c:v>87.93856496</c:v>
                </c:pt>
                <c:pt idx="163">
                  <c:v>60.312374</c:v>
                </c:pt>
                <c:pt idx="164">
                  <c:v>56.21186264</c:v>
                </c:pt>
                <c:pt idx="165">
                  <c:v>60.312374</c:v>
                </c:pt>
                <c:pt idx="166">
                  <c:v>57.502694</c:v>
                </c:pt>
                <c:pt idx="167">
                  <c:v>55.75399024</c:v>
                </c:pt>
                <c:pt idx="168">
                  <c:v>60.312374</c:v>
                </c:pt>
                <c:pt idx="169">
                  <c:v>62.41060376</c:v>
                </c:pt>
                <c:pt idx="170">
                  <c:v>16.75746584</c:v>
                </c:pt>
                <c:pt idx="171">
                  <c:v>17.21226136</c:v>
                </c:pt>
                <c:pt idx="172">
                  <c:v>15.80506736</c:v>
                </c:pt>
                <c:pt idx="173">
                  <c:v>15.9161230399999</c:v>
                </c:pt>
                <c:pt idx="174">
                  <c:v>13.1145793599999</c:v>
                </c:pt>
                <c:pt idx="175">
                  <c:v>16.64442776</c:v>
                </c:pt>
                <c:pt idx="176">
                  <c:v>15.47348624</c:v>
                </c:pt>
                <c:pt idx="177">
                  <c:v>15.74963864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completa!$H$2:$H$2</c:f>
              <c:strCache>
                <c:ptCount val="1"/>
                <c:pt idx="0">
                  <c:v>m-adc-32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Pt>
            <c:idx val="75"/>
            <c:marker>
              <c:symbol val="diamond"/>
              <c:size val="8"/>
              <c:spPr>
                <a:solidFill>
                  <a:srgbClr val="ff420e"/>
                </a:solidFill>
              </c:spPr>
            </c:marker>
          </c:dPt>
          <c:dLbls>
            <c:dLbl>
              <c:idx val="7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32</c:nam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completa!$H$3:$H$180</c:f>
              <c:numCache>
                <c:formatCode>General</c:formatCode>
                <c:ptCount val="178"/>
                <c:pt idx="0">
                  <c:v>86.416</c:v>
                </c:pt>
                <c:pt idx="1">
                  <c:v>77.1866224</c:v>
                </c:pt>
                <c:pt idx="2">
                  <c:v>80.9402096</c:v>
                </c:pt>
                <c:pt idx="3">
                  <c:v>86.9575024000001</c:v>
                </c:pt>
                <c:pt idx="4">
                  <c:v>86.9575024000001</c:v>
                </c:pt>
                <c:pt idx="5">
                  <c:v>93.6150256000001</c:v>
                </c:pt>
                <c:pt idx="6">
                  <c:v>86.416</c:v>
                </c:pt>
                <c:pt idx="7">
                  <c:v>58.7892224000001</c:v>
                </c:pt>
                <c:pt idx="8">
                  <c:v>86.9575024000001</c:v>
                </c:pt>
                <c:pt idx="9">
                  <c:v>86.416</c:v>
                </c:pt>
                <c:pt idx="10">
                  <c:v>86.416</c:v>
                </c:pt>
                <c:pt idx="11">
                  <c:v>59.4974704000001</c:v>
                </c:pt>
                <c:pt idx="12">
                  <c:v>86.9575024000001</c:v>
                </c:pt>
                <c:pt idx="13">
                  <c:v>95.1344624</c:v>
                </c:pt>
                <c:pt idx="14">
                  <c:v>86.7767744</c:v>
                </c:pt>
                <c:pt idx="15">
                  <c:v>61.2204400000001</c:v>
                </c:pt>
                <c:pt idx="16">
                  <c:v>88.22896</c:v>
                </c:pt>
                <c:pt idx="17">
                  <c:v>86.2359536000001</c:v>
                </c:pt>
                <c:pt idx="18">
                  <c:v>88.4115056000001</c:v>
                </c:pt>
                <c:pt idx="19">
                  <c:v>59.4974704000001</c:v>
                </c:pt>
                <c:pt idx="20">
                  <c:v>89.6956864</c:v>
                </c:pt>
                <c:pt idx="21">
                  <c:v>91.1769536000001</c:v>
                </c:pt>
                <c:pt idx="22">
                  <c:v>90.2494576</c:v>
                </c:pt>
                <c:pt idx="23">
                  <c:v>86.7767744</c:v>
                </c:pt>
                <c:pt idx="24">
                  <c:v>73.8696944</c:v>
                </c:pt>
                <c:pt idx="25">
                  <c:v>62.5341376</c:v>
                </c:pt>
                <c:pt idx="26">
                  <c:v>86.7767744</c:v>
                </c:pt>
                <c:pt idx="27">
                  <c:v>80.5944304000001</c:v>
                </c:pt>
                <c:pt idx="28">
                  <c:v>85.6971776</c:v>
                </c:pt>
                <c:pt idx="29">
                  <c:v>87.5010496</c:v>
                </c:pt>
                <c:pt idx="30">
                  <c:v>56.2865600000001</c:v>
                </c:pt>
                <c:pt idx="31">
                  <c:v>86.9575024000001</c:v>
                </c:pt>
                <c:pt idx="32">
                  <c:v>86.5962736</c:v>
                </c:pt>
                <c:pt idx="33">
                  <c:v>89.14396</c:v>
                </c:pt>
                <c:pt idx="34">
                  <c:v>87.31964</c:v>
                </c:pt>
                <c:pt idx="35">
                  <c:v>87.31964</c:v>
                </c:pt>
                <c:pt idx="36">
                  <c:v>58.9304176000001</c:v>
                </c:pt>
                <c:pt idx="37">
                  <c:v>60.0681584</c:v>
                </c:pt>
                <c:pt idx="38">
                  <c:v>88.9605056</c:v>
                </c:pt>
                <c:pt idx="39">
                  <c:v>87.5010496</c:v>
                </c:pt>
                <c:pt idx="40">
                  <c:v>57.8072176</c:v>
                </c:pt>
                <c:pt idx="41">
                  <c:v>83.9160256</c:v>
                </c:pt>
                <c:pt idx="42">
                  <c:v>88.0466416</c:v>
                </c:pt>
                <c:pt idx="43">
                  <c:v>63.2719216</c:v>
                </c:pt>
                <c:pt idx="44">
                  <c:v>86.2359536000001</c:v>
                </c:pt>
                <c:pt idx="45">
                  <c:v>87.31964</c:v>
                </c:pt>
                <c:pt idx="46">
                  <c:v>88.4115056000001</c:v>
                </c:pt>
                <c:pt idx="47">
                  <c:v>86.7767744</c:v>
                </c:pt>
                <c:pt idx="48">
                  <c:v>85.3391296000001</c:v>
                </c:pt>
                <c:pt idx="49">
                  <c:v>58.5075136</c:v>
                </c:pt>
                <c:pt idx="50">
                  <c:v>92.2974464</c:v>
                </c:pt>
                <c:pt idx="51">
                  <c:v>86.5962736</c:v>
                </c:pt>
                <c:pt idx="52">
                  <c:v>59.6398015999999</c:v>
                </c:pt>
                <c:pt idx="53">
                  <c:v>87.31964</c:v>
                </c:pt>
                <c:pt idx="54">
                  <c:v>58.9304176000001</c:v>
                </c:pt>
                <c:pt idx="55">
                  <c:v>59.4974704000001</c:v>
                </c:pt>
                <c:pt idx="56">
                  <c:v>60.0681584</c:v>
                </c:pt>
                <c:pt idx="57">
                  <c:v>60.9310064000001</c:v>
                </c:pt>
                <c:pt idx="58">
                  <c:v>60.2113984000001</c:v>
                </c:pt>
                <c:pt idx="59">
                  <c:v>59.9251456000001</c:v>
                </c:pt>
                <c:pt idx="60">
                  <c:v>60.2113984000001</c:v>
                </c:pt>
                <c:pt idx="61">
                  <c:v>56.0130304000001</c:v>
                </c:pt>
                <c:pt idx="62">
                  <c:v>60.2113984000001</c:v>
                </c:pt>
                <c:pt idx="63">
                  <c:v>53.7247216000001</c:v>
                </c:pt>
                <c:pt idx="64">
                  <c:v>60.0681584</c:v>
                </c:pt>
                <c:pt idx="65">
                  <c:v>59.78236</c:v>
                </c:pt>
                <c:pt idx="66">
                  <c:v>60.2113984000001</c:v>
                </c:pt>
                <c:pt idx="67">
                  <c:v>60.2113984000001</c:v>
                </c:pt>
                <c:pt idx="68">
                  <c:v>60.3548656</c:v>
                </c:pt>
                <c:pt idx="69">
                  <c:v>60.3548656</c:v>
                </c:pt>
                <c:pt idx="70">
                  <c:v>60.49856</c:v>
                </c:pt>
                <c:pt idx="71">
                  <c:v>59.6398015999999</c:v>
                </c:pt>
                <c:pt idx="72">
                  <c:v>60.49856</c:v>
                </c:pt>
                <c:pt idx="73">
                  <c:v>59.4974704000001</c:v>
                </c:pt>
                <c:pt idx="74">
                  <c:v>58.5075136</c:v>
                </c:pt>
                <c:pt idx="75">
                  <c:v>72.7302400000001</c:v>
                </c:pt>
                <c:pt idx="76">
                  <c:v>60.0681584</c:v>
                </c:pt>
                <c:pt idx="77">
                  <c:v>60.0681584</c:v>
                </c:pt>
                <c:pt idx="78">
                  <c:v>50.0988784</c:v>
                </c:pt>
                <c:pt idx="79">
                  <c:v>60.3548656</c:v>
                </c:pt>
                <c:pt idx="80">
                  <c:v>58.367</c:v>
                </c:pt>
                <c:pt idx="81">
                  <c:v>60.3548656</c:v>
                </c:pt>
                <c:pt idx="82">
                  <c:v>60.0681584</c:v>
                </c:pt>
                <c:pt idx="83">
                  <c:v>60.49856</c:v>
                </c:pt>
                <c:pt idx="84">
                  <c:v>60.49856</c:v>
                </c:pt>
                <c:pt idx="85">
                  <c:v>60.49856</c:v>
                </c:pt>
                <c:pt idx="86">
                  <c:v>60.2113984000001</c:v>
                </c:pt>
                <c:pt idx="87">
                  <c:v>60.49856</c:v>
                </c:pt>
                <c:pt idx="88">
                  <c:v>60.2113984000001</c:v>
                </c:pt>
                <c:pt idx="89">
                  <c:v>61.5107824</c:v>
                </c:pt>
                <c:pt idx="90">
                  <c:v>60.49856</c:v>
                </c:pt>
                <c:pt idx="91">
                  <c:v>60.49856</c:v>
                </c:pt>
                <c:pt idx="92">
                  <c:v>60.49856</c:v>
                </c:pt>
                <c:pt idx="93">
                  <c:v>60.2113984000001</c:v>
                </c:pt>
                <c:pt idx="94">
                  <c:v>59.9251456000001</c:v>
                </c:pt>
                <c:pt idx="95">
                  <c:v>59.6398015999999</c:v>
                </c:pt>
                <c:pt idx="96">
                  <c:v>56.2865600000001</c:v>
                </c:pt>
                <c:pt idx="97">
                  <c:v>15.751</c:v>
                </c:pt>
                <c:pt idx="98">
                  <c:v>15.8870464</c:v>
                </c:pt>
                <c:pt idx="99">
                  <c:v>15.8273776</c:v>
                </c:pt>
                <c:pt idx="100">
                  <c:v>15.9073904000001</c:v>
                </c:pt>
                <c:pt idx="101">
                  <c:v>15.0634096000001</c:v>
                </c:pt>
                <c:pt idx="102">
                  <c:v>15.8669296</c:v>
                </c:pt>
                <c:pt idx="103">
                  <c:v>15.7697536</c:v>
                </c:pt>
                <c:pt idx="104">
                  <c:v>16.1925376</c:v>
                </c:pt>
                <c:pt idx="105">
                  <c:v>15.8669296</c:v>
                </c:pt>
                <c:pt idx="106">
                  <c:v>15.8669296</c:v>
                </c:pt>
                <c:pt idx="107">
                  <c:v>15.8079424000001</c:v>
                </c:pt>
                <c:pt idx="108">
                  <c:v>15.8273776</c:v>
                </c:pt>
                <c:pt idx="109">
                  <c:v>15.8273776</c:v>
                </c:pt>
                <c:pt idx="110">
                  <c:v>15.8470400000001</c:v>
                </c:pt>
                <c:pt idx="111">
                  <c:v>15.7887344</c:v>
                </c:pt>
                <c:pt idx="112">
                  <c:v>15.1595264000001</c:v>
                </c:pt>
                <c:pt idx="113">
                  <c:v>15.8669296</c:v>
                </c:pt>
                <c:pt idx="114">
                  <c:v>16.1925376</c:v>
                </c:pt>
                <c:pt idx="115">
                  <c:v>15.9073904000001</c:v>
                </c:pt>
                <c:pt idx="116">
                  <c:v>15.7697536</c:v>
                </c:pt>
                <c:pt idx="117">
                  <c:v>15.2708464</c:v>
                </c:pt>
                <c:pt idx="118">
                  <c:v>15.8669296</c:v>
                </c:pt>
                <c:pt idx="119">
                  <c:v>15.8470400000001</c:v>
                </c:pt>
                <c:pt idx="120">
                  <c:v>15.8470400000001</c:v>
                </c:pt>
                <c:pt idx="121">
                  <c:v>15.6091504</c:v>
                </c:pt>
                <c:pt idx="122">
                  <c:v>15.5597056</c:v>
                </c:pt>
                <c:pt idx="123">
                  <c:v>15.7141744</c:v>
                </c:pt>
                <c:pt idx="124">
                  <c:v>15.751</c:v>
                </c:pt>
                <c:pt idx="125">
                  <c:v>15.8079424000001</c:v>
                </c:pt>
                <c:pt idx="126">
                  <c:v>15.8870464</c:v>
                </c:pt>
                <c:pt idx="127">
                  <c:v>15.7324736</c:v>
                </c:pt>
                <c:pt idx="128">
                  <c:v>15.7887344</c:v>
                </c:pt>
                <c:pt idx="129">
                  <c:v>15.8079424000001</c:v>
                </c:pt>
                <c:pt idx="130">
                  <c:v>15.8079424000001</c:v>
                </c:pt>
                <c:pt idx="131">
                  <c:v>15.0002176</c:v>
                </c:pt>
                <c:pt idx="132">
                  <c:v>15.8470400000001</c:v>
                </c:pt>
                <c:pt idx="133">
                  <c:v>15.6432496000001</c:v>
                </c:pt>
                <c:pt idx="134">
                  <c:v>18.0433264000001</c:v>
                </c:pt>
                <c:pt idx="135">
                  <c:v>15.7887344</c:v>
                </c:pt>
                <c:pt idx="136">
                  <c:v>15.1685104000001</c:v>
                </c:pt>
                <c:pt idx="137">
                  <c:v>15.5436784</c:v>
                </c:pt>
                <c:pt idx="138">
                  <c:v>15.7324736</c:v>
                </c:pt>
                <c:pt idx="139">
                  <c:v>15.5123056</c:v>
                </c:pt>
                <c:pt idx="140">
                  <c:v>20.9458624</c:v>
                </c:pt>
                <c:pt idx="141">
                  <c:v>14.9954816</c:v>
                </c:pt>
                <c:pt idx="142">
                  <c:v>15.7141744</c:v>
                </c:pt>
                <c:pt idx="143">
                  <c:v>15.9910384</c:v>
                </c:pt>
                <c:pt idx="144">
                  <c:v>15.9487600000001</c:v>
                </c:pt>
                <c:pt idx="145">
                  <c:v>15.751</c:v>
                </c:pt>
                <c:pt idx="146">
                  <c:v>15.7141744</c:v>
                </c:pt>
                <c:pt idx="147">
                  <c:v>15.0415600000001</c:v>
                </c:pt>
                <c:pt idx="148">
                  <c:v>16.1925376</c:v>
                </c:pt>
                <c:pt idx="149">
                  <c:v>15.5924416</c:v>
                </c:pt>
                <c:pt idx="150">
                  <c:v>15.8273776</c:v>
                </c:pt>
                <c:pt idx="151">
                  <c:v>15.1180144</c:v>
                </c:pt>
                <c:pt idx="152">
                  <c:v>15.7697536</c:v>
                </c:pt>
                <c:pt idx="153">
                  <c:v>15.7324736</c:v>
                </c:pt>
                <c:pt idx="154">
                  <c:v>15.5759600000001</c:v>
                </c:pt>
                <c:pt idx="155">
                  <c:v>15.6260864</c:v>
                </c:pt>
                <c:pt idx="156">
                  <c:v>15.6260864</c:v>
                </c:pt>
                <c:pt idx="157">
                  <c:v>86.9575024000001</c:v>
                </c:pt>
                <c:pt idx="158">
                  <c:v>86.5962736</c:v>
                </c:pt>
                <c:pt idx="159">
                  <c:v>84.6257600000001</c:v>
                </c:pt>
                <c:pt idx="160">
                  <c:v>81.6344944</c:v>
                </c:pt>
                <c:pt idx="161">
                  <c:v>71.2815856000001</c:v>
                </c:pt>
                <c:pt idx="162">
                  <c:v>67.6630784</c:v>
                </c:pt>
                <c:pt idx="163">
                  <c:v>59.6398015999999</c:v>
                </c:pt>
                <c:pt idx="164">
                  <c:v>59.07184</c:v>
                </c:pt>
                <c:pt idx="165">
                  <c:v>58.2267136</c:v>
                </c:pt>
                <c:pt idx="166">
                  <c:v>58.2267136</c:v>
                </c:pt>
                <c:pt idx="167">
                  <c:v>58.2267136</c:v>
                </c:pt>
                <c:pt idx="168">
                  <c:v>57.3897664</c:v>
                </c:pt>
                <c:pt idx="169">
                  <c:v>52.93276</c:v>
                </c:pt>
                <c:pt idx="170">
                  <c:v>19.3523056</c:v>
                </c:pt>
                <c:pt idx="171">
                  <c:v>16.1925376</c:v>
                </c:pt>
                <c:pt idx="172">
                  <c:v>16.1925376</c:v>
                </c:pt>
                <c:pt idx="173">
                  <c:v>15.9910384</c:v>
                </c:pt>
                <c:pt idx="174">
                  <c:v>15.9910384</c:v>
                </c:pt>
                <c:pt idx="175">
                  <c:v>15.8669296</c:v>
                </c:pt>
                <c:pt idx="176">
                  <c:v>15.8273776</c:v>
                </c:pt>
                <c:pt idx="177">
                  <c:v>15.18716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completa!$I$2:$I$2</c:f>
              <c:strCache>
                <c:ptCount val="1"/>
                <c:pt idx="0">
                  <c:v>m-adc-34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34</c:name>
            <c:spPr>
              <a:ln w="0">
                <a:solidFill>
                  <a:srgbClr val="ffd320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completa!$I$3:$I$180</c:f>
              <c:numCache>
                <c:formatCode>General</c:formatCode>
                <c:ptCount val="178"/>
                <c:pt idx="0">
                  <c:v>119.57770526</c:v>
                </c:pt>
                <c:pt idx="1">
                  <c:v>91.9560000000001</c:v>
                </c:pt>
                <c:pt idx="2">
                  <c:v>89.34993566</c:v>
                </c:pt>
                <c:pt idx="3">
                  <c:v>88.64496416</c:v>
                </c:pt>
                <c:pt idx="4">
                  <c:v>88.4105235000002</c:v>
                </c:pt>
                <c:pt idx="5">
                  <c:v>86.77713664</c:v>
                </c:pt>
                <c:pt idx="6">
                  <c:v>85.6186793400002</c:v>
                </c:pt>
                <c:pt idx="7">
                  <c:v>85.6186793400002</c:v>
                </c:pt>
                <c:pt idx="8">
                  <c:v>84.46709504</c:v>
                </c:pt>
                <c:pt idx="9">
                  <c:v>84.23760294</c:v>
                </c:pt>
                <c:pt idx="10">
                  <c:v>83.3223837400001</c:v>
                </c:pt>
                <c:pt idx="11">
                  <c:v>83.3223837400001</c:v>
                </c:pt>
                <c:pt idx="12">
                  <c:v>82.18454544</c:v>
                </c:pt>
                <c:pt idx="13">
                  <c:v>81.5051414999998</c:v>
                </c:pt>
                <c:pt idx="14">
                  <c:v>81.0535801399999</c:v>
                </c:pt>
                <c:pt idx="15">
                  <c:v>79.48177536</c:v>
                </c:pt>
                <c:pt idx="16">
                  <c:v>79.2583314999999</c:v>
                </c:pt>
                <c:pt idx="17">
                  <c:v>78.8122685399999</c:v>
                </c:pt>
                <c:pt idx="18">
                  <c:v>77.25970816</c:v>
                </c:pt>
                <c:pt idx="19">
                  <c:v>77.25970816</c:v>
                </c:pt>
                <c:pt idx="20">
                  <c:v>77.0390135</c:v>
                </c:pt>
                <c:pt idx="21">
                  <c:v>76.8185937599999</c:v>
                </c:pt>
                <c:pt idx="22">
                  <c:v>76.8185937599999</c:v>
                </c:pt>
                <c:pt idx="23">
                  <c:v>76.8185937599999</c:v>
                </c:pt>
                <c:pt idx="24">
                  <c:v>76.8185937599999</c:v>
                </c:pt>
                <c:pt idx="25">
                  <c:v>76.59844894</c:v>
                </c:pt>
                <c:pt idx="26">
                  <c:v>75.939664</c:v>
                </c:pt>
                <c:pt idx="27">
                  <c:v>75.7206188599998</c:v>
                </c:pt>
                <c:pt idx="28">
                  <c:v>75.5018486399999</c:v>
                </c:pt>
                <c:pt idx="29">
                  <c:v>74.8471875</c:v>
                </c:pt>
                <c:pt idx="30">
                  <c:v>74.8471875</c:v>
                </c:pt>
                <c:pt idx="31">
                  <c:v>74.4121213399999</c:v>
                </c:pt>
                <c:pt idx="32">
                  <c:v>74.4121213399999</c:v>
                </c:pt>
                <c:pt idx="33">
                  <c:v>74.1950006399998</c:v>
                </c:pt>
                <c:pt idx="34">
                  <c:v>73.3292670400001</c:v>
                </c:pt>
                <c:pt idx="35">
                  <c:v>73.1135209399999</c:v>
                </c:pt>
                <c:pt idx="36">
                  <c:v>73.1135209399999</c:v>
                </c:pt>
                <c:pt idx="37">
                  <c:v>72.8980497600001</c:v>
                </c:pt>
                <c:pt idx="38">
                  <c:v>72.6828535</c:v>
                </c:pt>
                <c:pt idx="39">
                  <c:v>72.4679321599999</c:v>
                </c:pt>
                <c:pt idx="40">
                  <c:v>72.4679321599999</c:v>
                </c:pt>
                <c:pt idx="41">
                  <c:v>71.6109959999999</c:v>
                </c:pt>
                <c:pt idx="42">
                  <c:v>71.39744926</c:v>
                </c:pt>
                <c:pt idx="43">
                  <c:v>71.39744926</c:v>
                </c:pt>
                <c:pt idx="44">
                  <c:v>70.75845856</c:v>
                </c:pt>
                <c:pt idx="45">
                  <c:v>70.5460114999999</c:v>
                </c:pt>
                <c:pt idx="46">
                  <c:v>70.33383936</c:v>
                </c:pt>
                <c:pt idx="47">
                  <c:v>70.33383936</c:v>
                </c:pt>
                <c:pt idx="48">
                  <c:v>70.33383936</c:v>
                </c:pt>
                <c:pt idx="49">
                  <c:v>70.1219421400001</c:v>
                </c:pt>
                <c:pt idx="50">
                  <c:v>69.6989724600001</c:v>
                </c:pt>
                <c:pt idx="51">
                  <c:v>69.4879000000001</c:v>
                </c:pt>
                <c:pt idx="52">
                  <c:v>69.4879000000001</c:v>
                </c:pt>
                <c:pt idx="53">
                  <c:v>69.2771024600002</c:v>
                </c:pt>
                <c:pt idx="54">
                  <c:v>69.06657984</c:v>
                </c:pt>
                <c:pt idx="55">
                  <c:v>67.8092174399999</c:v>
                </c:pt>
                <c:pt idx="56">
                  <c:v>67.6006192600003</c:v>
                </c:pt>
                <c:pt idx="57">
                  <c:v>66.9764742399998</c:v>
                </c:pt>
                <c:pt idx="58">
                  <c:v>66.7689757399999</c:v>
                </c:pt>
                <c:pt idx="59">
                  <c:v>66.5617521599997</c:v>
                </c:pt>
                <c:pt idx="60">
                  <c:v>65.52975806</c:v>
                </c:pt>
                <c:pt idx="61">
                  <c:v>65.52975806</c:v>
                </c:pt>
                <c:pt idx="62">
                  <c:v>65.11888486</c:v>
                </c:pt>
                <c:pt idx="63">
                  <c:v>65.11888486</c:v>
                </c:pt>
                <c:pt idx="64">
                  <c:v>64.9138606399999</c:v>
                </c:pt>
                <c:pt idx="65">
                  <c:v>64.9138606399999</c:v>
                </c:pt>
                <c:pt idx="66">
                  <c:v>63.68948864</c:v>
                </c:pt>
                <c:pt idx="67">
                  <c:v>63.68948864</c:v>
                </c:pt>
                <c:pt idx="68">
                  <c:v>63.2835640000001</c:v>
                </c:pt>
                <c:pt idx="69">
                  <c:v>63.0810140599999</c:v>
                </c:pt>
                <c:pt idx="70">
                  <c:v>62.87873904</c:v>
                </c:pt>
                <c:pt idx="71">
                  <c:v>62.4750137599999</c:v>
                </c:pt>
                <c:pt idx="72">
                  <c:v>62.2735634999999</c:v>
                </c:pt>
                <c:pt idx="73">
                  <c:v>61.6708622399999</c:v>
                </c:pt>
                <c:pt idx="74">
                  <c:v>61.6708622399999</c:v>
                </c:pt>
                <c:pt idx="75">
                  <c:v>61.07063526</c:v>
                </c:pt>
                <c:pt idx="76">
                  <c:v>61.07063526</c:v>
                </c:pt>
                <c:pt idx="77">
                  <c:v>60.6718585399999</c:v>
                </c:pt>
                <c:pt idx="78">
                  <c:v>60.2741814999999</c:v>
                </c:pt>
                <c:pt idx="79">
                  <c:v>60.0757553599999</c:v>
                </c:pt>
                <c:pt idx="80">
                  <c:v>60.0757553599999</c:v>
                </c:pt>
                <c:pt idx="81">
                  <c:v>59.6797278399999</c:v>
                </c:pt>
                <c:pt idx="82">
                  <c:v>59.6797278399999</c:v>
                </c:pt>
                <c:pt idx="83">
                  <c:v>59.0877484600001</c:v>
                </c:pt>
                <c:pt idx="84">
                  <c:v>58.6944701399998</c:v>
                </c:pt>
                <c:pt idx="85">
                  <c:v>58.4982433600001</c:v>
                </c:pt>
                <c:pt idx="86">
                  <c:v>58.3022914999999</c:v>
                </c:pt>
                <c:pt idx="87">
                  <c:v>58.10661456</c:v>
                </c:pt>
                <c:pt idx="88">
                  <c:v>57.9112125400002</c:v>
                </c:pt>
                <c:pt idx="89">
                  <c:v>57.7160854399999</c:v>
                </c:pt>
                <c:pt idx="90">
                  <c:v>57.5212332599999</c:v>
                </c:pt>
                <c:pt idx="91">
                  <c:v>57.326656</c:v>
                </c:pt>
                <c:pt idx="92">
                  <c:v>57.326656</c:v>
                </c:pt>
                <c:pt idx="93">
                  <c:v>57.326656</c:v>
                </c:pt>
                <c:pt idx="94">
                  <c:v>57.326656</c:v>
                </c:pt>
                <c:pt idx="95">
                  <c:v>57.326656</c:v>
                </c:pt>
                <c:pt idx="96">
                  <c:v>54.63144096</c:v>
                </c:pt>
                <c:pt idx="97">
                  <c:v>31.4068752600001</c:v>
                </c:pt>
                <c:pt idx="98">
                  <c:v>28.9864374999997</c:v>
                </c:pt>
                <c:pt idx="99">
                  <c:v>27.2172957399998</c:v>
                </c:pt>
                <c:pt idx="100">
                  <c:v>26.63637926</c:v>
                </c:pt>
                <c:pt idx="101">
                  <c:v>25.2033324600002</c:v>
                </c:pt>
                <c:pt idx="102">
                  <c:v>24.35670054</c:v>
                </c:pt>
                <c:pt idx="103">
                  <c:v>23.3814721599999</c:v>
                </c:pt>
                <c:pt idx="104">
                  <c:v>22.6931280599999</c:v>
                </c:pt>
                <c:pt idx="105">
                  <c:v>21.3370588600001</c:v>
                </c:pt>
                <c:pt idx="106">
                  <c:v>21.0691440599999</c:v>
                </c:pt>
                <c:pt idx="107">
                  <c:v>20.9355990399999</c:v>
                </c:pt>
                <c:pt idx="108">
                  <c:v>20.66933376</c:v>
                </c:pt>
                <c:pt idx="109">
                  <c:v>20.2719977400002</c:v>
                </c:pt>
                <c:pt idx="110">
                  <c:v>19.8771359999998</c:v>
                </c:pt>
                <c:pt idx="111">
                  <c:v>18.7073964599999</c:v>
                </c:pt>
                <c:pt idx="112">
                  <c:v>18.5787999999998</c:v>
                </c:pt>
                <c:pt idx="113">
                  <c:v>18.3224318399998</c:v>
                </c:pt>
                <c:pt idx="114">
                  <c:v>18.19466014</c:v>
                </c:pt>
                <c:pt idx="115">
                  <c:v>17.1823836600001</c:v>
                </c:pt>
                <c:pt idx="116">
                  <c:v>17.1823836600001</c:v>
                </c:pt>
                <c:pt idx="117">
                  <c:v>16.9320637400001</c:v>
                </c:pt>
                <c:pt idx="118">
                  <c:v>16.5586457600002</c:v>
                </c:pt>
                <c:pt idx="119">
                  <c:v>16.5586457600002</c:v>
                </c:pt>
                <c:pt idx="120">
                  <c:v>16.5586457600002</c:v>
                </c:pt>
                <c:pt idx="121">
                  <c:v>16.5586457600002</c:v>
                </c:pt>
                <c:pt idx="122">
                  <c:v>16.5586457600002</c:v>
                </c:pt>
                <c:pt idx="123">
                  <c:v>16.43472294</c:v>
                </c:pt>
                <c:pt idx="124">
                  <c:v>16.3110750400001</c:v>
                </c:pt>
                <c:pt idx="125">
                  <c:v>16.18770206</c:v>
                </c:pt>
                <c:pt idx="126">
                  <c:v>15.9417808599999</c:v>
                </c:pt>
                <c:pt idx="127">
                  <c:v>15.8192326399999</c:v>
                </c:pt>
                <c:pt idx="128">
                  <c:v>15.3317889599998</c:v>
                </c:pt>
                <c:pt idx="129">
                  <c:v>14.8487439999999</c:v>
                </c:pt>
                <c:pt idx="130">
                  <c:v>14.7286700599998</c:v>
                </c:pt>
                <c:pt idx="131">
                  <c:v>14.7286700599998</c:v>
                </c:pt>
                <c:pt idx="132">
                  <c:v>14.6088710399999</c:v>
                </c:pt>
                <c:pt idx="133">
                  <c:v>14.6088710399999</c:v>
                </c:pt>
                <c:pt idx="134">
                  <c:v>14.3700977600001</c:v>
                </c:pt>
                <c:pt idx="135">
                  <c:v>14.3700977600001</c:v>
                </c:pt>
                <c:pt idx="136">
                  <c:v>14.2511235000002</c:v>
                </c:pt>
                <c:pt idx="137">
                  <c:v>14.0139997400001</c:v>
                </c:pt>
                <c:pt idx="138">
                  <c:v>13.77797566</c:v>
                </c:pt>
                <c:pt idx="139">
                  <c:v>13.4260014400002</c:v>
                </c:pt>
                <c:pt idx="140">
                  <c:v>13.3092265400001</c:v>
                </c:pt>
                <c:pt idx="141">
                  <c:v>13.3092265400001</c:v>
                </c:pt>
                <c:pt idx="142">
                  <c:v>13.19272656</c:v>
                </c:pt>
                <c:pt idx="143">
                  <c:v>13.0765014999997</c:v>
                </c:pt>
                <c:pt idx="144">
                  <c:v>13.0765014999997</c:v>
                </c:pt>
                <c:pt idx="145">
                  <c:v>13.0765014999997</c:v>
                </c:pt>
                <c:pt idx="146">
                  <c:v>12.84487614</c:v>
                </c:pt>
                <c:pt idx="147">
                  <c:v>12.84487614</c:v>
                </c:pt>
                <c:pt idx="148">
                  <c:v>12.7294758399999</c:v>
                </c:pt>
                <c:pt idx="149">
                  <c:v>12.7294758399999</c:v>
                </c:pt>
                <c:pt idx="150">
                  <c:v>12.61435046</c:v>
                </c:pt>
                <c:pt idx="151">
                  <c:v>12.61435046</c:v>
                </c:pt>
                <c:pt idx="152">
                  <c:v>12.4994999999999</c:v>
                </c:pt>
                <c:pt idx="153">
                  <c:v>12.4994999999999</c:v>
                </c:pt>
                <c:pt idx="154">
                  <c:v>12.3849244600001</c:v>
                </c:pt>
                <c:pt idx="155">
                  <c:v>11.1427382399997</c:v>
                </c:pt>
                <c:pt idx="156">
                  <c:v>11.0314617399999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completa!$J$2:$J$2</c:f>
              <c:strCache>
                <c:ptCount val="1"/>
                <c:pt idx="0">
                  <c:v>m-adc-36</c:v>
                </c:pt>
              </c:strCache>
            </c:strRef>
          </c:tx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36</c:name>
            <c:spPr>
              <a:ln w="0">
                <a:solidFill>
                  <a:srgbClr val="579d1c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completa!$J$3:$J$180</c:f>
              <c:numCache>
                <c:formatCode>General</c:formatCode>
                <c:ptCount val="178"/>
                <c:pt idx="0">
                  <c:v>94.13249</c:v>
                </c:pt>
                <c:pt idx="1">
                  <c:v>69.1142499999996</c:v>
                </c:pt>
                <c:pt idx="2">
                  <c:v>68.0226399999992</c:v>
                </c:pt>
                <c:pt idx="3">
                  <c:v>66.2276899999993</c:v>
                </c:pt>
                <c:pt idx="4">
                  <c:v>68.0226399999992</c:v>
                </c:pt>
                <c:pt idx="5">
                  <c:v>64.4632399999991</c:v>
                </c:pt>
                <c:pt idx="6">
                  <c:v>62.7292899999989</c:v>
                </c:pt>
                <c:pt idx="7">
                  <c:v>52.6595599999996</c:v>
                </c:pt>
                <c:pt idx="8">
                  <c:v>63.0736399999992</c:v>
                </c:pt>
                <c:pt idx="9">
                  <c:v>62.7292899999989</c:v>
                </c:pt>
                <c:pt idx="10">
                  <c:v>62.7292899999989</c:v>
                </c:pt>
                <c:pt idx="11">
                  <c:v>51.1452099999997</c:v>
                </c:pt>
                <c:pt idx="12">
                  <c:v>62.0442499999999</c:v>
                </c:pt>
                <c:pt idx="13">
                  <c:v>61.3640899999996</c:v>
                </c:pt>
                <c:pt idx="14">
                  <c:v>59.0219599999996</c:v>
                </c:pt>
                <c:pt idx="15">
                  <c:v>48.7856899999993</c:v>
                </c:pt>
                <c:pt idx="16">
                  <c:v>59.3528899999997</c:v>
                </c:pt>
                <c:pt idx="17">
                  <c:v>58.6922499999996</c:v>
                </c:pt>
                <c:pt idx="18">
                  <c:v>59.0219599999996</c:v>
                </c:pt>
                <c:pt idx="19">
                  <c:v>48.2080099999994</c:v>
                </c:pt>
                <c:pt idx="20">
                  <c:v>58.0364899999995</c:v>
                </c:pt>
                <c:pt idx="21">
                  <c:v>59.3528899999997</c:v>
                </c:pt>
                <c:pt idx="22">
                  <c:v>57.3856099999994</c:v>
                </c:pt>
                <c:pt idx="23">
                  <c:v>58.0364899999995</c:v>
                </c:pt>
                <c:pt idx="24">
                  <c:v>57.3856099999994</c:v>
                </c:pt>
                <c:pt idx="25">
                  <c:v>48.2080099999994</c:v>
                </c:pt>
                <c:pt idx="26">
                  <c:v>57.0619999999994</c:v>
                </c:pt>
                <c:pt idx="27">
                  <c:v>52.3542499999999</c:v>
                </c:pt>
                <c:pt idx="28">
                  <c:v>57.0619999999994</c:v>
                </c:pt>
                <c:pt idx="29">
                  <c:v>57.0619999999994</c:v>
                </c:pt>
                <c:pt idx="30">
                  <c:v>46.785159999999</c:v>
                </c:pt>
                <c:pt idx="31">
                  <c:v>56.098489999999</c:v>
                </c:pt>
                <c:pt idx="32">
                  <c:v>55.4622499999991</c:v>
                </c:pt>
                <c:pt idx="33">
                  <c:v>55.4622499999991</c:v>
                </c:pt>
                <c:pt idx="34">
                  <c:v>57.3856099999994</c:v>
                </c:pt>
                <c:pt idx="35">
                  <c:v>55.1459599999989</c:v>
                </c:pt>
                <c:pt idx="36">
                  <c:v>46.785159999999</c:v>
                </c:pt>
                <c:pt idx="37">
                  <c:v>47.3506399999992</c:v>
                </c:pt>
                <c:pt idx="38">
                  <c:v>56.098489999999</c:v>
                </c:pt>
                <c:pt idx="39">
                  <c:v>55.779759999999</c:v>
                </c:pt>
                <c:pt idx="40">
                  <c:v>44.5720399999996</c:v>
                </c:pt>
                <c:pt idx="41">
                  <c:v>54.8308899999988</c:v>
                </c:pt>
                <c:pt idx="42">
                  <c:v>55.1459599999989</c:v>
                </c:pt>
                <c:pt idx="43">
                  <c:v>44.8444099999997</c:v>
                </c:pt>
                <c:pt idx="44">
                  <c:v>54.8308899999988</c:v>
                </c:pt>
                <c:pt idx="45">
                  <c:v>53.8929999999991</c:v>
                </c:pt>
                <c:pt idx="46">
                  <c:v>53.5828099999999</c:v>
                </c:pt>
                <c:pt idx="47">
                  <c:v>52.9660899999999</c:v>
                </c:pt>
                <c:pt idx="48">
                  <c:v>52.3542499999999</c:v>
                </c:pt>
                <c:pt idx="49">
                  <c:v>43.4947599999996</c:v>
                </c:pt>
                <c:pt idx="50">
                  <c:v>53.8929999999991</c:v>
                </c:pt>
                <c:pt idx="51">
                  <c:v>52.6595599999996</c:v>
                </c:pt>
                <c:pt idx="52">
                  <c:v>43.7622499999998</c:v>
                </c:pt>
                <c:pt idx="53">
                  <c:v>53.2738399999998</c:v>
                </c:pt>
                <c:pt idx="54">
                  <c:v>37.2040099999995</c:v>
                </c:pt>
                <c:pt idx="55">
                  <c:v>41.3987599999991</c:v>
                </c:pt>
                <c:pt idx="56">
                  <c:v>44.0309599999996</c:v>
                </c:pt>
                <c:pt idx="57">
                  <c:v>42.9634399999995</c:v>
                </c:pt>
                <c:pt idx="58">
                  <c:v>41.1422499999994</c:v>
                </c:pt>
                <c:pt idx="59">
                  <c:v>40.3800399999991</c:v>
                </c:pt>
                <c:pt idx="60">
                  <c:v>38.888559999999</c:v>
                </c:pt>
                <c:pt idx="61">
                  <c:v>38.888559999999</c:v>
                </c:pt>
                <c:pt idx="62">
                  <c:v>38.888559999999</c:v>
                </c:pt>
                <c:pt idx="63">
                  <c:v>39.3808399999989</c:v>
                </c:pt>
                <c:pt idx="64">
                  <c:v>39.3808399999989</c:v>
                </c:pt>
                <c:pt idx="65">
                  <c:v>41.1422499999994</c:v>
                </c:pt>
                <c:pt idx="66">
                  <c:v>38.888559999999</c:v>
                </c:pt>
                <c:pt idx="67">
                  <c:v>38.888559999999</c:v>
                </c:pt>
                <c:pt idx="68">
                  <c:v>38.888559999999</c:v>
                </c:pt>
                <c:pt idx="69">
                  <c:v>38.4011599999999</c:v>
                </c:pt>
                <c:pt idx="70">
                  <c:v>38.888559999999</c:v>
                </c:pt>
                <c:pt idx="71">
                  <c:v>37.9186399999999</c:v>
                </c:pt>
                <c:pt idx="72">
                  <c:v>38.1592899999996</c:v>
                </c:pt>
                <c:pt idx="73">
                  <c:v>37.9186399999999</c:v>
                </c:pt>
                <c:pt idx="74">
                  <c:v>35.8076899999992</c:v>
                </c:pt>
                <c:pt idx="75">
                  <c:v>38.1592899999996</c:v>
                </c:pt>
                <c:pt idx="76">
                  <c:v>37.9186399999999</c:v>
                </c:pt>
                <c:pt idx="77">
                  <c:v>37.2040099999995</c:v>
                </c:pt>
                <c:pt idx="78">
                  <c:v>36.2682499999996</c:v>
                </c:pt>
                <c:pt idx="79">
                  <c:v>35.5792399999996</c:v>
                </c:pt>
                <c:pt idx="80">
                  <c:v>36.7336899999996</c:v>
                </c:pt>
                <c:pt idx="81">
                  <c:v>37.2040099999995</c:v>
                </c:pt>
                <c:pt idx="82">
                  <c:v>37.9186399999999</c:v>
                </c:pt>
                <c:pt idx="83">
                  <c:v>36.0373599999994</c:v>
                </c:pt>
                <c:pt idx="84">
                  <c:v>35.5792399999996</c:v>
                </c:pt>
                <c:pt idx="85">
                  <c:v>35.1259999999993</c:v>
                </c:pt>
                <c:pt idx="86">
                  <c:v>35.5792399999996</c:v>
                </c:pt>
                <c:pt idx="87">
                  <c:v>34.6776399999994</c:v>
                </c:pt>
                <c:pt idx="88">
                  <c:v>34.455289999999</c:v>
                </c:pt>
                <c:pt idx="89">
                  <c:v>35.5792399999996</c:v>
                </c:pt>
                <c:pt idx="90">
                  <c:v>34.455289999999</c:v>
                </c:pt>
                <c:pt idx="91">
                  <c:v>35.3520099999992</c:v>
                </c:pt>
                <c:pt idx="92">
                  <c:v>34.455289999999</c:v>
                </c:pt>
                <c:pt idx="93">
                  <c:v>34.9012099999991</c:v>
                </c:pt>
                <c:pt idx="94">
                  <c:v>34.6776399999994</c:v>
                </c:pt>
                <c:pt idx="95">
                  <c:v>34.455289999999</c:v>
                </c:pt>
                <c:pt idx="96">
                  <c:v>34.9012099999991</c:v>
                </c:pt>
                <c:pt idx="97">
                  <c:v>16.2690399999997</c:v>
                </c:pt>
                <c:pt idx="98">
                  <c:v>16.9416099999989</c:v>
                </c:pt>
                <c:pt idx="99">
                  <c:v>16.3388899999995</c:v>
                </c:pt>
                <c:pt idx="100">
                  <c:v>16.2004099999995</c:v>
                </c:pt>
                <c:pt idx="101">
                  <c:v>15.2203599999989</c:v>
                </c:pt>
                <c:pt idx="102">
                  <c:v>15.3676899999991</c:v>
                </c:pt>
                <c:pt idx="103">
                  <c:v>15.3173599999991</c:v>
                </c:pt>
                <c:pt idx="104">
                  <c:v>14.6484099999993</c:v>
                </c:pt>
                <c:pt idx="105">
                  <c:v>14.8442499999996</c:v>
                </c:pt>
                <c:pt idx="106">
                  <c:v>14.3280099999993</c:v>
                </c:pt>
                <c:pt idx="107">
                  <c:v>14.5928899999994</c:v>
                </c:pt>
                <c:pt idx="108">
                  <c:v>14.5928899999994</c:v>
                </c:pt>
                <c:pt idx="109">
                  <c:v>14.5422499999991</c:v>
                </c:pt>
                <c:pt idx="110">
                  <c:v>14.6484099999993</c:v>
                </c:pt>
                <c:pt idx="111">
                  <c:v>14.3747599999988</c:v>
                </c:pt>
                <c:pt idx="112">
                  <c:v>14.3622499999988</c:v>
                </c:pt>
                <c:pt idx="113">
                  <c:v>14.419609999999</c:v>
                </c:pt>
                <c:pt idx="114">
                  <c:v>14.3408899999995</c:v>
                </c:pt>
                <c:pt idx="115">
                  <c:v>14.3179999999998</c:v>
                </c:pt>
                <c:pt idx="116">
                  <c:v>14.3244099999997</c:v>
                </c:pt>
                <c:pt idx="117">
                  <c:v>14.3509599999989</c:v>
                </c:pt>
                <c:pt idx="118">
                  <c:v>14.3051599999994</c:v>
                </c:pt>
                <c:pt idx="119">
                  <c:v>14.6200399999993</c:v>
                </c:pt>
                <c:pt idx="120">
                  <c:v>14.3060899999996</c:v>
                </c:pt>
                <c:pt idx="121">
                  <c:v>14.3072899999993</c:v>
                </c:pt>
                <c:pt idx="122">
                  <c:v>14.3209999999995</c:v>
                </c:pt>
                <c:pt idx="123">
                  <c:v>14.485639999999</c:v>
                </c:pt>
                <c:pt idx="124">
                  <c:v>14.3362399999992</c:v>
                </c:pt>
                <c:pt idx="125">
                  <c:v>14.3362399999992</c:v>
                </c:pt>
                <c:pt idx="126">
                  <c:v>14.3956899999989</c:v>
                </c:pt>
                <c:pt idx="127">
                  <c:v>14.3362399999992</c:v>
                </c:pt>
                <c:pt idx="128">
                  <c:v>14.3956899999989</c:v>
                </c:pt>
                <c:pt idx="129">
                  <c:v>14.6338399999995</c:v>
                </c:pt>
                <c:pt idx="130">
                  <c:v>14.3152099999993</c:v>
                </c:pt>
                <c:pt idx="131">
                  <c:v>14.4652099999989</c:v>
                </c:pt>
                <c:pt idx="132">
                  <c:v>14.4652099999989</c:v>
                </c:pt>
                <c:pt idx="133">
                  <c:v>14.5542499999997</c:v>
                </c:pt>
                <c:pt idx="134">
                  <c:v>14.6060899999998</c:v>
                </c:pt>
                <c:pt idx="135">
                  <c:v>14.5301599999998</c:v>
                </c:pt>
                <c:pt idx="136">
                  <c:v>14.3682499999991</c:v>
                </c:pt>
                <c:pt idx="137">
                  <c:v>14.6338399999995</c:v>
                </c:pt>
                <c:pt idx="138">
                  <c:v>14.5301599999998</c:v>
                </c:pt>
                <c:pt idx="139">
                  <c:v>15.0196099999994</c:v>
                </c:pt>
                <c:pt idx="140">
                  <c:v>14.6628099999994</c:v>
                </c:pt>
                <c:pt idx="141">
                  <c:v>14.6338399999995</c:v>
                </c:pt>
                <c:pt idx="142">
                  <c:v>14.8259599999992</c:v>
                </c:pt>
                <c:pt idx="143">
                  <c:v>14.6929999999993</c:v>
                </c:pt>
                <c:pt idx="144">
                  <c:v>14.6338399999995</c:v>
                </c:pt>
                <c:pt idx="145">
                  <c:v>14.6929999999993</c:v>
                </c:pt>
                <c:pt idx="146">
                  <c:v>14.6628099999994</c:v>
                </c:pt>
                <c:pt idx="147">
                  <c:v>14.7244099999994</c:v>
                </c:pt>
                <c:pt idx="148">
                  <c:v>14.9784399999994</c:v>
                </c:pt>
                <c:pt idx="149">
                  <c:v>14.8259599999992</c:v>
                </c:pt>
                <c:pt idx="150">
                  <c:v>14.8622499999992</c:v>
                </c:pt>
                <c:pt idx="151">
                  <c:v>14.9384899999991</c:v>
                </c:pt>
                <c:pt idx="152">
                  <c:v>15.1964899999989</c:v>
                </c:pt>
                <c:pt idx="153">
                  <c:v>14.6929999999993</c:v>
                </c:pt>
                <c:pt idx="154">
                  <c:v>15.1056099999992</c:v>
                </c:pt>
                <c:pt idx="155">
                  <c:v>15.4984099999988</c:v>
                </c:pt>
                <c:pt idx="156">
                  <c:v>15.3419599999988</c:v>
                </c:pt>
                <c:pt idx="157">
                  <c:v>73.5904899999991</c:v>
                </c:pt>
                <c:pt idx="158">
                  <c:v>75.507439999999</c:v>
                </c:pt>
                <c:pt idx="159">
                  <c:v>84.3043599999992</c:v>
                </c:pt>
                <c:pt idx="160">
                  <c:v>85.5496899999989</c:v>
                </c:pt>
                <c:pt idx="161">
                  <c:v>78.2424099999994</c:v>
                </c:pt>
                <c:pt idx="162">
                  <c:v>69.8480899999995</c:v>
                </c:pt>
                <c:pt idx="164">
                  <c:v>57.0619999999994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completa!$K$2:$K$2</c:f>
              <c:strCache>
                <c:ptCount val="1"/>
                <c:pt idx="0">
                  <c:v>m-adc-39</c:v>
                </c:pt>
              </c:strCache>
            </c:strRef>
          </c:tx>
          <c:spPr>
            <a:solidFill>
              <a:srgbClr val="7e0021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39</c:name>
            <c:spPr>
              <a:ln w="0">
                <a:solidFill>
                  <a:srgbClr val="7e0021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xVal>
          <c:yVal>
            <c:numRef>
              <c:f>completa!$K$3:$K$180</c:f>
              <c:numCache>
                <c:formatCode>General</c:formatCode>
                <c:ptCount val="178"/>
                <c:pt idx="3">
                  <c:v>96.2094802499992</c:v>
                </c:pt>
                <c:pt idx="5">
                  <c:v>94.4384822500001</c:v>
                </c:pt>
                <c:pt idx="6">
                  <c:v>92.68701225</c:v>
                </c:pt>
                <c:pt idx="8">
                  <c:v>90.0964222499997</c:v>
                </c:pt>
                <c:pt idx="9">
                  <c:v>88.3937722499995</c:v>
                </c:pt>
                <c:pt idx="10">
                  <c:v>87.9711609999995</c:v>
                </c:pt>
                <c:pt idx="12">
                  <c:v>87.5497702499997</c:v>
                </c:pt>
                <c:pt idx="13">
                  <c:v>85.8764122499993</c:v>
                </c:pt>
                <c:pt idx="14">
                  <c:v>85.0470562499995</c:v>
                </c:pt>
                <c:pt idx="16">
                  <c:v>83.4029902500001</c:v>
                </c:pt>
                <c:pt idx="17">
                  <c:v>80.5728639999998</c:v>
                </c:pt>
                <c:pt idx="18">
                  <c:v>80.9735062499999</c:v>
                </c:pt>
                <c:pt idx="20">
                  <c:v>77.8025422499995</c:v>
                </c:pt>
                <c:pt idx="21">
                  <c:v>80.5728639999998</c:v>
                </c:pt>
                <c:pt idx="22">
                  <c:v>78.5879602499999</c:v>
                </c:pt>
                <c:pt idx="23">
                  <c:v>80.1734422499999</c:v>
                </c:pt>
                <c:pt idx="24">
                  <c:v>78.5879602499999</c:v>
                </c:pt>
                <c:pt idx="26">
                  <c:v>76.6335689999996</c:v>
                </c:pt>
                <c:pt idx="27">
                  <c:v>68.3967359999997</c:v>
                </c:pt>
                <c:pt idx="28">
                  <c:v>76.2463522499998</c:v>
                </c:pt>
                <c:pt idx="29">
                  <c:v>75.4755802499994</c:v>
                </c:pt>
                <c:pt idx="31">
                  <c:v>73.9486822499994</c:v>
                </c:pt>
                <c:pt idx="32">
                  <c:v>72.0675209999999</c:v>
                </c:pt>
                <c:pt idx="33">
                  <c:v>73.1925562499991</c:v>
                </c:pt>
                <c:pt idx="34">
                  <c:v>74.3285759999994</c:v>
                </c:pt>
                <c:pt idx="35">
                  <c:v>71.6949502500002</c:v>
                </c:pt>
                <c:pt idx="37">
                  <c:v>80.5728639999998</c:v>
                </c:pt>
                <c:pt idx="38">
                  <c:v>74.3285759999994</c:v>
                </c:pt>
                <c:pt idx="39">
                  <c:v>72.44131225</c:v>
                </c:pt>
                <c:pt idx="40">
                  <c:v>77.8025422499995</c:v>
                </c:pt>
                <c:pt idx="41">
                  <c:v>71.6949502500002</c:v>
                </c:pt>
                <c:pt idx="42">
                  <c:v>71.6949502500002</c:v>
                </c:pt>
                <c:pt idx="43">
                  <c:v>80.9735062499999</c:v>
                </c:pt>
                <c:pt idx="44">
                  <c:v>70.2168722500001</c:v>
                </c:pt>
                <c:pt idx="45">
                  <c:v>71.6949502500002</c:v>
                </c:pt>
                <c:pt idx="46">
                  <c:v>72.44131225</c:v>
                </c:pt>
                <c:pt idx="47">
                  <c:v>69.4851562499998</c:v>
                </c:pt>
                <c:pt idx="48">
                  <c:v>68.3967359999997</c:v>
                </c:pt>
                <c:pt idx="49">
                  <c:v>75.4755802499994</c:v>
                </c:pt>
                <c:pt idx="50">
                  <c:v>68.3967359999997</c:v>
                </c:pt>
                <c:pt idx="51">
                  <c:v>67.6772249999999</c:v>
                </c:pt>
                <c:pt idx="52">
                  <c:v>75.0920249999995</c:v>
                </c:pt>
                <c:pt idx="53">
                  <c:v>68.0363702499999</c:v>
                </c:pt>
                <c:pt idx="54">
                  <c:v>73.5700089999991</c:v>
                </c:pt>
                <c:pt idx="55">
                  <c:v>73.5700089999991</c:v>
                </c:pt>
                <c:pt idx="56">
                  <c:v>70.5845610000001</c:v>
                </c:pt>
                <c:pt idx="57">
                  <c:v>72.44131225</c:v>
                </c:pt>
                <c:pt idx="58">
                  <c:v>73.1925562499991</c:v>
                </c:pt>
                <c:pt idx="59">
                  <c:v>72.0675209999999</c:v>
                </c:pt>
                <c:pt idx="60">
                  <c:v>66.9625959999994</c:v>
                </c:pt>
                <c:pt idx="61">
                  <c:v>66.2528489999995</c:v>
                </c:pt>
                <c:pt idx="62">
                  <c:v>69.1211289999997</c:v>
                </c:pt>
                <c:pt idx="63">
                  <c:v>68.3967359999997</c:v>
                </c:pt>
                <c:pt idx="64">
                  <c:v>68.3967359999997</c:v>
                </c:pt>
                <c:pt idx="65">
                  <c:v>69.1211289999997</c:v>
                </c:pt>
                <c:pt idx="66">
                  <c:v>66.2528489999995</c:v>
                </c:pt>
                <c:pt idx="67">
                  <c:v>65.1973822499995</c:v>
                </c:pt>
                <c:pt idx="68">
                  <c:v>66.2528489999995</c:v>
                </c:pt>
                <c:pt idx="69">
                  <c:v>61.0853602500001</c:v>
                </c:pt>
                <c:pt idx="70">
                  <c:v>65.1973822499995</c:v>
                </c:pt>
                <c:pt idx="71">
                  <c:v>62.4365062500001</c:v>
                </c:pt>
                <c:pt idx="72">
                  <c:v>64.1528999999991</c:v>
                </c:pt>
                <c:pt idx="73">
                  <c:v>62.7773440000001</c:v>
                </c:pt>
                <c:pt idx="74">
                  <c:v>62.0968889999999</c:v>
                </c:pt>
                <c:pt idx="75">
                  <c:v>62.0968889999999</c:v>
                </c:pt>
                <c:pt idx="76">
                  <c:v>61.75849225</c:v>
                </c:pt>
                <c:pt idx="77">
                  <c:v>60.7506250000001</c:v>
                </c:pt>
                <c:pt idx="78">
                  <c:v>58.4416522499996</c:v>
                </c:pt>
                <c:pt idx="79">
                  <c:v>57.7929302499997</c:v>
                </c:pt>
                <c:pt idx="80">
                  <c:v>61.0853602500001</c:v>
                </c:pt>
                <c:pt idx="81">
                  <c:v>59.0952562499997</c:v>
                </c:pt>
                <c:pt idx="82">
                  <c:v>59.75374225</c:v>
                </c:pt>
                <c:pt idx="83">
                  <c:v>57.4703999999997</c:v>
                </c:pt>
                <c:pt idx="84">
                  <c:v>64.4998402499996</c:v>
                </c:pt>
                <c:pt idx="85">
                  <c:v>57.7929302499997</c:v>
                </c:pt>
                <c:pt idx="86">
                  <c:v>58.4416522499996</c:v>
                </c:pt>
                <c:pt idx="87">
                  <c:v>57.4703999999997</c:v>
                </c:pt>
                <c:pt idx="88">
                  <c:v>58.1166809999995</c:v>
                </c:pt>
                <c:pt idx="89">
                  <c:v>57.4703999999997</c:v>
                </c:pt>
                <c:pt idx="90">
                  <c:v>56.5101322499995</c:v>
                </c:pt>
                <c:pt idx="91">
                  <c:v>57.1490902499995</c:v>
                </c:pt>
                <c:pt idx="92">
                  <c:v>56.1924839999992</c:v>
                </c:pt>
                <c:pt idx="93">
                  <c:v>56.8290009999996</c:v>
                </c:pt>
                <c:pt idx="94">
                  <c:v>56.1924839999992</c:v>
                </c:pt>
                <c:pt idx="95">
                  <c:v>56.8290009999996</c:v>
                </c:pt>
                <c:pt idx="96">
                  <c:v>57.4703999999997</c:v>
                </c:pt>
                <c:pt idx="97">
                  <c:v>19.715584</c:v>
                </c:pt>
                <c:pt idx="98">
                  <c:v>17.9007562499996</c:v>
                </c:pt>
                <c:pt idx="99">
                  <c:v>16.9128959999998</c:v>
                </c:pt>
                <c:pt idx="100">
                  <c:v>16.98156225</c:v>
                </c:pt>
                <c:pt idx="101">
                  <c:v>16.7792249999998</c:v>
                </c:pt>
                <c:pt idx="102">
                  <c:v>15.9802239999995</c:v>
                </c:pt>
                <c:pt idx="103">
                  <c:v>16.4664062499996</c:v>
                </c:pt>
                <c:pt idx="104">
                  <c:v>16.2933609999996</c:v>
                </c:pt>
                <c:pt idx="105">
                  <c:v>15.9802239999995</c:v>
                </c:pt>
                <c:pt idx="106">
                  <c:v>15.9802239999995</c:v>
                </c:pt>
                <c:pt idx="107">
                  <c:v>15.9802239999995</c:v>
                </c:pt>
                <c:pt idx="108">
                  <c:v>15.7958759999992</c:v>
                </c:pt>
                <c:pt idx="109">
                  <c:v>15.7110250000001</c:v>
                </c:pt>
                <c:pt idx="110">
                  <c:v>15.6704302500002</c:v>
                </c:pt>
                <c:pt idx="111">
                  <c:v>15.7958759999992</c:v>
                </c:pt>
                <c:pt idx="112">
                  <c:v>15.3316102499998</c:v>
                </c:pt>
                <c:pt idx="113">
                  <c:v>15.9323062499993</c:v>
                </c:pt>
                <c:pt idx="114">
                  <c:v>15.4204409999998</c:v>
                </c:pt>
                <c:pt idx="115">
                  <c:v>15.3316102499998</c:v>
                </c:pt>
                <c:pt idx="116">
                  <c:v>15.3599999999997</c:v>
                </c:pt>
                <c:pt idx="117">
                  <c:v>15.3044409999998</c:v>
                </c:pt>
                <c:pt idx="118">
                  <c:v>15.2302562499995</c:v>
                </c:pt>
                <c:pt idx="119">
                  <c:v>15.3896102499998</c:v>
                </c:pt>
                <c:pt idx="120">
                  <c:v>15.3044409999998</c:v>
                </c:pt>
                <c:pt idx="121">
                  <c:v>15.2079689999996</c:v>
                </c:pt>
                <c:pt idx="122">
                  <c:v>15.0861322499995</c:v>
                </c:pt>
                <c:pt idx="123">
                  <c:v>15.0173609999997</c:v>
                </c:pt>
                <c:pt idx="124">
                  <c:v>15.0998759999993</c:v>
                </c:pt>
                <c:pt idx="125">
                  <c:v>15.1310249999992</c:v>
                </c:pt>
                <c:pt idx="126">
                  <c:v>15.04336225</c:v>
                </c:pt>
                <c:pt idx="127">
                  <c:v>15.0861322499995</c:v>
                </c:pt>
                <c:pt idx="128">
                  <c:v>15.0522239999991</c:v>
                </c:pt>
                <c:pt idx="129">
                  <c:v>15.0474502499997</c:v>
                </c:pt>
                <c:pt idx="130">
                  <c:v>15.0293002500002</c:v>
                </c:pt>
                <c:pt idx="131">
                  <c:v>15.0522239999991</c:v>
                </c:pt>
                <c:pt idx="132">
                  <c:v>15.0357210000002</c:v>
                </c:pt>
                <c:pt idx="133">
                  <c:v>15.0173609999997</c:v>
                </c:pt>
                <c:pt idx="134">
                  <c:v>15.0185289999999</c:v>
                </c:pt>
                <c:pt idx="135">
                  <c:v>15.0185289999999</c:v>
                </c:pt>
                <c:pt idx="136">
                  <c:v>15.0522239999991</c:v>
                </c:pt>
                <c:pt idx="137">
                  <c:v>15.0322202499997</c:v>
                </c:pt>
                <c:pt idx="138">
                  <c:v>15.0218722499999</c:v>
                </c:pt>
                <c:pt idx="139">
                  <c:v>15.0185289999999</c:v>
                </c:pt>
                <c:pt idx="140">
                  <c:v>15.0794489999994</c:v>
                </c:pt>
                <c:pt idx="141">
                  <c:v>15.0322202499997</c:v>
                </c:pt>
                <c:pt idx="142">
                  <c:v>15.0474502499997</c:v>
                </c:pt>
                <c:pt idx="143">
                  <c:v>15.0568959999996</c:v>
                </c:pt>
                <c:pt idx="144">
                  <c:v>15.0925562499997</c:v>
                </c:pt>
                <c:pt idx="145">
                  <c:v>15.0568959999996</c:v>
                </c:pt>
                <c:pt idx="146">
                  <c:v>15.0794489999994</c:v>
                </c:pt>
                <c:pt idx="147">
                  <c:v>15.0925562499997</c:v>
                </c:pt>
                <c:pt idx="148">
                  <c:v>15.0185289999999</c:v>
                </c:pt>
                <c:pt idx="149">
                  <c:v>15.0392249999995</c:v>
                </c:pt>
                <c:pt idx="150">
                  <c:v>15.0675622499994</c:v>
                </c:pt>
                <c:pt idx="151">
                  <c:v>15.2413522499992</c:v>
                </c:pt>
                <c:pt idx="152">
                  <c:v>15.0925562499997</c:v>
                </c:pt>
                <c:pt idx="153">
                  <c:v>15.0925562499997</c:v>
                </c:pt>
                <c:pt idx="154">
                  <c:v>15.2413522499992</c:v>
                </c:pt>
                <c:pt idx="155">
                  <c:v>15.1571902499995</c:v>
                </c:pt>
                <c:pt idx="156">
                  <c:v>15.2184809999994</c:v>
                </c:pt>
              </c:numCache>
            </c:numRef>
          </c:yVal>
          <c:smooth val="0"/>
        </c:ser>
        <c:axId val="40458747"/>
        <c:axId val="58550225"/>
      </c:scatterChart>
      <c:valAx>
        <c:axId val="404587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550225"/>
        <c:crosses val="autoZero"/>
        <c:crossBetween val="between"/>
      </c:valAx>
      <c:valAx>
        <c:axId val="585502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45874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completa!$C$2</c:f>
              <c:strCache>
                <c:ptCount val="1"/>
                <c:pt idx="0">
                  <c:v>m-adc-32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completa!$C$3:$C$180</c:f>
              <c:numCache>
                <c:formatCode>General</c:formatCode>
                <c:ptCount val="178"/>
                <c:pt idx="0">
                  <c:v>1200</c:v>
                </c:pt>
                <c:pt idx="1">
                  <c:v>1253</c:v>
                </c:pt>
                <c:pt idx="2">
                  <c:v>1231</c:v>
                </c:pt>
                <c:pt idx="3">
                  <c:v>1197</c:v>
                </c:pt>
                <c:pt idx="4">
                  <c:v>1197</c:v>
                </c:pt>
                <c:pt idx="5">
                  <c:v>1161</c:v>
                </c:pt>
                <c:pt idx="6">
                  <c:v>1200</c:v>
                </c:pt>
                <c:pt idx="7">
                  <c:v>1372</c:v>
                </c:pt>
                <c:pt idx="8">
                  <c:v>1197</c:v>
                </c:pt>
                <c:pt idx="9">
                  <c:v>1200</c:v>
                </c:pt>
                <c:pt idx="10">
                  <c:v>1200</c:v>
                </c:pt>
                <c:pt idx="11">
                  <c:v>1367</c:v>
                </c:pt>
                <c:pt idx="12">
                  <c:v>1197</c:v>
                </c:pt>
                <c:pt idx="13">
                  <c:v>1153</c:v>
                </c:pt>
                <c:pt idx="14">
                  <c:v>1198</c:v>
                </c:pt>
                <c:pt idx="15">
                  <c:v>1355</c:v>
                </c:pt>
                <c:pt idx="16">
                  <c:v>1190</c:v>
                </c:pt>
                <c:pt idx="17">
                  <c:v>1201</c:v>
                </c:pt>
                <c:pt idx="18">
                  <c:v>1189</c:v>
                </c:pt>
                <c:pt idx="19">
                  <c:v>1367</c:v>
                </c:pt>
                <c:pt idx="20">
                  <c:v>1182</c:v>
                </c:pt>
                <c:pt idx="21">
                  <c:v>1174</c:v>
                </c:pt>
                <c:pt idx="22">
                  <c:v>1179</c:v>
                </c:pt>
                <c:pt idx="23">
                  <c:v>1198</c:v>
                </c:pt>
                <c:pt idx="24">
                  <c:v>1273</c:v>
                </c:pt>
                <c:pt idx="25">
                  <c:v>1346</c:v>
                </c:pt>
                <c:pt idx="26">
                  <c:v>1198</c:v>
                </c:pt>
                <c:pt idx="27">
                  <c:v>1233</c:v>
                </c:pt>
                <c:pt idx="28">
                  <c:v>1204</c:v>
                </c:pt>
                <c:pt idx="29">
                  <c:v>1194</c:v>
                </c:pt>
                <c:pt idx="30">
                  <c:v>1390</c:v>
                </c:pt>
                <c:pt idx="31">
                  <c:v>1197</c:v>
                </c:pt>
                <c:pt idx="32">
                  <c:v>1199</c:v>
                </c:pt>
                <c:pt idx="33">
                  <c:v>1185</c:v>
                </c:pt>
                <c:pt idx="34">
                  <c:v>1195</c:v>
                </c:pt>
                <c:pt idx="35">
                  <c:v>1195</c:v>
                </c:pt>
                <c:pt idx="36">
                  <c:v>1371</c:v>
                </c:pt>
                <c:pt idx="37">
                  <c:v>1363</c:v>
                </c:pt>
                <c:pt idx="38">
                  <c:v>1186</c:v>
                </c:pt>
                <c:pt idx="39">
                  <c:v>1194</c:v>
                </c:pt>
                <c:pt idx="40">
                  <c:v>1379</c:v>
                </c:pt>
                <c:pt idx="41">
                  <c:v>1214</c:v>
                </c:pt>
                <c:pt idx="42">
                  <c:v>1191</c:v>
                </c:pt>
                <c:pt idx="43">
                  <c:v>1341</c:v>
                </c:pt>
                <c:pt idx="44">
                  <c:v>1201</c:v>
                </c:pt>
                <c:pt idx="45">
                  <c:v>1195</c:v>
                </c:pt>
                <c:pt idx="46">
                  <c:v>1189</c:v>
                </c:pt>
                <c:pt idx="47">
                  <c:v>1198</c:v>
                </c:pt>
                <c:pt idx="48">
                  <c:v>1206</c:v>
                </c:pt>
                <c:pt idx="49">
                  <c:v>1374</c:v>
                </c:pt>
                <c:pt idx="50">
                  <c:v>1168</c:v>
                </c:pt>
                <c:pt idx="51">
                  <c:v>1199</c:v>
                </c:pt>
                <c:pt idx="52">
                  <c:v>1366</c:v>
                </c:pt>
                <c:pt idx="53">
                  <c:v>1195</c:v>
                </c:pt>
                <c:pt idx="54">
                  <c:v>1371</c:v>
                </c:pt>
                <c:pt idx="55">
                  <c:v>1367</c:v>
                </c:pt>
                <c:pt idx="56">
                  <c:v>1363</c:v>
                </c:pt>
                <c:pt idx="57">
                  <c:v>1357</c:v>
                </c:pt>
                <c:pt idx="58">
                  <c:v>1362</c:v>
                </c:pt>
                <c:pt idx="59">
                  <c:v>1364</c:v>
                </c:pt>
                <c:pt idx="60">
                  <c:v>1362</c:v>
                </c:pt>
                <c:pt idx="61">
                  <c:v>1392</c:v>
                </c:pt>
                <c:pt idx="62">
                  <c:v>1362</c:v>
                </c:pt>
                <c:pt idx="63">
                  <c:v>1409</c:v>
                </c:pt>
                <c:pt idx="64">
                  <c:v>1363</c:v>
                </c:pt>
                <c:pt idx="65">
                  <c:v>1365</c:v>
                </c:pt>
                <c:pt idx="66">
                  <c:v>1362</c:v>
                </c:pt>
                <c:pt idx="67">
                  <c:v>1362</c:v>
                </c:pt>
                <c:pt idx="68">
                  <c:v>1361</c:v>
                </c:pt>
                <c:pt idx="69">
                  <c:v>1361</c:v>
                </c:pt>
                <c:pt idx="70">
                  <c:v>1360</c:v>
                </c:pt>
                <c:pt idx="71">
                  <c:v>1366</c:v>
                </c:pt>
                <c:pt idx="72">
                  <c:v>1360</c:v>
                </c:pt>
                <c:pt idx="73">
                  <c:v>1367</c:v>
                </c:pt>
                <c:pt idx="74">
                  <c:v>1374</c:v>
                </c:pt>
                <c:pt idx="75">
                  <c:v>1280</c:v>
                </c:pt>
                <c:pt idx="76">
                  <c:v>1363</c:v>
                </c:pt>
                <c:pt idx="77">
                  <c:v>1363</c:v>
                </c:pt>
                <c:pt idx="78">
                  <c:v>1437</c:v>
                </c:pt>
                <c:pt idx="79">
                  <c:v>1361</c:v>
                </c:pt>
                <c:pt idx="80">
                  <c:v>1375</c:v>
                </c:pt>
                <c:pt idx="81">
                  <c:v>1361</c:v>
                </c:pt>
                <c:pt idx="82">
                  <c:v>1363</c:v>
                </c:pt>
                <c:pt idx="83">
                  <c:v>1360</c:v>
                </c:pt>
                <c:pt idx="84">
                  <c:v>1360</c:v>
                </c:pt>
                <c:pt idx="85">
                  <c:v>1360</c:v>
                </c:pt>
                <c:pt idx="86">
                  <c:v>1362</c:v>
                </c:pt>
                <c:pt idx="87">
                  <c:v>1360</c:v>
                </c:pt>
                <c:pt idx="88">
                  <c:v>1362</c:v>
                </c:pt>
                <c:pt idx="89">
                  <c:v>1353</c:v>
                </c:pt>
                <c:pt idx="90">
                  <c:v>1360</c:v>
                </c:pt>
                <c:pt idx="91">
                  <c:v>1360</c:v>
                </c:pt>
                <c:pt idx="92">
                  <c:v>1360</c:v>
                </c:pt>
                <c:pt idx="93">
                  <c:v>1362</c:v>
                </c:pt>
                <c:pt idx="94">
                  <c:v>1364</c:v>
                </c:pt>
                <c:pt idx="95">
                  <c:v>1366</c:v>
                </c:pt>
                <c:pt idx="96">
                  <c:v>1390</c:v>
                </c:pt>
                <c:pt idx="97">
                  <c:v>2075</c:v>
                </c:pt>
                <c:pt idx="98">
                  <c:v>2082</c:v>
                </c:pt>
                <c:pt idx="99">
                  <c:v>2079</c:v>
                </c:pt>
                <c:pt idx="100">
                  <c:v>2083</c:v>
                </c:pt>
                <c:pt idx="101">
                  <c:v>2019</c:v>
                </c:pt>
                <c:pt idx="102">
                  <c:v>2081</c:v>
                </c:pt>
                <c:pt idx="103">
                  <c:v>2076</c:v>
                </c:pt>
                <c:pt idx="104">
                  <c:v>2096</c:v>
                </c:pt>
                <c:pt idx="105">
                  <c:v>2081</c:v>
                </c:pt>
                <c:pt idx="106">
                  <c:v>2081</c:v>
                </c:pt>
                <c:pt idx="107">
                  <c:v>2078</c:v>
                </c:pt>
                <c:pt idx="108">
                  <c:v>2079</c:v>
                </c:pt>
                <c:pt idx="109">
                  <c:v>2079</c:v>
                </c:pt>
                <c:pt idx="110">
                  <c:v>2080</c:v>
                </c:pt>
                <c:pt idx="111">
                  <c:v>2077</c:v>
                </c:pt>
                <c:pt idx="112">
                  <c:v>2032</c:v>
                </c:pt>
                <c:pt idx="113">
                  <c:v>2081</c:v>
                </c:pt>
                <c:pt idx="114">
                  <c:v>2096</c:v>
                </c:pt>
                <c:pt idx="115">
                  <c:v>2083</c:v>
                </c:pt>
                <c:pt idx="116">
                  <c:v>2076</c:v>
                </c:pt>
                <c:pt idx="117">
                  <c:v>2043</c:v>
                </c:pt>
                <c:pt idx="118">
                  <c:v>2081</c:v>
                </c:pt>
                <c:pt idx="119">
                  <c:v>2080</c:v>
                </c:pt>
                <c:pt idx="120">
                  <c:v>2080</c:v>
                </c:pt>
                <c:pt idx="121">
                  <c:v>2067</c:v>
                </c:pt>
                <c:pt idx="122">
                  <c:v>2064</c:v>
                </c:pt>
                <c:pt idx="123">
                  <c:v>2073</c:v>
                </c:pt>
                <c:pt idx="124">
                  <c:v>2075</c:v>
                </c:pt>
                <c:pt idx="125">
                  <c:v>2078</c:v>
                </c:pt>
                <c:pt idx="126">
                  <c:v>2082</c:v>
                </c:pt>
                <c:pt idx="127">
                  <c:v>2074</c:v>
                </c:pt>
                <c:pt idx="128">
                  <c:v>2077</c:v>
                </c:pt>
                <c:pt idx="129">
                  <c:v>2078</c:v>
                </c:pt>
                <c:pt idx="130">
                  <c:v>2078</c:v>
                </c:pt>
                <c:pt idx="131">
                  <c:v>2004</c:v>
                </c:pt>
                <c:pt idx="132">
                  <c:v>2080</c:v>
                </c:pt>
                <c:pt idx="133">
                  <c:v>2069</c:v>
                </c:pt>
                <c:pt idx="134">
                  <c:v>2157</c:v>
                </c:pt>
                <c:pt idx="135">
                  <c:v>2077</c:v>
                </c:pt>
                <c:pt idx="136">
                  <c:v>2033</c:v>
                </c:pt>
                <c:pt idx="137">
                  <c:v>2063</c:v>
                </c:pt>
                <c:pt idx="138">
                  <c:v>2074</c:v>
                </c:pt>
                <c:pt idx="139">
                  <c:v>2061</c:v>
                </c:pt>
                <c:pt idx="140">
                  <c:v>2222</c:v>
                </c:pt>
                <c:pt idx="141">
                  <c:v>1984</c:v>
                </c:pt>
                <c:pt idx="142">
                  <c:v>2073</c:v>
                </c:pt>
                <c:pt idx="143">
                  <c:v>2087</c:v>
                </c:pt>
                <c:pt idx="144">
                  <c:v>2085</c:v>
                </c:pt>
                <c:pt idx="145">
                  <c:v>2075</c:v>
                </c:pt>
                <c:pt idx="146">
                  <c:v>2073</c:v>
                </c:pt>
                <c:pt idx="147">
                  <c:v>2015</c:v>
                </c:pt>
                <c:pt idx="148">
                  <c:v>2096</c:v>
                </c:pt>
                <c:pt idx="149">
                  <c:v>2066</c:v>
                </c:pt>
                <c:pt idx="150">
                  <c:v>2079</c:v>
                </c:pt>
                <c:pt idx="151">
                  <c:v>2027</c:v>
                </c:pt>
                <c:pt idx="152">
                  <c:v>2076</c:v>
                </c:pt>
                <c:pt idx="153">
                  <c:v>2074</c:v>
                </c:pt>
                <c:pt idx="154">
                  <c:v>2065</c:v>
                </c:pt>
                <c:pt idx="155">
                  <c:v>2068</c:v>
                </c:pt>
                <c:pt idx="156">
                  <c:v>2068</c:v>
                </c:pt>
                <c:pt idx="157">
                  <c:v>1197</c:v>
                </c:pt>
                <c:pt idx="158">
                  <c:v>1199</c:v>
                </c:pt>
                <c:pt idx="159">
                  <c:v>1210</c:v>
                </c:pt>
                <c:pt idx="160">
                  <c:v>1227</c:v>
                </c:pt>
                <c:pt idx="161">
                  <c:v>1289</c:v>
                </c:pt>
                <c:pt idx="162">
                  <c:v>1312</c:v>
                </c:pt>
                <c:pt idx="163">
                  <c:v>1366</c:v>
                </c:pt>
                <c:pt idx="164">
                  <c:v>1370</c:v>
                </c:pt>
                <c:pt idx="165">
                  <c:v>1376</c:v>
                </c:pt>
                <c:pt idx="166">
                  <c:v>1376</c:v>
                </c:pt>
                <c:pt idx="167">
                  <c:v>1376</c:v>
                </c:pt>
                <c:pt idx="168">
                  <c:v>1382</c:v>
                </c:pt>
                <c:pt idx="169">
                  <c:v>1415</c:v>
                </c:pt>
                <c:pt idx="170">
                  <c:v>2189</c:v>
                </c:pt>
                <c:pt idx="171">
                  <c:v>2096</c:v>
                </c:pt>
                <c:pt idx="172">
                  <c:v>2096</c:v>
                </c:pt>
                <c:pt idx="173">
                  <c:v>2087</c:v>
                </c:pt>
                <c:pt idx="174">
                  <c:v>2087</c:v>
                </c:pt>
                <c:pt idx="175">
                  <c:v>2081</c:v>
                </c:pt>
                <c:pt idx="176">
                  <c:v>2079</c:v>
                </c:pt>
                <c:pt idx="177">
                  <c:v>2035</c:v>
                </c:pt>
              </c:numCache>
            </c:numRef>
          </c:xVal>
          <c:yVal>
            <c:numRef>
              <c:f>completa!$A$3:$A$180</c:f>
              <c:numCache>
                <c:formatCode>General</c:formatCode>
                <c:ptCount val="178"/>
                <c:pt idx="0">
                  <c:v>87.6</c:v>
                </c:pt>
                <c:pt idx="1">
                  <c:v>87.6</c:v>
                </c:pt>
                <c:pt idx="2">
                  <c:v>87.6</c:v>
                </c:pt>
                <c:pt idx="3">
                  <c:v>87.6</c:v>
                </c:pt>
                <c:pt idx="4">
                  <c:v>87.6</c:v>
                </c:pt>
                <c:pt idx="5">
                  <c:v>87.6</c:v>
                </c:pt>
                <c:pt idx="6">
                  <c:v>87.6</c:v>
                </c:pt>
                <c:pt idx="7">
                  <c:v>58.4</c:v>
                </c:pt>
                <c:pt idx="8">
                  <c:v>87.4</c:v>
                </c:pt>
                <c:pt idx="9">
                  <c:v>87.6</c:v>
                </c:pt>
                <c:pt idx="10">
                  <c:v>87.4</c:v>
                </c:pt>
                <c:pt idx="11">
                  <c:v>58.6</c:v>
                </c:pt>
                <c:pt idx="12">
                  <c:v>87.6</c:v>
                </c:pt>
                <c:pt idx="13">
                  <c:v>87.6</c:v>
                </c:pt>
                <c:pt idx="14">
                  <c:v>87.4</c:v>
                </c:pt>
                <c:pt idx="15">
                  <c:v>58.4</c:v>
                </c:pt>
                <c:pt idx="16">
                  <c:v>87.6</c:v>
                </c:pt>
                <c:pt idx="17">
                  <c:v>87.6</c:v>
                </c:pt>
                <c:pt idx="18">
                  <c:v>87.4</c:v>
                </c:pt>
                <c:pt idx="19">
                  <c:v>58.4</c:v>
                </c:pt>
                <c:pt idx="20">
                  <c:v>87.6</c:v>
                </c:pt>
                <c:pt idx="21">
                  <c:v>87.4</c:v>
                </c:pt>
                <c:pt idx="22">
                  <c:v>87.6</c:v>
                </c:pt>
                <c:pt idx="23">
                  <c:v>87.4</c:v>
                </c:pt>
                <c:pt idx="24">
                  <c:v>87.6</c:v>
                </c:pt>
                <c:pt idx="25">
                  <c:v>58.4</c:v>
                </c:pt>
                <c:pt idx="26">
                  <c:v>87.4</c:v>
                </c:pt>
                <c:pt idx="27">
                  <c:v>87.4</c:v>
                </c:pt>
                <c:pt idx="28">
                  <c:v>87.6</c:v>
                </c:pt>
                <c:pt idx="29">
                  <c:v>87.6</c:v>
                </c:pt>
                <c:pt idx="30">
                  <c:v>58.4</c:v>
                </c:pt>
                <c:pt idx="31">
                  <c:v>87.4</c:v>
                </c:pt>
                <c:pt idx="32">
                  <c:v>87.6</c:v>
                </c:pt>
                <c:pt idx="33">
                  <c:v>87.4</c:v>
                </c:pt>
                <c:pt idx="34">
                  <c:v>87.4</c:v>
                </c:pt>
                <c:pt idx="35">
                  <c:v>87.4</c:v>
                </c:pt>
                <c:pt idx="36">
                  <c:v>58.4</c:v>
                </c:pt>
                <c:pt idx="37">
                  <c:v>58.4</c:v>
                </c:pt>
                <c:pt idx="38">
                  <c:v>87.6</c:v>
                </c:pt>
                <c:pt idx="39">
                  <c:v>87.6</c:v>
                </c:pt>
                <c:pt idx="40">
                  <c:v>58.4</c:v>
                </c:pt>
                <c:pt idx="41">
                  <c:v>87.6</c:v>
                </c:pt>
                <c:pt idx="42">
                  <c:v>87.6</c:v>
                </c:pt>
                <c:pt idx="43">
                  <c:v>58.4</c:v>
                </c:pt>
                <c:pt idx="44">
                  <c:v>87.4</c:v>
                </c:pt>
                <c:pt idx="45">
                  <c:v>87.6</c:v>
                </c:pt>
                <c:pt idx="46">
                  <c:v>87.6</c:v>
                </c:pt>
                <c:pt idx="47">
                  <c:v>87.4</c:v>
                </c:pt>
                <c:pt idx="48">
                  <c:v>87.4</c:v>
                </c:pt>
                <c:pt idx="49">
                  <c:v>58.4</c:v>
                </c:pt>
                <c:pt idx="50">
                  <c:v>87.4</c:v>
                </c:pt>
                <c:pt idx="51">
                  <c:v>87.6</c:v>
                </c:pt>
                <c:pt idx="52">
                  <c:v>58.4</c:v>
                </c:pt>
                <c:pt idx="53">
                  <c:v>87.6</c:v>
                </c:pt>
                <c:pt idx="54">
                  <c:v>58.4</c:v>
                </c:pt>
                <c:pt idx="55">
                  <c:v>58.4</c:v>
                </c:pt>
                <c:pt idx="56">
                  <c:v>58.4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58.4</c:v>
                </c:pt>
                <c:pt idx="61">
                  <c:v>58.4</c:v>
                </c:pt>
                <c:pt idx="62">
                  <c:v>58.4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58.4</c:v>
                </c:pt>
                <c:pt idx="68">
                  <c:v>58.4</c:v>
                </c:pt>
                <c:pt idx="69">
                  <c:v>58.4</c:v>
                </c:pt>
                <c:pt idx="70">
                  <c:v>58.4</c:v>
                </c:pt>
                <c:pt idx="71">
                  <c:v>58.4</c:v>
                </c:pt>
                <c:pt idx="72">
                  <c:v>58.4</c:v>
                </c:pt>
                <c:pt idx="73">
                  <c:v>58.4</c:v>
                </c:pt>
                <c:pt idx="74">
                  <c:v>58.4</c:v>
                </c:pt>
                <c:pt idx="75">
                  <c:v>58.4</c:v>
                </c:pt>
                <c:pt idx="76">
                  <c:v>58.4</c:v>
                </c:pt>
                <c:pt idx="77">
                  <c:v>58.2</c:v>
                </c:pt>
                <c:pt idx="78">
                  <c:v>58.4</c:v>
                </c:pt>
                <c:pt idx="79">
                  <c:v>58.4</c:v>
                </c:pt>
                <c:pt idx="80">
                  <c:v>58.4</c:v>
                </c:pt>
                <c:pt idx="81">
                  <c:v>58.4</c:v>
                </c:pt>
                <c:pt idx="82">
                  <c:v>58.4</c:v>
                </c:pt>
                <c:pt idx="83">
                  <c:v>58.4</c:v>
                </c:pt>
                <c:pt idx="84">
                  <c:v>58.4</c:v>
                </c:pt>
                <c:pt idx="85">
                  <c:v>58.4</c:v>
                </c:pt>
                <c:pt idx="86">
                  <c:v>58.4</c:v>
                </c:pt>
                <c:pt idx="87">
                  <c:v>58.4</c:v>
                </c:pt>
                <c:pt idx="88">
                  <c:v>58.4</c:v>
                </c:pt>
                <c:pt idx="89">
                  <c:v>58.2</c:v>
                </c:pt>
                <c:pt idx="90">
                  <c:v>58.4</c:v>
                </c:pt>
                <c:pt idx="91">
                  <c:v>58.4</c:v>
                </c:pt>
                <c:pt idx="92">
                  <c:v>58.4</c:v>
                </c:pt>
                <c:pt idx="93">
                  <c:v>58.4</c:v>
                </c:pt>
                <c:pt idx="94">
                  <c:v>58.4</c:v>
                </c:pt>
                <c:pt idx="95">
                  <c:v>58.4</c:v>
                </c:pt>
                <c:pt idx="96">
                  <c:v>58.4</c:v>
                </c:pt>
                <c:pt idx="97">
                  <c:v>16.3</c:v>
                </c:pt>
                <c:pt idx="98">
                  <c:v>16.2</c:v>
                </c:pt>
                <c:pt idx="99">
                  <c:v>16.2</c:v>
                </c:pt>
                <c:pt idx="100">
                  <c:v>16.2</c:v>
                </c:pt>
                <c:pt idx="101">
                  <c:v>16.2</c:v>
                </c:pt>
                <c:pt idx="102">
                  <c:v>16.2</c:v>
                </c:pt>
                <c:pt idx="103">
                  <c:v>16.2</c:v>
                </c:pt>
                <c:pt idx="104">
                  <c:v>16.2</c:v>
                </c:pt>
                <c:pt idx="105">
                  <c:v>16.3</c:v>
                </c:pt>
                <c:pt idx="106">
                  <c:v>16.2</c:v>
                </c:pt>
                <c:pt idx="107">
                  <c:v>16.3</c:v>
                </c:pt>
                <c:pt idx="108">
                  <c:v>16.2</c:v>
                </c:pt>
                <c:pt idx="109">
                  <c:v>16.2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16.2</c:v>
                </c:pt>
                <c:pt idx="114">
                  <c:v>16.2</c:v>
                </c:pt>
                <c:pt idx="115">
                  <c:v>16.2</c:v>
                </c:pt>
                <c:pt idx="116">
                  <c:v>16.2</c:v>
                </c:pt>
                <c:pt idx="117">
                  <c:v>16.2</c:v>
                </c:pt>
                <c:pt idx="118">
                  <c:v>16.2</c:v>
                </c:pt>
                <c:pt idx="119">
                  <c:v>16.3</c:v>
                </c:pt>
                <c:pt idx="120">
                  <c:v>16.2</c:v>
                </c:pt>
                <c:pt idx="121">
                  <c:v>16.2</c:v>
                </c:pt>
                <c:pt idx="122">
                  <c:v>16.2</c:v>
                </c:pt>
                <c:pt idx="123">
                  <c:v>16.2</c:v>
                </c:pt>
                <c:pt idx="124">
                  <c:v>16.2</c:v>
                </c:pt>
                <c:pt idx="125">
                  <c:v>16.2</c:v>
                </c:pt>
                <c:pt idx="126">
                  <c:v>16.2</c:v>
                </c:pt>
                <c:pt idx="127">
                  <c:v>16.2</c:v>
                </c:pt>
                <c:pt idx="128">
                  <c:v>16.2</c:v>
                </c:pt>
                <c:pt idx="129">
                  <c:v>16.2</c:v>
                </c:pt>
                <c:pt idx="130">
                  <c:v>16.2</c:v>
                </c:pt>
                <c:pt idx="131">
                  <c:v>16.2</c:v>
                </c:pt>
                <c:pt idx="132">
                  <c:v>16.2</c:v>
                </c:pt>
                <c:pt idx="133">
                  <c:v>16.2</c:v>
                </c:pt>
                <c:pt idx="134">
                  <c:v>16.2</c:v>
                </c:pt>
                <c:pt idx="135">
                  <c:v>16.2</c:v>
                </c:pt>
                <c:pt idx="136">
                  <c:v>16.2</c:v>
                </c:pt>
                <c:pt idx="137">
                  <c:v>16.2</c:v>
                </c:pt>
                <c:pt idx="138">
                  <c:v>16.2</c:v>
                </c:pt>
                <c:pt idx="139">
                  <c:v>16.2</c:v>
                </c:pt>
                <c:pt idx="140">
                  <c:v>16.2</c:v>
                </c:pt>
                <c:pt idx="141">
                  <c:v>16.2</c:v>
                </c:pt>
                <c:pt idx="142">
                  <c:v>16.2</c:v>
                </c:pt>
                <c:pt idx="143">
                  <c:v>16.2</c:v>
                </c:pt>
                <c:pt idx="144">
                  <c:v>16.2</c:v>
                </c:pt>
                <c:pt idx="145">
                  <c:v>16.2</c:v>
                </c:pt>
                <c:pt idx="146">
                  <c:v>16.2</c:v>
                </c:pt>
                <c:pt idx="147">
                  <c:v>16.2</c:v>
                </c:pt>
                <c:pt idx="148">
                  <c:v>16.2</c:v>
                </c:pt>
                <c:pt idx="149">
                  <c:v>16.2</c:v>
                </c:pt>
                <c:pt idx="150">
                  <c:v>16.2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87.6</c:v>
                </c:pt>
                <c:pt idx="158">
                  <c:v>87.6</c:v>
                </c:pt>
                <c:pt idx="159">
                  <c:v>87.6</c:v>
                </c:pt>
                <c:pt idx="160">
                  <c:v>87.4</c:v>
                </c:pt>
                <c:pt idx="161">
                  <c:v>87.6</c:v>
                </c:pt>
                <c:pt idx="162">
                  <c:v>87.6</c:v>
                </c:pt>
                <c:pt idx="163">
                  <c:v>58.6</c:v>
                </c:pt>
                <c:pt idx="164">
                  <c:v>58.4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58.8</c:v>
                </c:pt>
                <c:pt idx="170">
                  <c:v>16.2</c:v>
                </c:pt>
                <c:pt idx="171">
                  <c:v>16.2</c:v>
                </c:pt>
                <c:pt idx="172">
                  <c:v>16.3</c:v>
                </c:pt>
                <c:pt idx="173">
                  <c:v>16.2</c:v>
                </c:pt>
                <c:pt idx="174">
                  <c:v>16.2</c:v>
                </c:pt>
                <c:pt idx="175">
                  <c:v>16.2</c:v>
                </c:pt>
                <c:pt idx="176">
                  <c:v>16.2</c:v>
                </c:pt>
                <c:pt idx="177">
                  <c:v>16.3</c:v>
                </c:pt>
              </c:numCache>
            </c:numRef>
          </c:yVal>
          <c:smooth val="0"/>
        </c:ser>
        <c:axId val="15426446"/>
        <c:axId val="95209627"/>
      </c:scatterChart>
      <c:valAx>
        <c:axId val="154264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209627"/>
        <c:crosses val="autoZero"/>
        <c:crossBetween val="between"/>
      </c:valAx>
      <c:valAx>
        <c:axId val="952096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42644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105480</xdr:colOff>
      <xdr:row>45</xdr:row>
      <xdr:rowOff>70200</xdr:rowOff>
    </xdr:from>
    <xdr:to>
      <xdr:col>40</xdr:col>
      <xdr:colOff>647640</xdr:colOff>
      <xdr:row>75</xdr:row>
      <xdr:rowOff>146160</xdr:rowOff>
    </xdr:to>
    <xdr:graphicFrame>
      <xdr:nvGraphicFramePr>
        <xdr:cNvPr id="0" name=""/>
        <xdr:cNvGraphicFramePr/>
      </xdr:nvGraphicFramePr>
      <xdr:xfrm>
        <a:off x="23676840" y="7957080"/>
        <a:ext cx="9482760" cy="533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492480</xdr:colOff>
      <xdr:row>83</xdr:row>
      <xdr:rowOff>148680</xdr:rowOff>
    </xdr:from>
    <xdr:to>
      <xdr:col>26</xdr:col>
      <xdr:colOff>562320</xdr:colOff>
      <xdr:row>102</xdr:row>
      <xdr:rowOff>57960</xdr:rowOff>
    </xdr:to>
    <xdr:graphicFrame>
      <xdr:nvGraphicFramePr>
        <xdr:cNvPr id="1" name=""/>
        <xdr:cNvGraphicFramePr/>
      </xdr:nvGraphicFramePr>
      <xdr:xfrm>
        <a:off x="15935760" y="146952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464040</xdr:colOff>
      <xdr:row>63</xdr:row>
      <xdr:rowOff>38880</xdr:rowOff>
    </xdr:from>
    <xdr:to>
      <xdr:col>26</xdr:col>
      <xdr:colOff>533880</xdr:colOff>
      <xdr:row>81</xdr:row>
      <xdr:rowOff>123480</xdr:rowOff>
    </xdr:to>
    <xdr:graphicFrame>
      <xdr:nvGraphicFramePr>
        <xdr:cNvPr id="2" name=""/>
        <xdr:cNvGraphicFramePr/>
      </xdr:nvGraphicFramePr>
      <xdr:xfrm>
        <a:off x="15907320" y="110804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446400</xdr:colOff>
      <xdr:row>44</xdr:row>
      <xdr:rowOff>27360</xdr:rowOff>
    </xdr:from>
    <xdr:to>
      <xdr:col>26</xdr:col>
      <xdr:colOff>516240</xdr:colOff>
      <xdr:row>62</xdr:row>
      <xdr:rowOff>111960</xdr:rowOff>
    </xdr:to>
    <xdr:graphicFrame>
      <xdr:nvGraphicFramePr>
        <xdr:cNvPr id="3" name=""/>
        <xdr:cNvGraphicFramePr/>
      </xdr:nvGraphicFramePr>
      <xdr:xfrm>
        <a:off x="15889680" y="77389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399240</xdr:colOff>
      <xdr:row>24</xdr:row>
      <xdr:rowOff>24120</xdr:rowOff>
    </xdr:from>
    <xdr:to>
      <xdr:col>26</xdr:col>
      <xdr:colOff>469440</xdr:colOff>
      <xdr:row>42</xdr:row>
      <xdr:rowOff>109080</xdr:rowOff>
    </xdr:to>
    <xdr:graphicFrame>
      <xdr:nvGraphicFramePr>
        <xdr:cNvPr id="4" name=""/>
        <xdr:cNvGraphicFramePr/>
      </xdr:nvGraphicFramePr>
      <xdr:xfrm>
        <a:off x="15842520" y="4230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771480</xdr:colOff>
      <xdr:row>6</xdr:row>
      <xdr:rowOff>0</xdr:rowOff>
    </xdr:from>
    <xdr:to>
      <xdr:col>43</xdr:col>
      <xdr:colOff>110160</xdr:colOff>
      <xdr:row>43</xdr:row>
      <xdr:rowOff>720</xdr:rowOff>
    </xdr:to>
    <xdr:graphicFrame>
      <xdr:nvGraphicFramePr>
        <xdr:cNvPr id="5" name=""/>
        <xdr:cNvGraphicFramePr/>
      </xdr:nvGraphicFramePr>
      <xdr:xfrm>
        <a:off x="23529960" y="1051560"/>
        <a:ext cx="11530440" cy="648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559440</xdr:colOff>
      <xdr:row>105</xdr:row>
      <xdr:rowOff>53280</xdr:rowOff>
    </xdr:from>
    <xdr:to>
      <xdr:col>26</xdr:col>
      <xdr:colOff>629640</xdr:colOff>
      <xdr:row>123</xdr:row>
      <xdr:rowOff>138240</xdr:rowOff>
    </xdr:to>
    <xdr:graphicFrame>
      <xdr:nvGraphicFramePr>
        <xdr:cNvPr id="6" name=""/>
        <xdr:cNvGraphicFramePr/>
      </xdr:nvGraphicFramePr>
      <xdr:xfrm>
        <a:off x="16002720" y="18455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88"/>
  <sheetViews>
    <sheetView showFormulas="false" showGridLines="true" showRowColHeaders="true" showZeros="true" rightToLeft="false" tabSelected="false" showOutlineSymbols="true" defaultGridColor="true" view="normal" topLeftCell="A1810" colorId="64" zoomScale="55" zoomScaleNormal="55" zoomScalePageLayoutView="100" workbookViewId="0">
      <selection pane="topLeft" activeCell="D1496" activeCellId="0" sqref="D149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n">
        <v>46168.7697222222</v>
      </c>
      <c r="B2" s="1" t="s">
        <v>4</v>
      </c>
      <c r="C2" s="1" t="n">
        <v>2140</v>
      </c>
      <c r="D2" s="1" t="n">
        <v>44</v>
      </c>
    </row>
    <row r="3" customFormat="false" ht="15" hidden="false" customHeight="true" outlineLevel="0" collapsed="false">
      <c r="A3" s="3" t="n">
        <v>46168.7697222222</v>
      </c>
      <c r="B3" s="1" t="s">
        <v>5</v>
      </c>
      <c r="D3" s="1" t="n">
        <v>16.2</v>
      </c>
    </row>
    <row r="4" customFormat="false" ht="15" hidden="false" customHeight="true" outlineLevel="0" collapsed="false">
      <c r="A4" s="3" t="n">
        <v>46168.7697337963</v>
      </c>
      <c r="B4" s="1" t="s">
        <v>6</v>
      </c>
      <c r="C4" s="1" t="n">
        <v>2081</v>
      </c>
      <c r="D4" s="1" t="n">
        <v>42</v>
      </c>
    </row>
    <row r="5" customFormat="false" ht="15" hidden="false" customHeight="true" outlineLevel="0" collapsed="false">
      <c r="A5" s="3" t="n">
        <v>46168.7697337963</v>
      </c>
      <c r="B5" s="1" t="s">
        <v>7</v>
      </c>
      <c r="C5" s="1" t="n">
        <v>2085</v>
      </c>
      <c r="D5" s="1" t="n">
        <v>67</v>
      </c>
    </row>
    <row r="6" customFormat="false" ht="15" hidden="false" customHeight="true" outlineLevel="0" collapsed="false">
      <c r="A6" s="3" t="n">
        <v>46168.7697337963</v>
      </c>
      <c r="B6" s="1" t="s">
        <v>8</v>
      </c>
      <c r="C6" s="1" t="n">
        <v>2157</v>
      </c>
      <c r="D6" s="1" t="n">
        <v>66</v>
      </c>
    </row>
    <row r="7" customFormat="false" ht="15" hidden="false" customHeight="true" outlineLevel="0" collapsed="false">
      <c r="A7" s="3" t="n">
        <v>46168.7697453704</v>
      </c>
      <c r="B7" s="1" t="s">
        <v>9</v>
      </c>
      <c r="C7" s="1" t="n">
        <v>2244</v>
      </c>
      <c r="D7" s="1" t="n">
        <v>49</v>
      </c>
    </row>
    <row r="8" customFormat="false" ht="15" hidden="false" customHeight="true" outlineLevel="0" collapsed="false">
      <c r="A8" s="3" t="n">
        <v>46168.7700694444</v>
      </c>
      <c r="B8" s="1" t="s">
        <v>5</v>
      </c>
      <c r="D8" s="1" t="n">
        <v>16.2</v>
      </c>
    </row>
    <row r="9" customFormat="false" ht="15" hidden="false" customHeight="true" outlineLevel="0" collapsed="false">
      <c r="A9" s="3" t="n">
        <v>46168.7700810185</v>
      </c>
      <c r="B9" s="1" t="s">
        <v>6</v>
      </c>
      <c r="C9" s="1" t="n">
        <v>2189</v>
      </c>
      <c r="D9" s="1" t="n">
        <v>35</v>
      </c>
    </row>
    <row r="10" customFormat="false" ht="15" hidden="false" customHeight="true" outlineLevel="0" collapsed="false">
      <c r="A10" s="3" t="n">
        <v>46168.7700810185</v>
      </c>
      <c r="B10" s="1" t="s">
        <v>7</v>
      </c>
      <c r="C10" s="1" t="n">
        <v>2133</v>
      </c>
      <c r="D10" s="1" t="n">
        <v>62</v>
      </c>
    </row>
    <row r="11" customFormat="false" ht="15" hidden="false" customHeight="true" outlineLevel="0" collapsed="false">
      <c r="A11" s="3" t="n">
        <v>46168.7700810185</v>
      </c>
      <c r="B11" s="1" t="s">
        <v>4</v>
      </c>
      <c r="C11" s="1" t="n">
        <v>2113</v>
      </c>
      <c r="D11" s="1" t="n">
        <v>46</v>
      </c>
    </row>
    <row r="12" customFormat="false" ht="15" hidden="false" customHeight="true" outlineLevel="0" collapsed="false">
      <c r="A12" s="3" t="n">
        <v>46168.7700925926</v>
      </c>
      <c r="B12" s="1" t="s">
        <v>8</v>
      </c>
      <c r="C12" s="1" t="n">
        <v>2210</v>
      </c>
      <c r="D12" s="1" t="n">
        <v>60</v>
      </c>
    </row>
    <row r="13" customFormat="false" ht="15" hidden="false" customHeight="true" outlineLevel="0" collapsed="false">
      <c r="A13" s="3" t="n">
        <v>46168.7700925926</v>
      </c>
      <c r="B13" s="1" t="s">
        <v>9</v>
      </c>
      <c r="C13" s="1" t="n">
        <v>2271</v>
      </c>
      <c r="D13" s="1" t="n">
        <v>45</v>
      </c>
    </row>
    <row r="14" customFormat="false" ht="15" hidden="false" customHeight="true" outlineLevel="0" collapsed="false">
      <c r="A14" s="3" t="n">
        <v>46168.7704282407</v>
      </c>
      <c r="B14" s="1" t="s">
        <v>4</v>
      </c>
      <c r="C14" s="1" t="n">
        <v>2111</v>
      </c>
      <c r="D14" s="1" t="n">
        <v>46</v>
      </c>
    </row>
    <row r="15" customFormat="false" ht="15" hidden="false" customHeight="true" outlineLevel="0" collapsed="false">
      <c r="A15" s="3" t="n">
        <v>46168.7704282407</v>
      </c>
      <c r="B15" s="1" t="s">
        <v>5</v>
      </c>
      <c r="D15" s="1" t="n">
        <v>16.2</v>
      </c>
    </row>
    <row r="16" customFormat="false" ht="15" hidden="false" customHeight="true" outlineLevel="0" collapsed="false">
      <c r="A16" s="3" t="n">
        <v>46168.7704398148</v>
      </c>
      <c r="B16" s="1" t="s">
        <v>6</v>
      </c>
      <c r="C16" s="1" t="n">
        <v>2096</v>
      </c>
      <c r="D16" s="1" t="n">
        <v>41</v>
      </c>
    </row>
    <row r="17" customFormat="false" ht="15" hidden="false" customHeight="true" outlineLevel="0" collapsed="false">
      <c r="A17" s="3" t="n">
        <v>46168.7704398148</v>
      </c>
      <c r="B17" s="1" t="s">
        <v>7</v>
      </c>
      <c r="C17" s="1" t="n">
        <v>2173</v>
      </c>
      <c r="D17" s="1" t="n">
        <v>58</v>
      </c>
    </row>
    <row r="18" customFormat="false" ht="15" hidden="false" customHeight="true" outlineLevel="0" collapsed="false">
      <c r="A18" s="3" t="n">
        <v>46168.7704398148</v>
      </c>
      <c r="B18" s="1" t="s">
        <v>8</v>
      </c>
      <c r="C18" s="1" t="n">
        <v>2251</v>
      </c>
      <c r="D18" s="1" t="n">
        <v>55</v>
      </c>
    </row>
    <row r="19" customFormat="false" ht="15" hidden="false" customHeight="true" outlineLevel="0" collapsed="false">
      <c r="A19" s="3" t="n">
        <v>46168.7704398148</v>
      </c>
      <c r="B19" s="1" t="s">
        <v>9</v>
      </c>
      <c r="C19" s="1" t="n">
        <v>2294</v>
      </c>
      <c r="D19" s="1" t="n">
        <v>41</v>
      </c>
    </row>
    <row r="20" customFormat="false" ht="15" hidden="false" customHeight="true" outlineLevel="0" collapsed="false">
      <c r="A20" s="3" t="n">
        <v>46168.770775463</v>
      </c>
      <c r="B20" s="1" t="s">
        <v>5</v>
      </c>
      <c r="D20" s="1" t="n">
        <v>16.3</v>
      </c>
    </row>
    <row r="21" customFormat="false" ht="15" hidden="false" customHeight="true" outlineLevel="0" collapsed="false">
      <c r="A21" s="3" t="n">
        <v>46168.770787037</v>
      </c>
      <c r="B21" s="1" t="s">
        <v>4</v>
      </c>
      <c r="C21" s="1" t="n">
        <v>2103</v>
      </c>
      <c r="D21" s="1" t="n">
        <v>46</v>
      </c>
    </row>
    <row r="22" customFormat="false" ht="15" hidden="false" customHeight="true" outlineLevel="0" collapsed="false">
      <c r="A22" s="3" t="n">
        <v>46168.7707986111</v>
      </c>
      <c r="B22" s="1" t="s">
        <v>6</v>
      </c>
      <c r="C22" s="1" t="n">
        <v>2096</v>
      </c>
      <c r="D22" s="1" t="n">
        <v>41</v>
      </c>
    </row>
    <row r="23" customFormat="false" ht="15" hidden="false" customHeight="true" outlineLevel="0" collapsed="false">
      <c r="A23" s="3" t="n">
        <v>46168.7707986111</v>
      </c>
      <c r="B23" s="1" t="s">
        <v>7</v>
      </c>
      <c r="C23" s="1" t="n">
        <v>2206</v>
      </c>
      <c r="D23" s="1" t="n">
        <v>55</v>
      </c>
    </row>
    <row r="24" customFormat="false" ht="15" hidden="false" customHeight="true" outlineLevel="0" collapsed="false">
      <c r="A24" s="3" t="n">
        <v>46168.7708101852</v>
      </c>
      <c r="B24" s="1" t="s">
        <v>8</v>
      </c>
      <c r="C24" s="1" t="n">
        <v>2283</v>
      </c>
      <c r="D24" s="1" t="n">
        <v>51</v>
      </c>
    </row>
    <row r="25" customFormat="false" ht="15" hidden="false" customHeight="true" outlineLevel="0" collapsed="false">
      <c r="A25" s="3" t="n">
        <v>46168.7708101852</v>
      </c>
      <c r="B25" s="1" t="s">
        <v>9</v>
      </c>
      <c r="C25" s="1" t="n">
        <v>2309</v>
      </c>
      <c r="D25" s="1" t="n">
        <v>38</v>
      </c>
    </row>
    <row r="26" customFormat="false" ht="15" hidden="false" customHeight="true" outlineLevel="0" collapsed="false">
      <c r="A26" s="3" t="n">
        <v>46168.7711226852</v>
      </c>
      <c r="B26" s="1" t="s">
        <v>4</v>
      </c>
      <c r="C26" s="1" t="n">
        <v>2128</v>
      </c>
      <c r="D26" s="1" t="n">
        <v>45</v>
      </c>
    </row>
    <row r="27" customFormat="false" ht="15" hidden="false" customHeight="true" outlineLevel="0" collapsed="false">
      <c r="A27" s="3" t="n">
        <v>46168.7711226852</v>
      </c>
      <c r="B27" s="1" t="s">
        <v>5</v>
      </c>
      <c r="D27" s="1" t="n">
        <v>16.2</v>
      </c>
    </row>
    <row r="28" customFormat="false" ht="15" hidden="false" customHeight="true" outlineLevel="0" collapsed="false">
      <c r="A28" s="3" t="n">
        <v>46168.7711342593</v>
      </c>
      <c r="B28" s="1" t="s">
        <v>6</v>
      </c>
      <c r="C28" s="1" t="n">
        <v>2087</v>
      </c>
      <c r="D28" s="1" t="n">
        <v>42</v>
      </c>
    </row>
    <row r="29" customFormat="false" ht="15" hidden="false" customHeight="true" outlineLevel="0" collapsed="false">
      <c r="A29" s="3" t="n">
        <v>46168.7711342593</v>
      </c>
      <c r="B29" s="1" t="s">
        <v>7</v>
      </c>
      <c r="C29" s="1" t="n">
        <v>2243</v>
      </c>
      <c r="D29" s="1" t="n">
        <v>51</v>
      </c>
    </row>
    <row r="30" customFormat="false" ht="15" hidden="false" customHeight="true" outlineLevel="0" collapsed="false">
      <c r="A30" s="3" t="n">
        <v>46168.7711342593</v>
      </c>
      <c r="B30" s="1" t="s">
        <v>8</v>
      </c>
      <c r="C30" s="1" t="n">
        <v>2302</v>
      </c>
      <c r="D30" s="1" t="n">
        <v>49</v>
      </c>
    </row>
    <row r="31" customFormat="false" ht="15" hidden="false" customHeight="true" outlineLevel="0" collapsed="false">
      <c r="A31" s="3" t="n">
        <v>46168.7711458333</v>
      </c>
      <c r="B31" s="1" t="s">
        <v>9</v>
      </c>
      <c r="C31" s="1" t="n">
        <v>2321</v>
      </c>
      <c r="D31" s="1" t="n">
        <v>36</v>
      </c>
    </row>
    <row r="32" customFormat="false" ht="15" hidden="false" customHeight="true" outlineLevel="0" collapsed="false">
      <c r="A32" s="3" t="n">
        <v>46168.7714814815</v>
      </c>
      <c r="B32" s="1" t="s">
        <v>6</v>
      </c>
      <c r="C32" s="1" t="n">
        <v>2035</v>
      </c>
      <c r="D32" s="1" t="n">
        <v>45</v>
      </c>
    </row>
    <row r="33" customFormat="false" ht="15" hidden="false" customHeight="true" outlineLevel="0" collapsed="false">
      <c r="A33" s="3" t="n">
        <v>46168.7714814815</v>
      </c>
      <c r="B33" s="1" t="s">
        <v>4</v>
      </c>
      <c r="C33" s="1" t="n">
        <v>2126</v>
      </c>
      <c r="D33" s="1" t="n">
        <v>45</v>
      </c>
    </row>
    <row r="34" customFormat="false" ht="15" hidden="false" customHeight="true" outlineLevel="0" collapsed="false">
      <c r="A34" s="3" t="n">
        <v>46168.7714814815</v>
      </c>
      <c r="B34" s="1" t="s">
        <v>5</v>
      </c>
      <c r="D34" s="1" t="n">
        <v>16.3</v>
      </c>
    </row>
    <row r="35" customFormat="false" ht="15" hidden="false" customHeight="true" outlineLevel="0" collapsed="false">
      <c r="A35" s="3" t="n">
        <v>46168.7714930556</v>
      </c>
      <c r="B35" s="1" t="s">
        <v>7</v>
      </c>
      <c r="C35" s="1" t="n">
        <v>2257</v>
      </c>
      <c r="D35" s="1" t="n">
        <v>50</v>
      </c>
    </row>
    <row r="36" customFormat="false" ht="15" hidden="false" customHeight="true" outlineLevel="0" collapsed="false">
      <c r="A36" s="3" t="n">
        <v>46168.7714930556</v>
      </c>
      <c r="B36" s="1" t="s">
        <v>8</v>
      </c>
      <c r="C36" s="1" t="n">
        <v>2320</v>
      </c>
      <c r="D36" s="1" t="n">
        <v>47</v>
      </c>
    </row>
    <row r="37" customFormat="false" ht="15" hidden="false" customHeight="true" outlineLevel="0" collapsed="false">
      <c r="A37" s="3" t="n">
        <v>46168.7714930556</v>
      </c>
      <c r="B37" s="1" t="s">
        <v>9</v>
      </c>
      <c r="C37" s="1" t="n">
        <v>2333</v>
      </c>
      <c r="D37" s="1" t="n">
        <v>34</v>
      </c>
    </row>
    <row r="38" customFormat="false" ht="15" hidden="false" customHeight="true" outlineLevel="0" collapsed="false">
      <c r="A38" s="3" t="n">
        <v>46168.7718287037</v>
      </c>
      <c r="B38" s="1" t="s">
        <v>4</v>
      </c>
      <c r="C38" s="1" t="n">
        <v>2129</v>
      </c>
      <c r="D38" s="1" t="n">
        <v>45</v>
      </c>
    </row>
    <row r="39" customFormat="false" ht="15" hidden="false" customHeight="true" outlineLevel="0" collapsed="false">
      <c r="A39" s="3" t="n">
        <v>46168.7718287037</v>
      </c>
      <c r="B39" s="1" t="s">
        <v>5</v>
      </c>
      <c r="D39" s="1" t="n">
        <v>16.2</v>
      </c>
    </row>
    <row r="40" customFormat="false" ht="15" hidden="false" customHeight="true" outlineLevel="0" collapsed="false">
      <c r="A40" s="3" t="n">
        <v>46168.7718402778</v>
      </c>
      <c r="B40" s="1" t="s">
        <v>6</v>
      </c>
      <c r="C40" s="1" t="n">
        <v>2087</v>
      </c>
      <c r="D40" s="1" t="n">
        <v>42</v>
      </c>
    </row>
    <row r="41" customFormat="false" ht="15" hidden="false" customHeight="true" outlineLevel="0" collapsed="false">
      <c r="A41" s="3" t="n">
        <v>46168.7718402778</v>
      </c>
      <c r="B41" s="1" t="s">
        <v>7</v>
      </c>
      <c r="C41" s="1" t="n">
        <v>2281</v>
      </c>
      <c r="D41" s="1" t="n">
        <v>48</v>
      </c>
    </row>
    <row r="42" customFormat="false" ht="15" hidden="false" customHeight="true" outlineLevel="0" collapsed="false">
      <c r="A42" s="3" t="n">
        <v>46168.7718518519</v>
      </c>
      <c r="B42" s="1" t="s">
        <v>8</v>
      </c>
      <c r="C42" s="1" t="n">
        <v>2331</v>
      </c>
      <c r="D42" s="1" t="n">
        <v>45</v>
      </c>
    </row>
    <row r="43" customFormat="false" ht="15" hidden="false" customHeight="true" outlineLevel="0" collapsed="false">
      <c r="A43" s="3" t="n">
        <v>46168.7718518519</v>
      </c>
      <c r="B43" s="1" t="s">
        <v>9</v>
      </c>
      <c r="C43" s="1" t="n">
        <v>2341</v>
      </c>
      <c r="D43" s="1" t="n">
        <v>33</v>
      </c>
    </row>
    <row r="44" customFormat="false" ht="15" hidden="false" customHeight="true" outlineLevel="0" collapsed="false">
      <c r="A44" s="3" t="n">
        <v>46168.7721875</v>
      </c>
      <c r="B44" s="1" t="s">
        <v>5</v>
      </c>
      <c r="D44" s="1" t="n">
        <v>16.2</v>
      </c>
    </row>
    <row r="45" customFormat="false" ht="15" hidden="false" customHeight="true" outlineLevel="0" collapsed="false">
      <c r="A45" s="3" t="n">
        <v>46168.7721990741</v>
      </c>
      <c r="B45" s="1" t="s">
        <v>6</v>
      </c>
      <c r="C45" s="1" t="n">
        <v>2079</v>
      </c>
      <c r="D45" s="1" t="n">
        <v>42</v>
      </c>
    </row>
    <row r="46" customFormat="false" ht="15" hidden="false" customHeight="true" outlineLevel="0" collapsed="false">
      <c r="A46" s="3" t="n">
        <v>46168.7721990741</v>
      </c>
      <c r="B46" s="1" t="s">
        <v>4</v>
      </c>
      <c r="C46" s="1" t="n">
        <v>2178</v>
      </c>
      <c r="D46" s="1" t="n">
        <v>41</v>
      </c>
    </row>
    <row r="47" customFormat="false" ht="15" hidden="false" customHeight="true" outlineLevel="0" collapsed="false">
      <c r="A47" s="3" t="n">
        <v>46168.7722106482</v>
      </c>
      <c r="B47" s="1" t="s">
        <v>7</v>
      </c>
      <c r="C47" s="1" t="n">
        <v>2295</v>
      </c>
      <c r="D47" s="1" t="n">
        <v>46</v>
      </c>
    </row>
    <row r="48" customFormat="false" ht="15" hidden="false" customHeight="true" outlineLevel="0" collapsed="false">
      <c r="A48" s="3" t="n">
        <v>46168.7722106482</v>
      </c>
      <c r="B48" s="1" t="s">
        <v>8</v>
      </c>
      <c r="C48" s="1" t="n">
        <v>2348</v>
      </c>
      <c r="D48" s="1" t="n">
        <v>43</v>
      </c>
    </row>
    <row r="49" customFormat="false" ht="15" hidden="false" customHeight="true" outlineLevel="0" collapsed="false">
      <c r="A49" s="3" t="n">
        <v>46168.7722222222</v>
      </c>
      <c r="B49" s="1" t="s">
        <v>9</v>
      </c>
      <c r="C49" s="1" t="n">
        <v>2347</v>
      </c>
      <c r="D49" s="1" t="n">
        <v>32</v>
      </c>
    </row>
    <row r="50" customFormat="false" ht="15" hidden="false" customHeight="true" outlineLevel="0" collapsed="false">
      <c r="A50" s="3" t="n">
        <v>46168.7725347222</v>
      </c>
      <c r="B50" s="1" t="s">
        <v>5</v>
      </c>
      <c r="D50" s="1" t="n">
        <v>16.3</v>
      </c>
    </row>
    <row r="51" customFormat="false" ht="15" hidden="false" customHeight="true" outlineLevel="0" collapsed="false">
      <c r="A51" s="3" t="n">
        <v>46168.7725462963</v>
      </c>
      <c r="B51" s="1" t="s">
        <v>6</v>
      </c>
      <c r="C51" s="1" t="n">
        <v>2075</v>
      </c>
      <c r="D51" s="1" t="n">
        <v>43</v>
      </c>
    </row>
    <row r="52" customFormat="false" ht="15" hidden="false" customHeight="true" outlineLevel="0" collapsed="false">
      <c r="A52" s="3" t="n">
        <v>46168.7725462963</v>
      </c>
      <c r="B52" s="1" t="s">
        <v>4</v>
      </c>
      <c r="C52" s="1" t="n">
        <v>2134</v>
      </c>
      <c r="D52" s="1" t="n">
        <v>44</v>
      </c>
    </row>
    <row r="53" customFormat="false" ht="15" hidden="false" customHeight="true" outlineLevel="0" collapsed="false">
      <c r="A53" s="3" t="n">
        <v>46168.7725578704</v>
      </c>
      <c r="B53" s="1" t="s">
        <v>7</v>
      </c>
      <c r="C53" s="1" t="n">
        <v>2309</v>
      </c>
      <c r="D53" s="1" t="n">
        <v>45</v>
      </c>
    </row>
    <row r="54" customFormat="false" ht="15" hidden="false" customHeight="true" outlineLevel="0" collapsed="false">
      <c r="A54" s="3" t="n">
        <v>46168.7725578704</v>
      </c>
      <c r="B54" s="1" t="s">
        <v>8</v>
      </c>
      <c r="C54" s="1" t="n">
        <v>2368</v>
      </c>
      <c r="D54" s="1" t="n">
        <v>41</v>
      </c>
    </row>
    <row r="55" customFormat="false" ht="15" hidden="false" customHeight="true" outlineLevel="0" collapsed="false">
      <c r="A55" s="3" t="n">
        <v>46168.7725578704</v>
      </c>
      <c r="B55" s="1" t="s">
        <v>9</v>
      </c>
      <c r="C55" s="1" t="n">
        <v>2336</v>
      </c>
      <c r="D55" s="1" t="n">
        <v>33</v>
      </c>
    </row>
    <row r="56" customFormat="false" ht="15" hidden="false" customHeight="true" outlineLevel="0" collapsed="false">
      <c r="A56" s="3" t="n">
        <v>46168.7728935185</v>
      </c>
      <c r="B56" s="1" t="s">
        <v>4</v>
      </c>
      <c r="C56" s="1" t="n">
        <v>2126</v>
      </c>
      <c r="D56" s="1" t="n">
        <v>45</v>
      </c>
    </row>
    <row r="57" customFormat="false" ht="15" hidden="false" customHeight="true" outlineLevel="0" collapsed="false">
      <c r="A57" s="3" t="n">
        <v>46168.7728935185</v>
      </c>
      <c r="B57" s="1" t="s">
        <v>5</v>
      </c>
      <c r="D57" s="1" t="n">
        <v>16.2</v>
      </c>
    </row>
    <row r="58" customFormat="false" ht="15" hidden="false" customHeight="true" outlineLevel="0" collapsed="false">
      <c r="A58" s="3" t="n">
        <v>46168.7729050926</v>
      </c>
      <c r="B58" s="1" t="s">
        <v>6</v>
      </c>
      <c r="C58" s="1" t="n">
        <v>2082</v>
      </c>
      <c r="D58" s="1" t="n">
        <v>42</v>
      </c>
    </row>
    <row r="59" customFormat="false" ht="15" hidden="false" customHeight="true" outlineLevel="0" collapsed="false">
      <c r="A59" s="3" t="n">
        <v>46168.7729050926</v>
      </c>
      <c r="B59" s="1" t="s">
        <v>7</v>
      </c>
      <c r="C59" s="1" t="n">
        <v>2325</v>
      </c>
      <c r="D59" s="1" t="n">
        <v>44</v>
      </c>
    </row>
    <row r="60" customFormat="false" ht="15" hidden="false" customHeight="true" outlineLevel="0" collapsed="false">
      <c r="A60" s="3" t="n">
        <v>46168.7729050926</v>
      </c>
      <c r="B60" s="1" t="s">
        <v>8</v>
      </c>
      <c r="C60" s="1" t="n">
        <v>2359</v>
      </c>
      <c r="D60" s="1" t="n">
        <v>42</v>
      </c>
    </row>
    <row r="61" customFormat="false" ht="15" hidden="false" customHeight="true" outlineLevel="0" collapsed="false">
      <c r="A61" s="3" t="n">
        <v>46168.7729050926</v>
      </c>
      <c r="B61" s="1" t="s">
        <v>9</v>
      </c>
      <c r="C61" s="1" t="n">
        <v>2355</v>
      </c>
      <c r="D61" s="1" t="n">
        <v>30</v>
      </c>
    </row>
    <row r="62" customFormat="false" ht="15" hidden="false" customHeight="true" outlineLevel="0" collapsed="false">
      <c r="A62" s="3" t="n">
        <v>46168.7732407407</v>
      </c>
      <c r="B62" s="1" t="s">
        <v>5</v>
      </c>
      <c r="D62" s="1" t="n">
        <v>16.2</v>
      </c>
    </row>
    <row r="63" customFormat="false" ht="15" hidden="false" customHeight="true" outlineLevel="0" collapsed="false">
      <c r="A63" s="3" t="n">
        <v>46168.7732523148</v>
      </c>
      <c r="B63" s="1" t="s">
        <v>6</v>
      </c>
      <c r="C63" s="1" t="n">
        <v>2079</v>
      </c>
      <c r="D63" s="1" t="n">
        <v>42</v>
      </c>
    </row>
    <row r="64" customFormat="false" ht="15" hidden="false" customHeight="true" outlineLevel="0" collapsed="false">
      <c r="A64" s="3" t="n">
        <v>46168.7732523148</v>
      </c>
      <c r="B64" s="1" t="s">
        <v>7</v>
      </c>
      <c r="C64" s="1" t="n">
        <v>2337</v>
      </c>
      <c r="D64" s="1" t="n">
        <v>42</v>
      </c>
    </row>
    <row r="65" customFormat="false" ht="15" hidden="false" customHeight="true" outlineLevel="0" collapsed="false">
      <c r="A65" s="3" t="n">
        <v>46168.7732523148</v>
      </c>
      <c r="B65" s="1" t="s">
        <v>4</v>
      </c>
      <c r="C65" s="1" t="n">
        <v>2217</v>
      </c>
      <c r="D65" s="1" t="n">
        <v>39</v>
      </c>
    </row>
    <row r="66" customFormat="false" ht="15" hidden="false" customHeight="true" outlineLevel="0" collapsed="false">
      <c r="A66" s="3" t="n">
        <v>46168.7732638889</v>
      </c>
      <c r="B66" s="1" t="s">
        <v>8</v>
      </c>
      <c r="C66" s="1" t="n">
        <v>2367</v>
      </c>
      <c r="D66" s="1" t="n">
        <v>41</v>
      </c>
    </row>
    <row r="67" customFormat="false" ht="15" hidden="false" customHeight="true" outlineLevel="0" collapsed="false">
      <c r="A67" s="3" t="n">
        <v>46168.7732638889</v>
      </c>
      <c r="B67" s="1" t="s">
        <v>9</v>
      </c>
      <c r="C67" s="1" t="n">
        <v>2368</v>
      </c>
      <c r="D67" s="1" t="n">
        <v>28</v>
      </c>
    </row>
    <row r="68" customFormat="false" ht="15" hidden="false" customHeight="true" outlineLevel="0" collapsed="false">
      <c r="A68" s="3" t="n">
        <v>46168.773599537</v>
      </c>
      <c r="B68" s="1" t="s">
        <v>4</v>
      </c>
      <c r="C68" s="1" t="n">
        <v>2125</v>
      </c>
      <c r="D68" s="1" t="n">
        <v>45</v>
      </c>
    </row>
    <row r="69" customFormat="false" ht="15" hidden="false" customHeight="true" outlineLevel="0" collapsed="false">
      <c r="A69" s="3" t="n">
        <v>46168.773599537</v>
      </c>
      <c r="B69" s="1" t="s">
        <v>5</v>
      </c>
      <c r="D69" s="1" t="n">
        <v>16.2</v>
      </c>
    </row>
    <row r="70" customFormat="false" ht="15" hidden="false" customHeight="true" outlineLevel="0" collapsed="false">
      <c r="A70" s="3" t="n">
        <v>46168.7736111111</v>
      </c>
      <c r="B70" s="1" t="s">
        <v>6</v>
      </c>
      <c r="C70" s="1" t="n">
        <v>2083</v>
      </c>
      <c r="D70" s="1" t="n">
        <v>42</v>
      </c>
    </row>
    <row r="71" customFormat="false" ht="15" hidden="false" customHeight="true" outlineLevel="0" collapsed="false">
      <c r="A71" s="3" t="n">
        <v>46168.7736111111</v>
      </c>
      <c r="B71" s="1" t="s">
        <v>7</v>
      </c>
      <c r="C71" s="1" t="n">
        <v>2341</v>
      </c>
      <c r="D71" s="1" t="n">
        <v>42</v>
      </c>
    </row>
    <row r="72" customFormat="false" ht="15" hidden="false" customHeight="true" outlineLevel="0" collapsed="false">
      <c r="A72" s="3" t="n">
        <v>46168.7736226852</v>
      </c>
      <c r="B72" s="1" t="s">
        <v>8</v>
      </c>
      <c r="C72" s="1" t="n">
        <v>2369</v>
      </c>
      <c r="D72" s="1" t="n">
        <v>41</v>
      </c>
    </row>
    <row r="73" customFormat="false" ht="15" hidden="false" customHeight="true" outlineLevel="0" collapsed="false">
      <c r="A73" s="3" t="n">
        <v>46168.7736226852</v>
      </c>
      <c r="B73" s="1" t="s">
        <v>9</v>
      </c>
      <c r="C73" s="1" t="n">
        <v>2367</v>
      </c>
      <c r="D73" s="1" t="n">
        <v>28</v>
      </c>
    </row>
    <row r="74" customFormat="false" ht="15" hidden="false" customHeight="true" outlineLevel="0" collapsed="false">
      <c r="A74" s="3" t="n">
        <v>46168.7739583333</v>
      </c>
      <c r="B74" s="1" t="s">
        <v>4</v>
      </c>
      <c r="C74" s="1" t="n">
        <v>2132</v>
      </c>
      <c r="D74" s="1" t="n">
        <v>44</v>
      </c>
    </row>
    <row r="75" customFormat="false" ht="15" hidden="false" customHeight="true" outlineLevel="0" collapsed="false">
      <c r="A75" s="3" t="n">
        <v>46168.7739583333</v>
      </c>
      <c r="B75" s="1" t="s">
        <v>5</v>
      </c>
      <c r="D75" s="1" t="n">
        <v>16.2</v>
      </c>
    </row>
    <row r="76" customFormat="false" ht="15" hidden="false" customHeight="true" outlineLevel="0" collapsed="false">
      <c r="A76" s="3" t="n">
        <v>46168.7739699074</v>
      </c>
      <c r="B76" s="1" t="s">
        <v>6</v>
      </c>
      <c r="C76" s="1" t="n">
        <v>2019</v>
      </c>
      <c r="D76" s="1" t="n">
        <v>46</v>
      </c>
    </row>
    <row r="77" customFormat="false" ht="15" hidden="false" customHeight="true" outlineLevel="0" collapsed="false">
      <c r="A77" s="3" t="n">
        <v>46168.7739699074</v>
      </c>
      <c r="B77" s="1" t="s">
        <v>7</v>
      </c>
      <c r="C77" s="1" t="n">
        <v>2351</v>
      </c>
      <c r="D77" s="1" t="n">
        <v>41</v>
      </c>
    </row>
    <row r="78" customFormat="false" ht="15" hidden="false" customHeight="true" outlineLevel="0" collapsed="false">
      <c r="A78" s="3" t="n">
        <v>46168.7739699074</v>
      </c>
      <c r="B78" s="1" t="s">
        <v>8</v>
      </c>
      <c r="C78" s="1" t="n">
        <v>2386</v>
      </c>
      <c r="D78" s="1" t="n">
        <v>39</v>
      </c>
    </row>
    <row r="79" customFormat="false" ht="15" hidden="false" customHeight="true" outlineLevel="0" collapsed="false">
      <c r="A79" s="3" t="n">
        <v>46168.7739699074</v>
      </c>
      <c r="B79" s="1" t="s">
        <v>9</v>
      </c>
      <c r="C79" s="1" t="n">
        <v>2370</v>
      </c>
      <c r="D79" s="1" t="n">
        <v>28</v>
      </c>
    </row>
    <row r="80" customFormat="false" ht="15" hidden="false" customHeight="true" outlineLevel="0" collapsed="false">
      <c r="A80" s="3" t="n">
        <v>46168.7743055556</v>
      </c>
      <c r="B80" s="1" t="s">
        <v>4</v>
      </c>
      <c r="C80" s="1" t="n">
        <v>2126</v>
      </c>
      <c r="D80" s="1" t="n">
        <v>45</v>
      </c>
    </row>
    <row r="81" customFormat="false" ht="15" hidden="false" customHeight="true" outlineLevel="0" collapsed="false">
      <c r="A81" s="3" t="n">
        <v>46168.7743055556</v>
      </c>
      <c r="B81" s="1" t="s">
        <v>5</v>
      </c>
      <c r="D81" s="1" t="n">
        <v>16.2</v>
      </c>
    </row>
    <row r="82" customFormat="false" ht="15" hidden="false" customHeight="true" outlineLevel="0" collapsed="false">
      <c r="A82" s="3" t="n">
        <v>46168.7743171296</v>
      </c>
      <c r="B82" s="1" t="s">
        <v>6</v>
      </c>
      <c r="C82" s="1" t="n">
        <v>2081</v>
      </c>
      <c r="D82" s="1" t="n">
        <v>42</v>
      </c>
    </row>
    <row r="83" customFormat="false" ht="15" hidden="false" customHeight="true" outlineLevel="0" collapsed="false">
      <c r="A83" s="3" t="n">
        <v>46168.7743171296</v>
      </c>
      <c r="B83" s="1" t="s">
        <v>7</v>
      </c>
      <c r="C83" s="1" t="n">
        <v>2357</v>
      </c>
      <c r="D83" s="1" t="n">
        <v>41</v>
      </c>
    </row>
    <row r="84" customFormat="false" ht="15" hidden="false" customHeight="true" outlineLevel="0" collapsed="false">
      <c r="A84" s="3" t="n">
        <v>46168.7743171296</v>
      </c>
      <c r="B84" s="1" t="s">
        <v>8</v>
      </c>
      <c r="C84" s="1" t="n">
        <v>2383</v>
      </c>
      <c r="D84" s="1" t="n">
        <v>39</v>
      </c>
    </row>
    <row r="85" customFormat="false" ht="15" hidden="false" customHeight="true" outlineLevel="0" collapsed="false">
      <c r="A85" s="3" t="n">
        <v>46168.7743287037</v>
      </c>
      <c r="B85" s="1" t="s">
        <v>9</v>
      </c>
      <c r="C85" s="1" t="n">
        <v>2384</v>
      </c>
      <c r="D85" s="1" t="n">
        <v>25</v>
      </c>
    </row>
    <row r="86" customFormat="false" ht="15" hidden="false" customHeight="true" outlineLevel="0" collapsed="false">
      <c r="A86" s="3" t="n">
        <v>46168.7746527778</v>
      </c>
      <c r="B86" s="1" t="s">
        <v>4</v>
      </c>
      <c r="C86" s="1" t="n">
        <v>2064</v>
      </c>
      <c r="D86" s="1" t="n">
        <v>49</v>
      </c>
    </row>
    <row r="87" customFormat="false" ht="15" hidden="false" customHeight="true" outlineLevel="0" collapsed="false">
      <c r="A87" s="3" t="n">
        <v>46168.7746527778</v>
      </c>
      <c r="B87" s="1" t="s">
        <v>5</v>
      </c>
      <c r="D87" s="1" t="n">
        <v>16.2</v>
      </c>
    </row>
    <row r="88" customFormat="false" ht="15" hidden="false" customHeight="true" outlineLevel="0" collapsed="false">
      <c r="A88" s="3" t="n">
        <v>46168.7746643519</v>
      </c>
      <c r="B88" s="1" t="s">
        <v>6</v>
      </c>
      <c r="C88" s="1" t="n">
        <v>2076</v>
      </c>
      <c r="D88" s="1" t="n">
        <v>43</v>
      </c>
    </row>
    <row r="89" customFormat="false" ht="15" hidden="false" customHeight="true" outlineLevel="0" collapsed="false">
      <c r="A89" s="3" t="n">
        <v>46168.7746759259</v>
      </c>
      <c r="B89" s="1" t="s">
        <v>7</v>
      </c>
      <c r="C89" s="1" t="n">
        <v>2364</v>
      </c>
      <c r="D89" s="1" t="n">
        <v>40</v>
      </c>
    </row>
    <row r="90" customFormat="false" ht="15" hidden="false" customHeight="true" outlineLevel="0" collapsed="false">
      <c r="A90" s="3" t="n">
        <v>46168.7746759259</v>
      </c>
      <c r="B90" s="1" t="s">
        <v>8</v>
      </c>
      <c r="C90" s="1" t="n">
        <v>2384</v>
      </c>
      <c r="D90" s="1" t="n">
        <v>39</v>
      </c>
    </row>
    <row r="91" customFormat="false" ht="15" hidden="false" customHeight="true" outlineLevel="0" collapsed="false">
      <c r="A91" s="3" t="n">
        <v>46168.7746759259</v>
      </c>
      <c r="B91" s="1" t="s">
        <v>9</v>
      </c>
      <c r="C91" s="1" t="n">
        <v>2375</v>
      </c>
      <c r="D91" s="1" t="n">
        <v>27</v>
      </c>
    </row>
    <row r="92" customFormat="false" ht="15" hidden="false" customHeight="true" outlineLevel="0" collapsed="false">
      <c r="A92" s="3" t="n">
        <v>46168.7750115741</v>
      </c>
      <c r="B92" s="1" t="s">
        <v>6</v>
      </c>
      <c r="C92" s="1" t="n">
        <v>2096</v>
      </c>
      <c r="D92" s="1" t="n">
        <v>41</v>
      </c>
    </row>
    <row r="93" customFormat="false" ht="15" hidden="false" customHeight="true" outlineLevel="0" collapsed="false">
      <c r="A93" s="3" t="n">
        <v>46168.7750115741</v>
      </c>
      <c r="B93" s="1" t="s">
        <v>4</v>
      </c>
      <c r="C93" s="1" t="n">
        <v>2119</v>
      </c>
      <c r="D93" s="1" t="n">
        <v>45</v>
      </c>
    </row>
    <row r="94" customFormat="false" ht="15" hidden="false" customHeight="true" outlineLevel="0" collapsed="false">
      <c r="A94" s="3" t="n">
        <v>46168.7750115741</v>
      </c>
      <c r="B94" s="1" t="s">
        <v>5</v>
      </c>
      <c r="D94" s="1" t="n">
        <v>16.2</v>
      </c>
    </row>
    <row r="95" customFormat="false" ht="15" hidden="false" customHeight="true" outlineLevel="0" collapsed="false">
      <c r="A95" s="3" t="n">
        <v>46168.7750231482</v>
      </c>
      <c r="B95" s="1" t="s">
        <v>7</v>
      </c>
      <c r="C95" s="1" t="n">
        <v>2369</v>
      </c>
      <c r="D95" s="1" t="n">
        <v>39</v>
      </c>
    </row>
    <row r="96" customFormat="false" ht="15" hidden="false" customHeight="true" outlineLevel="0" collapsed="false">
      <c r="A96" s="3" t="n">
        <v>46168.7750231482</v>
      </c>
      <c r="B96" s="1" t="s">
        <v>8</v>
      </c>
      <c r="C96" s="1" t="n">
        <v>2401</v>
      </c>
      <c r="D96" s="1" t="n">
        <v>37</v>
      </c>
    </row>
    <row r="97" customFormat="false" ht="15" hidden="false" customHeight="true" outlineLevel="0" collapsed="false">
      <c r="A97" s="3" t="n">
        <v>46168.7750231482</v>
      </c>
      <c r="B97" s="1" t="s">
        <v>9</v>
      </c>
      <c r="C97" s="1" t="n">
        <v>2378</v>
      </c>
      <c r="D97" s="1" t="n">
        <v>26</v>
      </c>
    </row>
    <row r="98" customFormat="false" ht="15" hidden="false" customHeight="true" outlineLevel="0" collapsed="false">
      <c r="A98" s="3" t="n">
        <v>46168.7753587963</v>
      </c>
      <c r="B98" s="1" t="s">
        <v>4</v>
      </c>
      <c r="C98" s="1" t="n">
        <v>2101</v>
      </c>
      <c r="D98" s="1" t="n">
        <v>46</v>
      </c>
    </row>
    <row r="99" customFormat="false" ht="15" hidden="false" customHeight="true" outlineLevel="0" collapsed="false">
      <c r="A99" s="3" t="n">
        <v>46168.7753587963</v>
      </c>
      <c r="B99" s="1" t="s">
        <v>5</v>
      </c>
      <c r="D99" s="1" t="n">
        <v>16.3</v>
      </c>
    </row>
    <row r="100" customFormat="false" ht="15" hidden="false" customHeight="true" outlineLevel="0" collapsed="false">
      <c r="A100" s="3" t="n">
        <v>46168.7753703704</v>
      </c>
      <c r="B100" s="1" t="s">
        <v>6</v>
      </c>
      <c r="C100" s="1" t="n">
        <v>2081</v>
      </c>
      <c r="D100" s="1" t="n">
        <v>42</v>
      </c>
    </row>
    <row r="101" customFormat="false" ht="15" hidden="false" customHeight="true" outlineLevel="0" collapsed="false">
      <c r="A101" s="3" t="n">
        <v>46168.7753703704</v>
      </c>
      <c r="B101" s="1" t="s">
        <v>7</v>
      </c>
      <c r="C101" s="1" t="n">
        <v>2379</v>
      </c>
      <c r="D101" s="1" t="n">
        <v>38</v>
      </c>
    </row>
    <row r="102" customFormat="false" ht="15" hidden="false" customHeight="true" outlineLevel="0" collapsed="false">
      <c r="A102" s="3" t="n">
        <v>46168.7753703704</v>
      </c>
      <c r="B102" s="1" t="s">
        <v>8</v>
      </c>
      <c r="C102" s="1" t="n">
        <v>2395</v>
      </c>
      <c r="D102" s="1" t="n">
        <v>38</v>
      </c>
    </row>
    <row r="103" customFormat="false" ht="15" hidden="false" customHeight="true" outlineLevel="0" collapsed="false">
      <c r="A103" s="3" t="n">
        <v>46168.7753819445</v>
      </c>
      <c r="B103" s="1" t="s">
        <v>9</v>
      </c>
      <c r="C103" s="1" t="n">
        <v>2384</v>
      </c>
      <c r="D103" s="1" t="n">
        <v>25</v>
      </c>
    </row>
    <row r="104" customFormat="false" ht="15" hidden="false" customHeight="true" outlineLevel="0" collapsed="false">
      <c r="A104" s="3" t="n">
        <v>46168.7757060185</v>
      </c>
      <c r="B104" s="1" t="s">
        <v>5</v>
      </c>
      <c r="D104" s="1" t="n">
        <v>16.2</v>
      </c>
    </row>
    <row r="105" customFormat="false" ht="15" hidden="false" customHeight="true" outlineLevel="0" collapsed="false">
      <c r="A105" s="3" t="n">
        <v>46168.7757175926</v>
      </c>
      <c r="B105" s="1" t="s">
        <v>6</v>
      </c>
      <c r="C105" s="1" t="n">
        <v>2081</v>
      </c>
      <c r="D105" s="1" t="n">
        <v>42</v>
      </c>
    </row>
    <row r="106" customFormat="false" ht="15" hidden="false" customHeight="true" outlineLevel="0" collapsed="false">
      <c r="A106" s="3" t="n">
        <v>46168.7757175926</v>
      </c>
      <c r="B106" s="1" t="s">
        <v>4</v>
      </c>
      <c r="C106" s="1" t="n">
        <v>2170</v>
      </c>
      <c r="D106" s="1" t="n">
        <v>42</v>
      </c>
    </row>
    <row r="107" customFormat="false" ht="15" hidden="false" customHeight="true" outlineLevel="0" collapsed="false">
      <c r="A107" s="3" t="n">
        <v>46168.7757291667</v>
      </c>
      <c r="B107" s="1" t="s">
        <v>7</v>
      </c>
      <c r="C107" s="1" t="n">
        <v>2381</v>
      </c>
      <c r="D107" s="1" t="n">
        <v>38</v>
      </c>
    </row>
    <row r="108" customFormat="false" ht="15" hidden="false" customHeight="true" outlineLevel="0" collapsed="false">
      <c r="A108" s="3" t="n">
        <v>46168.7757291667</v>
      </c>
      <c r="B108" s="1" t="s">
        <v>8</v>
      </c>
      <c r="C108" s="1" t="n">
        <v>2431</v>
      </c>
      <c r="D108" s="1" t="n">
        <v>33</v>
      </c>
    </row>
    <row r="109" customFormat="false" ht="15" hidden="false" customHeight="true" outlineLevel="0" collapsed="false">
      <c r="A109" s="3" t="n">
        <v>46168.7757291667</v>
      </c>
      <c r="B109" s="1" t="s">
        <v>9</v>
      </c>
      <c r="C109" s="1" t="n">
        <v>2384</v>
      </c>
      <c r="D109" s="1" t="n">
        <v>25</v>
      </c>
    </row>
    <row r="110" customFormat="false" ht="15" hidden="false" customHeight="true" outlineLevel="0" collapsed="false">
      <c r="A110" s="3" t="n">
        <v>46168.7760648148</v>
      </c>
      <c r="B110" s="1" t="s">
        <v>4</v>
      </c>
      <c r="C110" s="1" t="n">
        <v>2126</v>
      </c>
      <c r="D110" s="1" t="n">
        <v>45</v>
      </c>
    </row>
    <row r="111" customFormat="false" ht="15" hidden="false" customHeight="true" outlineLevel="0" collapsed="false">
      <c r="A111" s="3" t="n">
        <v>46168.7760648148</v>
      </c>
      <c r="B111" s="1" t="s">
        <v>5</v>
      </c>
      <c r="D111" s="1" t="n">
        <v>16.3</v>
      </c>
    </row>
    <row r="112" customFormat="false" ht="15" hidden="false" customHeight="true" outlineLevel="0" collapsed="false">
      <c r="A112" s="3" t="n">
        <v>46168.7760763889</v>
      </c>
      <c r="B112" s="1" t="s">
        <v>6</v>
      </c>
      <c r="C112" s="1" t="n">
        <v>2078</v>
      </c>
      <c r="D112" s="1" t="n">
        <v>43</v>
      </c>
    </row>
    <row r="113" customFormat="false" ht="15" hidden="false" customHeight="true" outlineLevel="0" collapsed="false">
      <c r="A113" s="3" t="n">
        <v>46168.7760763889</v>
      </c>
      <c r="B113" s="1" t="s">
        <v>7</v>
      </c>
      <c r="C113" s="1" t="n">
        <v>2382</v>
      </c>
      <c r="D113" s="1" t="n">
        <v>38</v>
      </c>
    </row>
    <row r="114" customFormat="false" ht="15" hidden="false" customHeight="true" outlineLevel="0" collapsed="false">
      <c r="A114" s="3" t="n">
        <v>46168.7760763889</v>
      </c>
      <c r="B114" s="1" t="s">
        <v>8</v>
      </c>
      <c r="C114" s="1" t="n">
        <v>2403</v>
      </c>
      <c r="D114" s="1" t="n">
        <v>37</v>
      </c>
    </row>
    <row r="115" customFormat="false" ht="15" hidden="false" customHeight="true" outlineLevel="0" collapsed="false">
      <c r="A115" s="3" t="n">
        <v>46168.7760763889</v>
      </c>
      <c r="B115" s="1" t="s">
        <v>9</v>
      </c>
      <c r="C115" s="1" t="n">
        <v>2384</v>
      </c>
      <c r="D115" s="1" t="n">
        <v>25</v>
      </c>
    </row>
    <row r="116" customFormat="false" ht="15" hidden="false" customHeight="true" outlineLevel="0" collapsed="false">
      <c r="A116" s="3" t="n">
        <v>46168.776412037</v>
      </c>
      <c r="B116" s="1" t="s">
        <v>4</v>
      </c>
      <c r="C116" s="1" t="n">
        <v>2122</v>
      </c>
      <c r="D116" s="1" t="n">
        <v>45</v>
      </c>
    </row>
    <row r="117" customFormat="false" ht="15" hidden="false" customHeight="true" outlineLevel="0" collapsed="false">
      <c r="A117" s="3" t="n">
        <v>46168.776412037</v>
      </c>
      <c r="B117" s="1" t="s">
        <v>5</v>
      </c>
      <c r="D117" s="1" t="n">
        <v>16.2</v>
      </c>
    </row>
    <row r="118" customFormat="false" ht="15" hidden="false" customHeight="true" outlineLevel="0" collapsed="false">
      <c r="A118" s="3" t="n">
        <v>46168.7764236111</v>
      </c>
      <c r="B118" s="1" t="s">
        <v>6</v>
      </c>
      <c r="C118" s="1" t="n">
        <v>2079</v>
      </c>
      <c r="D118" s="1" t="n">
        <v>42</v>
      </c>
    </row>
    <row r="119" customFormat="false" ht="15" hidden="false" customHeight="true" outlineLevel="0" collapsed="false">
      <c r="A119" s="3" t="n">
        <v>46168.7764236111</v>
      </c>
      <c r="B119" s="1" t="s">
        <v>7</v>
      </c>
      <c r="C119" s="1" t="n">
        <v>2384</v>
      </c>
      <c r="D119" s="1" t="n">
        <v>38</v>
      </c>
    </row>
    <row r="120" customFormat="false" ht="15" hidden="false" customHeight="true" outlineLevel="0" collapsed="false">
      <c r="A120" s="3" t="n">
        <v>46168.7764351852</v>
      </c>
      <c r="B120" s="1" t="s">
        <v>8</v>
      </c>
      <c r="C120" s="1" t="n">
        <v>2403</v>
      </c>
      <c r="D120" s="1" t="n">
        <v>37</v>
      </c>
    </row>
    <row r="121" customFormat="false" ht="15" hidden="false" customHeight="true" outlineLevel="0" collapsed="false">
      <c r="A121" s="3" t="n">
        <v>46168.7764351852</v>
      </c>
      <c r="B121" s="1" t="s">
        <v>9</v>
      </c>
      <c r="C121" s="1" t="n">
        <v>2388</v>
      </c>
      <c r="D121" s="1" t="n">
        <v>24</v>
      </c>
    </row>
    <row r="122" customFormat="false" ht="15" hidden="false" customHeight="true" outlineLevel="0" collapsed="false">
      <c r="A122" s="3" t="n">
        <v>46168.7767708333</v>
      </c>
      <c r="B122" s="1" t="s">
        <v>6</v>
      </c>
      <c r="C122" s="1" t="n">
        <v>2079</v>
      </c>
      <c r="D122" s="1" t="n">
        <v>42</v>
      </c>
    </row>
    <row r="123" customFormat="false" ht="15" hidden="false" customHeight="true" outlineLevel="0" collapsed="false">
      <c r="A123" s="3" t="n">
        <v>46168.7767708333</v>
      </c>
      <c r="B123" s="1" t="s">
        <v>4</v>
      </c>
      <c r="C123" s="1" t="n">
        <v>2128</v>
      </c>
      <c r="D123" s="1" t="n">
        <v>45</v>
      </c>
    </row>
    <row r="124" customFormat="false" ht="15" hidden="false" customHeight="true" outlineLevel="0" collapsed="false">
      <c r="A124" s="3" t="n">
        <v>46168.7767708333</v>
      </c>
      <c r="B124" s="1" t="s">
        <v>5</v>
      </c>
      <c r="D124" s="1" t="n">
        <v>16.2</v>
      </c>
    </row>
    <row r="125" customFormat="false" ht="15" hidden="false" customHeight="true" outlineLevel="0" collapsed="false">
      <c r="A125" s="3" t="n">
        <v>46168.7767824074</v>
      </c>
      <c r="B125" s="1" t="s">
        <v>7</v>
      </c>
      <c r="C125" s="1" t="n">
        <v>2387</v>
      </c>
      <c r="D125" s="1" t="n">
        <v>38</v>
      </c>
    </row>
    <row r="126" customFormat="false" ht="15" hidden="false" customHeight="true" outlineLevel="0" collapsed="false">
      <c r="A126" s="3" t="n">
        <v>46168.7767824074</v>
      </c>
      <c r="B126" s="1" t="s">
        <v>8</v>
      </c>
      <c r="C126" s="1" t="n">
        <v>2405</v>
      </c>
      <c r="D126" s="1" t="n">
        <v>36</v>
      </c>
    </row>
    <row r="127" customFormat="false" ht="15" hidden="false" customHeight="true" outlineLevel="0" collapsed="false">
      <c r="A127" s="3" t="n">
        <v>46168.7767824074</v>
      </c>
      <c r="B127" s="1" t="s">
        <v>9</v>
      </c>
      <c r="C127" s="1" t="n">
        <v>2390</v>
      </c>
      <c r="D127" s="1" t="n">
        <v>24</v>
      </c>
    </row>
    <row r="128" customFormat="false" ht="15" hidden="false" customHeight="true" outlineLevel="0" collapsed="false">
      <c r="A128" s="3" t="n">
        <v>46168.7771180556</v>
      </c>
      <c r="B128" s="1" t="s">
        <v>4</v>
      </c>
      <c r="C128" s="1" t="n">
        <v>2119</v>
      </c>
      <c r="D128" s="1" t="n">
        <v>45</v>
      </c>
    </row>
    <row r="129" customFormat="false" ht="15" hidden="false" customHeight="true" outlineLevel="0" collapsed="false">
      <c r="A129" s="3" t="n">
        <v>46168.7771180556</v>
      </c>
      <c r="B129" s="1" t="s">
        <v>5</v>
      </c>
      <c r="D129" s="1" t="n">
        <v>16.2</v>
      </c>
    </row>
    <row r="130" customFormat="false" ht="15" hidden="false" customHeight="true" outlineLevel="0" collapsed="false">
      <c r="A130" s="3" t="n">
        <v>46168.7771296296</v>
      </c>
      <c r="B130" s="1" t="s">
        <v>6</v>
      </c>
      <c r="C130" s="1" t="n">
        <v>2080</v>
      </c>
      <c r="D130" s="1" t="n">
        <v>42</v>
      </c>
    </row>
    <row r="131" customFormat="false" ht="15" hidden="false" customHeight="true" outlineLevel="0" collapsed="false">
      <c r="A131" s="3" t="n">
        <v>46168.7771296296</v>
      </c>
      <c r="B131" s="1" t="s">
        <v>7</v>
      </c>
      <c r="C131" s="1" t="n">
        <v>2390</v>
      </c>
      <c r="D131" s="1" t="n">
        <v>37</v>
      </c>
    </row>
    <row r="132" customFormat="false" ht="15" hidden="false" customHeight="true" outlineLevel="0" collapsed="false">
      <c r="A132" s="3" t="n">
        <v>46168.7771296296</v>
      </c>
      <c r="B132" s="1" t="s">
        <v>8</v>
      </c>
      <c r="C132" s="1" t="n">
        <v>2401</v>
      </c>
      <c r="D132" s="1" t="n">
        <v>37</v>
      </c>
    </row>
    <row r="133" customFormat="false" ht="15" hidden="false" customHeight="true" outlineLevel="0" collapsed="false">
      <c r="A133" s="3" t="n">
        <v>46168.7771412037</v>
      </c>
      <c r="B133" s="1" t="s">
        <v>9</v>
      </c>
      <c r="C133" s="1" t="n">
        <v>2391</v>
      </c>
      <c r="D133" s="1" t="n">
        <v>24</v>
      </c>
    </row>
    <row r="134" customFormat="false" ht="15" hidden="false" customHeight="true" outlineLevel="0" collapsed="false">
      <c r="A134" s="3" t="n">
        <v>46168.7774652778</v>
      </c>
      <c r="B134" s="1" t="s">
        <v>4</v>
      </c>
      <c r="C134" s="1" t="n">
        <v>2117</v>
      </c>
      <c r="D134" s="1" t="n">
        <v>45</v>
      </c>
    </row>
    <row r="135" customFormat="false" ht="15" hidden="false" customHeight="true" outlineLevel="0" collapsed="false">
      <c r="A135" s="3" t="n">
        <v>46168.7774652778</v>
      </c>
      <c r="B135" s="1" t="s">
        <v>5</v>
      </c>
      <c r="D135" s="1" t="n">
        <v>16.2</v>
      </c>
    </row>
    <row r="136" customFormat="false" ht="15" hidden="false" customHeight="true" outlineLevel="0" collapsed="false">
      <c r="A136" s="3" t="n">
        <v>46168.7774768519</v>
      </c>
      <c r="B136" s="1" t="s">
        <v>6</v>
      </c>
      <c r="C136" s="1" t="n">
        <v>2081</v>
      </c>
      <c r="D136" s="1" t="n">
        <v>42</v>
      </c>
    </row>
    <row r="137" customFormat="false" ht="15" hidden="false" customHeight="true" outlineLevel="0" collapsed="false">
      <c r="A137" s="3" t="n">
        <v>46168.7774768519</v>
      </c>
      <c r="B137" s="1" t="s">
        <v>7</v>
      </c>
      <c r="C137" s="1" t="n">
        <v>2402</v>
      </c>
      <c r="D137" s="1" t="n">
        <v>36</v>
      </c>
    </row>
    <row r="138" customFormat="false" ht="15" hidden="false" customHeight="true" outlineLevel="0" collapsed="false">
      <c r="A138" s="3" t="n">
        <v>46168.7774768519</v>
      </c>
      <c r="B138" s="1" t="s">
        <v>8</v>
      </c>
      <c r="C138" s="1" t="n">
        <v>2411</v>
      </c>
      <c r="D138" s="1" t="n">
        <v>36</v>
      </c>
    </row>
    <row r="139" customFormat="false" ht="15" hidden="false" customHeight="true" outlineLevel="0" collapsed="false">
      <c r="A139" s="3" t="n">
        <v>46168.7774884259</v>
      </c>
      <c r="B139" s="1" t="s">
        <v>9</v>
      </c>
      <c r="C139" s="1" t="n">
        <v>2385</v>
      </c>
      <c r="D139" s="1" t="n">
        <v>25</v>
      </c>
    </row>
    <row r="140" customFormat="false" ht="15" hidden="false" customHeight="true" outlineLevel="0" collapsed="false">
      <c r="A140" s="3" t="n">
        <v>46168.7778125</v>
      </c>
      <c r="B140" s="1" t="s">
        <v>4</v>
      </c>
      <c r="C140" s="1" t="n">
        <v>2117</v>
      </c>
      <c r="D140" s="1" t="n">
        <v>45</v>
      </c>
    </row>
    <row r="141" customFormat="false" ht="15" hidden="false" customHeight="true" outlineLevel="0" collapsed="false">
      <c r="A141" s="3" t="n">
        <v>46168.7778125</v>
      </c>
      <c r="B141" s="1" t="s">
        <v>5</v>
      </c>
      <c r="D141" s="1" t="n">
        <v>16.2</v>
      </c>
    </row>
    <row r="142" customFormat="false" ht="15" hidden="false" customHeight="true" outlineLevel="0" collapsed="false">
      <c r="A142" s="3" t="n">
        <v>46168.7778240741</v>
      </c>
      <c r="B142" s="1" t="s">
        <v>6</v>
      </c>
      <c r="C142" s="1" t="n">
        <v>2077</v>
      </c>
      <c r="D142" s="1" t="n">
        <v>43</v>
      </c>
    </row>
    <row r="143" customFormat="false" ht="15" hidden="false" customHeight="true" outlineLevel="0" collapsed="false">
      <c r="A143" s="3" t="n">
        <v>46168.7778240741</v>
      </c>
      <c r="B143" s="1" t="s">
        <v>7</v>
      </c>
      <c r="C143" s="1" t="n">
        <v>2399</v>
      </c>
      <c r="D143" s="1" t="n">
        <v>37</v>
      </c>
    </row>
    <row r="144" customFormat="false" ht="15" hidden="false" customHeight="true" outlineLevel="0" collapsed="false">
      <c r="A144" s="3" t="n">
        <v>46168.7778240741</v>
      </c>
      <c r="B144" s="1" t="s">
        <v>8</v>
      </c>
      <c r="C144" s="1" t="n">
        <v>2414</v>
      </c>
      <c r="D144" s="1" t="n">
        <v>35</v>
      </c>
    </row>
    <row r="145" customFormat="false" ht="15" hidden="false" customHeight="true" outlineLevel="0" collapsed="false">
      <c r="A145" s="3" t="n">
        <v>46168.7778356482</v>
      </c>
      <c r="B145" s="1" t="s">
        <v>9</v>
      </c>
      <c r="C145" s="1" t="n">
        <v>2388</v>
      </c>
      <c r="D145" s="1" t="n">
        <v>24</v>
      </c>
    </row>
    <row r="146" customFormat="false" ht="15" hidden="false" customHeight="true" outlineLevel="0" collapsed="false">
      <c r="A146" s="3" t="n">
        <v>46168.7781597222</v>
      </c>
      <c r="B146" s="1" t="s">
        <v>5</v>
      </c>
      <c r="D146" s="1" t="n">
        <v>16.3</v>
      </c>
    </row>
    <row r="147" customFormat="false" ht="15" hidden="false" customHeight="true" outlineLevel="0" collapsed="false">
      <c r="A147" s="3" t="n">
        <v>46168.7781712963</v>
      </c>
      <c r="B147" s="1" t="s">
        <v>6</v>
      </c>
      <c r="C147" s="1" t="n">
        <v>2032</v>
      </c>
      <c r="D147" s="1" t="n">
        <v>46</v>
      </c>
    </row>
    <row r="148" customFormat="false" ht="15" hidden="false" customHeight="true" outlineLevel="0" collapsed="false">
      <c r="A148" s="3" t="n">
        <v>46168.7781712963</v>
      </c>
      <c r="B148" s="1" t="s">
        <v>7</v>
      </c>
      <c r="C148" s="1" t="n">
        <v>2400</v>
      </c>
      <c r="D148" s="1" t="n">
        <v>36</v>
      </c>
    </row>
    <row r="149" customFormat="false" ht="15" hidden="false" customHeight="true" outlineLevel="0" collapsed="false">
      <c r="A149" s="3" t="n">
        <v>46168.7781712963</v>
      </c>
      <c r="B149" s="1" t="s">
        <v>4</v>
      </c>
      <c r="C149" s="1" t="n">
        <v>2116</v>
      </c>
      <c r="D149" s="1" t="n">
        <v>45</v>
      </c>
    </row>
    <row r="150" customFormat="false" ht="15" hidden="false" customHeight="true" outlineLevel="0" collapsed="false">
      <c r="A150" s="3" t="n">
        <v>46168.7781828704</v>
      </c>
      <c r="B150" s="1" t="s">
        <v>8</v>
      </c>
      <c r="C150" s="1" t="n">
        <v>2415</v>
      </c>
      <c r="D150" s="1" t="n">
        <v>35</v>
      </c>
    </row>
    <row r="151" customFormat="false" ht="15" hidden="false" customHeight="true" outlineLevel="0" collapsed="false">
      <c r="A151" s="3" t="n">
        <v>46168.7781828704</v>
      </c>
      <c r="B151" s="1" t="s">
        <v>9</v>
      </c>
      <c r="C151" s="1" t="n">
        <v>2401</v>
      </c>
      <c r="D151" s="1" t="n">
        <v>22</v>
      </c>
    </row>
    <row r="152" customFormat="false" ht="15" hidden="false" customHeight="true" outlineLevel="0" collapsed="false">
      <c r="A152" s="3" t="n">
        <v>46168.7785185185</v>
      </c>
      <c r="B152" s="1" t="s">
        <v>6</v>
      </c>
      <c r="C152" s="1" t="n">
        <v>2080</v>
      </c>
      <c r="D152" s="1" t="n">
        <v>42</v>
      </c>
    </row>
    <row r="153" customFormat="false" ht="15" hidden="false" customHeight="true" outlineLevel="0" collapsed="false">
      <c r="A153" s="3" t="n">
        <v>46168.7785185185</v>
      </c>
      <c r="B153" s="1" t="s">
        <v>4</v>
      </c>
      <c r="C153" s="1" t="n">
        <v>2125</v>
      </c>
      <c r="D153" s="1" t="n">
        <v>45</v>
      </c>
    </row>
    <row r="154" customFormat="false" ht="15" hidden="false" customHeight="true" outlineLevel="0" collapsed="false">
      <c r="A154" s="3" t="n">
        <v>46168.7785185185</v>
      </c>
      <c r="B154" s="1" t="s">
        <v>5</v>
      </c>
      <c r="D154" s="1" t="n">
        <v>16.3</v>
      </c>
    </row>
    <row r="155" customFormat="false" ht="15" hidden="false" customHeight="true" outlineLevel="0" collapsed="false">
      <c r="A155" s="3" t="n">
        <v>46168.7785300926</v>
      </c>
      <c r="B155" s="1" t="s">
        <v>7</v>
      </c>
      <c r="C155" s="1" t="n">
        <v>2416</v>
      </c>
      <c r="D155" s="1" t="n">
        <v>35</v>
      </c>
    </row>
    <row r="156" customFormat="false" ht="15" hidden="false" customHeight="true" outlineLevel="0" collapsed="false">
      <c r="A156" s="3" t="n">
        <v>46168.7785300926</v>
      </c>
      <c r="B156" s="1" t="s">
        <v>8</v>
      </c>
      <c r="C156" s="1" t="n">
        <v>2402</v>
      </c>
      <c r="D156" s="1" t="n">
        <v>37</v>
      </c>
    </row>
    <row r="157" customFormat="false" ht="15" hidden="false" customHeight="true" outlineLevel="0" collapsed="false">
      <c r="A157" s="3" t="n">
        <v>46168.7785416667</v>
      </c>
      <c r="B157" s="1" t="s">
        <v>9</v>
      </c>
      <c r="C157" s="1" t="n">
        <v>2399</v>
      </c>
      <c r="D157" s="1" t="n">
        <v>23</v>
      </c>
    </row>
    <row r="158" customFormat="false" ht="15" hidden="false" customHeight="true" outlineLevel="0" collapsed="false">
      <c r="A158" s="3" t="n">
        <v>46168.7788657407</v>
      </c>
      <c r="B158" s="1" t="s">
        <v>4</v>
      </c>
      <c r="C158" s="1" t="n">
        <v>2102</v>
      </c>
      <c r="D158" s="1" t="n">
        <v>46</v>
      </c>
    </row>
    <row r="159" customFormat="false" ht="15" hidden="false" customHeight="true" outlineLevel="0" collapsed="false">
      <c r="A159" s="3" t="n">
        <v>46168.7788657407</v>
      </c>
      <c r="B159" s="1" t="s">
        <v>5</v>
      </c>
      <c r="D159" s="1" t="n">
        <v>16.2</v>
      </c>
    </row>
    <row r="160" customFormat="false" ht="15" hidden="false" customHeight="true" outlineLevel="0" collapsed="false">
      <c r="A160" s="3" t="n">
        <v>46168.7788773148</v>
      </c>
      <c r="B160" s="1" t="s">
        <v>6</v>
      </c>
      <c r="C160" s="1" t="n">
        <v>2096</v>
      </c>
      <c r="D160" s="1" t="n">
        <v>41</v>
      </c>
    </row>
    <row r="161" customFormat="false" ht="15" hidden="false" customHeight="true" outlineLevel="0" collapsed="false">
      <c r="A161" s="3" t="n">
        <v>46168.7788773148</v>
      </c>
      <c r="B161" s="1" t="s">
        <v>7</v>
      </c>
      <c r="C161" s="1" t="n">
        <v>2403</v>
      </c>
      <c r="D161" s="1" t="n">
        <v>36</v>
      </c>
    </row>
    <row r="162" customFormat="false" ht="15" hidden="false" customHeight="true" outlineLevel="0" collapsed="false">
      <c r="A162" s="3" t="n">
        <v>46168.7788888889</v>
      </c>
      <c r="B162" s="1" t="s">
        <v>8</v>
      </c>
      <c r="C162" s="1" t="n">
        <v>2417</v>
      </c>
      <c r="D162" s="1" t="n">
        <v>35</v>
      </c>
    </row>
    <row r="163" customFormat="false" ht="15" hidden="false" customHeight="true" outlineLevel="0" collapsed="false">
      <c r="A163" s="3" t="n">
        <v>46168.7788888889</v>
      </c>
      <c r="B163" s="1" t="s">
        <v>9</v>
      </c>
      <c r="C163" s="1" t="n">
        <v>2398</v>
      </c>
      <c r="D163" s="1" t="n">
        <v>23</v>
      </c>
    </row>
    <row r="164" customFormat="false" ht="15" hidden="false" customHeight="true" outlineLevel="0" collapsed="false">
      <c r="A164" s="3" t="n">
        <v>46168.779212963</v>
      </c>
      <c r="B164" s="1" t="s">
        <v>5</v>
      </c>
      <c r="D164" s="1" t="n">
        <v>16.2</v>
      </c>
    </row>
    <row r="165" customFormat="false" ht="15" hidden="false" customHeight="true" outlineLevel="0" collapsed="false">
      <c r="A165" s="3" t="n">
        <v>46168.779224537</v>
      </c>
      <c r="B165" s="1" t="s">
        <v>6</v>
      </c>
      <c r="C165" s="1" t="n">
        <v>2076</v>
      </c>
      <c r="D165" s="1" t="n">
        <v>43</v>
      </c>
    </row>
    <row r="166" customFormat="false" ht="15" hidden="false" customHeight="true" outlineLevel="0" collapsed="false">
      <c r="A166" s="3" t="n">
        <v>46168.779224537</v>
      </c>
      <c r="B166" s="1" t="s">
        <v>7</v>
      </c>
      <c r="C166" s="1" t="n">
        <v>2411</v>
      </c>
      <c r="D166" s="1" t="n">
        <v>35</v>
      </c>
    </row>
    <row r="167" customFormat="false" ht="15" hidden="false" customHeight="true" outlineLevel="0" collapsed="false">
      <c r="A167" s="3" t="n">
        <v>46168.779224537</v>
      </c>
      <c r="B167" s="1" t="s">
        <v>4</v>
      </c>
      <c r="C167" s="1" t="n">
        <v>2127</v>
      </c>
      <c r="D167" s="1" t="n">
        <v>45</v>
      </c>
    </row>
    <row r="168" customFormat="false" ht="15" hidden="false" customHeight="true" outlineLevel="0" collapsed="false">
      <c r="A168" s="3" t="n">
        <v>46168.7792361111</v>
      </c>
      <c r="B168" s="1" t="s">
        <v>8</v>
      </c>
      <c r="C168" s="1" t="n">
        <v>2419</v>
      </c>
      <c r="D168" s="1" t="n">
        <v>35</v>
      </c>
    </row>
    <row r="169" customFormat="false" ht="15" hidden="false" customHeight="true" outlineLevel="0" collapsed="false">
      <c r="A169" s="3" t="n">
        <v>46168.7792361111</v>
      </c>
      <c r="B169" s="1" t="s">
        <v>9</v>
      </c>
      <c r="C169" s="1" t="n">
        <v>2400</v>
      </c>
      <c r="D169" s="1" t="n">
        <v>22</v>
      </c>
    </row>
    <row r="170" customFormat="false" ht="15" hidden="false" customHeight="true" outlineLevel="0" collapsed="false">
      <c r="A170" s="3" t="n">
        <v>46168.7795717593</v>
      </c>
      <c r="B170" s="1" t="s">
        <v>4</v>
      </c>
      <c r="C170" s="1" t="n">
        <v>2125</v>
      </c>
      <c r="D170" s="1" t="n">
        <v>45</v>
      </c>
    </row>
    <row r="171" customFormat="false" ht="15" hidden="false" customHeight="true" outlineLevel="0" collapsed="false">
      <c r="A171" s="3" t="n">
        <v>46168.7795717593</v>
      </c>
      <c r="B171" s="1" t="s">
        <v>5</v>
      </c>
      <c r="D171" s="1" t="n">
        <v>16.2</v>
      </c>
    </row>
    <row r="172" customFormat="false" ht="15" hidden="false" customHeight="true" outlineLevel="0" collapsed="false">
      <c r="A172" s="3" t="n">
        <v>46168.7795833333</v>
      </c>
      <c r="B172" s="1" t="s">
        <v>6</v>
      </c>
      <c r="C172" s="1" t="n">
        <v>2083</v>
      </c>
      <c r="D172" s="1" t="n">
        <v>42</v>
      </c>
    </row>
    <row r="173" customFormat="false" ht="15" hidden="false" customHeight="true" outlineLevel="0" collapsed="false">
      <c r="A173" s="3" t="n">
        <v>46168.7795833333</v>
      </c>
      <c r="B173" s="1" t="s">
        <v>7</v>
      </c>
      <c r="C173" s="1" t="n">
        <v>2411</v>
      </c>
      <c r="D173" s="1" t="n">
        <v>35</v>
      </c>
    </row>
    <row r="174" customFormat="false" ht="15" hidden="false" customHeight="true" outlineLevel="0" collapsed="false">
      <c r="A174" s="3" t="n">
        <v>46168.7795949074</v>
      </c>
      <c r="B174" s="1" t="s">
        <v>8</v>
      </c>
      <c r="C174" s="1" t="n">
        <v>2420</v>
      </c>
      <c r="D174" s="1" t="n">
        <v>35</v>
      </c>
    </row>
    <row r="175" customFormat="false" ht="15" hidden="false" customHeight="true" outlineLevel="0" collapsed="false">
      <c r="A175" s="3" t="n">
        <v>46168.7795949074</v>
      </c>
      <c r="B175" s="1" t="s">
        <v>9</v>
      </c>
      <c r="C175" s="1" t="n">
        <v>2401</v>
      </c>
      <c r="D175" s="1" t="n">
        <v>22</v>
      </c>
    </row>
    <row r="176" customFormat="false" ht="15" hidden="false" customHeight="true" outlineLevel="0" collapsed="false">
      <c r="A176" s="3" t="n">
        <v>46168.7799189815</v>
      </c>
      <c r="B176" s="1" t="s">
        <v>6</v>
      </c>
      <c r="C176" s="1" t="n">
        <v>2043</v>
      </c>
      <c r="D176" s="1" t="n">
        <v>45</v>
      </c>
    </row>
    <row r="177" customFormat="false" ht="15" hidden="false" customHeight="true" outlineLevel="0" collapsed="false">
      <c r="A177" s="3" t="n">
        <v>46168.7799189815</v>
      </c>
      <c r="B177" s="1" t="s">
        <v>4</v>
      </c>
      <c r="C177" s="1" t="n">
        <v>2118</v>
      </c>
      <c r="D177" s="1" t="n">
        <v>45</v>
      </c>
    </row>
    <row r="178" customFormat="false" ht="15" hidden="false" customHeight="true" outlineLevel="0" collapsed="false">
      <c r="A178" s="3" t="n">
        <v>46168.7799189815</v>
      </c>
      <c r="B178" s="1" t="s">
        <v>5</v>
      </c>
      <c r="D178" s="1" t="n">
        <v>16.2</v>
      </c>
    </row>
    <row r="179" customFormat="false" ht="15" hidden="false" customHeight="true" outlineLevel="0" collapsed="false">
      <c r="A179" s="3" t="n">
        <v>46168.7799305556</v>
      </c>
      <c r="B179" s="1" t="s">
        <v>7</v>
      </c>
      <c r="C179" s="1" t="n">
        <v>2413</v>
      </c>
      <c r="D179" s="1" t="n">
        <v>35</v>
      </c>
    </row>
    <row r="180" customFormat="false" ht="15" hidden="false" customHeight="true" outlineLevel="0" collapsed="false">
      <c r="A180" s="3" t="n">
        <v>46168.7799305556</v>
      </c>
      <c r="B180" s="1" t="s">
        <v>8</v>
      </c>
      <c r="C180" s="1" t="n">
        <v>2416</v>
      </c>
      <c r="D180" s="1" t="n">
        <v>35</v>
      </c>
    </row>
    <row r="181" customFormat="false" ht="15" hidden="false" customHeight="true" outlineLevel="0" collapsed="false">
      <c r="A181" s="3" t="n">
        <v>46168.7799305556</v>
      </c>
      <c r="B181" s="1" t="s">
        <v>9</v>
      </c>
      <c r="C181" s="1" t="n">
        <v>2402</v>
      </c>
      <c r="D181" s="1" t="n">
        <v>22</v>
      </c>
    </row>
    <row r="182" customFormat="false" ht="15" hidden="false" customHeight="true" outlineLevel="0" collapsed="false">
      <c r="A182" s="3" t="n">
        <v>46168.7802662037</v>
      </c>
      <c r="B182" s="1" t="s">
        <v>6</v>
      </c>
      <c r="C182" s="1" t="n">
        <v>2080</v>
      </c>
      <c r="D182" s="1" t="n">
        <v>42</v>
      </c>
    </row>
    <row r="183" customFormat="false" ht="15" hidden="false" customHeight="true" outlineLevel="0" collapsed="false">
      <c r="A183" s="3" t="n">
        <v>46168.7802662037</v>
      </c>
      <c r="B183" s="1" t="s">
        <v>4</v>
      </c>
      <c r="C183" s="1" t="n">
        <v>2101</v>
      </c>
      <c r="D183" s="1" t="n">
        <v>46</v>
      </c>
    </row>
    <row r="184" customFormat="false" ht="15" hidden="false" customHeight="true" outlineLevel="0" collapsed="false">
      <c r="A184" s="3" t="n">
        <v>46168.7802662037</v>
      </c>
      <c r="B184" s="1" t="s">
        <v>5</v>
      </c>
      <c r="D184" s="1" t="n">
        <v>16.2</v>
      </c>
    </row>
    <row r="185" customFormat="false" ht="15" hidden="false" customHeight="true" outlineLevel="0" collapsed="false">
      <c r="A185" s="3" t="n">
        <v>46168.7802777778</v>
      </c>
      <c r="B185" s="1" t="s">
        <v>7</v>
      </c>
      <c r="C185" s="1" t="n">
        <v>2416</v>
      </c>
      <c r="D185" s="1" t="n">
        <v>35</v>
      </c>
    </row>
    <row r="186" customFormat="false" ht="15" hidden="false" customHeight="true" outlineLevel="0" collapsed="false">
      <c r="A186" s="3" t="n">
        <v>46168.7802777778</v>
      </c>
      <c r="B186" s="1" t="s">
        <v>8</v>
      </c>
      <c r="C186" s="1" t="n">
        <v>2423</v>
      </c>
      <c r="D186" s="1" t="n">
        <v>34</v>
      </c>
    </row>
    <row r="187" customFormat="false" ht="15" hidden="false" customHeight="true" outlineLevel="0" collapsed="false">
      <c r="A187" s="3" t="n">
        <v>46168.7802777778</v>
      </c>
      <c r="B187" s="1" t="s">
        <v>9</v>
      </c>
      <c r="C187" s="1" t="n">
        <v>2402</v>
      </c>
      <c r="D187" s="1" t="n">
        <v>22</v>
      </c>
    </row>
    <row r="188" customFormat="false" ht="15" hidden="false" customHeight="true" outlineLevel="0" collapsed="false">
      <c r="A188" s="3" t="n">
        <v>46168.7806134259</v>
      </c>
      <c r="B188" s="1" t="s">
        <v>6</v>
      </c>
      <c r="C188" s="1" t="n">
        <v>2081</v>
      </c>
      <c r="D188" s="1" t="n">
        <v>42</v>
      </c>
    </row>
    <row r="189" customFormat="false" ht="15" hidden="false" customHeight="true" outlineLevel="0" collapsed="false">
      <c r="A189" s="3" t="n">
        <v>46168.7806134259</v>
      </c>
      <c r="B189" s="1" t="s">
        <v>7</v>
      </c>
      <c r="C189" s="1" t="n">
        <v>2416</v>
      </c>
      <c r="D189" s="1" t="n">
        <v>35</v>
      </c>
    </row>
    <row r="190" customFormat="false" ht="15" hidden="false" customHeight="true" outlineLevel="0" collapsed="false">
      <c r="A190" s="3" t="n">
        <v>46168.7806134259</v>
      </c>
      <c r="B190" s="1" t="s">
        <v>4</v>
      </c>
      <c r="C190" s="1" t="n">
        <v>2125</v>
      </c>
      <c r="D190" s="1" t="n">
        <v>45</v>
      </c>
    </row>
    <row r="191" customFormat="false" ht="15" hidden="false" customHeight="true" outlineLevel="0" collapsed="false">
      <c r="A191" s="3" t="n">
        <v>46168.7806134259</v>
      </c>
      <c r="B191" s="1" t="s">
        <v>5</v>
      </c>
      <c r="D191" s="1" t="n">
        <v>16.2</v>
      </c>
    </row>
    <row r="192" customFormat="false" ht="15" hidden="false" customHeight="true" outlineLevel="0" collapsed="false">
      <c r="A192" s="3" t="n">
        <v>46168.780625</v>
      </c>
      <c r="B192" s="1" t="s">
        <v>8</v>
      </c>
      <c r="C192" s="1" t="n">
        <v>2426</v>
      </c>
      <c r="D192" s="1" t="n">
        <v>34</v>
      </c>
    </row>
    <row r="193" customFormat="false" ht="15" hidden="false" customHeight="true" outlineLevel="0" collapsed="false">
      <c r="A193" s="3" t="n">
        <v>46168.780625</v>
      </c>
      <c r="B193" s="1" t="s">
        <v>9</v>
      </c>
      <c r="C193" s="1" t="n">
        <v>2405</v>
      </c>
      <c r="D193" s="1" t="n">
        <v>22</v>
      </c>
    </row>
    <row r="194" customFormat="false" ht="15" hidden="false" customHeight="true" outlineLevel="0" collapsed="false">
      <c r="A194" s="3" t="n">
        <v>46168.7809606482</v>
      </c>
      <c r="B194" s="1" t="s">
        <v>4</v>
      </c>
      <c r="C194" s="1" t="n">
        <v>2116</v>
      </c>
      <c r="D194" s="1" t="n">
        <v>45</v>
      </c>
    </row>
    <row r="195" customFormat="false" ht="15" hidden="false" customHeight="true" outlineLevel="0" collapsed="false">
      <c r="A195" s="3" t="n">
        <v>46168.7809606482</v>
      </c>
      <c r="B195" s="1" t="s">
        <v>5</v>
      </c>
      <c r="D195" s="1" t="n">
        <v>16.2</v>
      </c>
    </row>
    <row r="196" customFormat="false" ht="15" hidden="false" customHeight="true" outlineLevel="0" collapsed="false">
      <c r="A196" s="3" t="n">
        <v>46168.7809722222</v>
      </c>
      <c r="B196" s="1" t="s">
        <v>6</v>
      </c>
      <c r="C196" s="1" t="n">
        <v>2067</v>
      </c>
      <c r="D196" s="1" t="n">
        <v>43</v>
      </c>
    </row>
    <row r="197" customFormat="false" ht="15" hidden="false" customHeight="true" outlineLevel="0" collapsed="false">
      <c r="A197" s="3" t="n">
        <v>46168.7809722222</v>
      </c>
      <c r="B197" s="1" t="s">
        <v>7</v>
      </c>
      <c r="C197" s="1" t="n">
        <v>2416</v>
      </c>
      <c r="D197" s="1" t="n">
        <v>35</v>
      </c>
    </row>
    <row r="198" customFormat="false" ht="15" hidden="false" customHeight="true" outlineLevel="0" collapsed="false">
      <c r="A198" s="3" t="n">
        <v>46168.7809722222</v>
      </c>
      <c r="B198" s="1" t="s">
        <v>8</v>
      </c>
      <c r="C198" s="1" t="n">
        <v>2427</v>
      </c>
      <c r="D198" s="1" t="n">
        <v>34</v>
      </c>
    </row>
    <row r="199" customFormat="false" ht="15" hidden="false" customHeight="true" outlineLevel="0" collapsed="false">
      <c r="A199" s="3" t="n">
        <v>46168.7809722222</v>
      </c>
      <c r="B199" s="1" t="s">
        <v>9</v>
      </c>
      <c r="C199" s="1" t="n">
        <v>2406</v>
      </c>
      <c r="D199" s="1" t="n">
        <v>21</v>
      </c>
    </row>
    <row r="200" customFormat="false" ht="15" hidden="false" customHeight="true" outlineLevel="0" collapsed="false">
      <c r="A200" s="3" t="n">
        <v>46168.7813078704</v>
      </c>
      <c r="B200" s="1" t="s">
        <v>5</v>
      </c>
      <c r="D200" s="1" t="n">
        <v>16.2</v>
      </c>
    </row>
    <row r="201" customFormat="false" ht="15" hidden="false" customHeight="true" outlineLevel="0" collapsed="false">
      <c r="A201" s="3" t="n">
        <v>46168.7813194445</v>
      </c>
      <c r="B201" s="1" t="s">
        <v>4</v>
      </c>
      <c r="C201" s="1" t="n">
        <v>2096</v>
      </c>
      <c r="D201" s="1" t="n">
        <v>47</v>
      </c>
    </row>
    <row r="202" customFormat="false" ht="15" hidden="false" customHeight="true" outlineLevel="0" collapsed="false">
      <c r="A202" s="3" t="n">
        <v>46168.7813310185</v>
      </c>
      <c r="B202" s="1" t="s">
        <v>6</v>
      </c>
      <c r="C202" s="1" t="n">
        <v>2064</v>
      </c>
      <c r="D202" s="1" t="n">
        <v>43</v>
      </c>
    </row>
    <row r="203" customFormat="false" ht="15" hidden="false" customHeight="true" outlineLevel="0" collapsed="false">
      <c r="A203" s="3" t="n">
        <v>46168.7813310185</v>
      </c>
      <c r="B203" s="1" t="s">
        <v>7</v>
      </c>
      <c r="C203" s="1" t="n">
        <v>2416</v>
      </c>
      <c r="D203" s="1" t="n">
        <v>35</v>
      </c>
    </row>
    <row r="204" customFormat="false" ht="15" hidden="false" customHeight="true" outlineLevel="0" collapsed="false">
      <c r="A204" s="3" t="n">
        <v>46168.7813310185</v>
      </c>
      <c r="B204" s="1" t="s">
        <v>8</v>
      </c>
      <c r="C204" s="1" t="n">
        <v>2430</v>
      </c>
      <c r="D204" s="1" t="n">
        <v>33</v>
      </c>
    </row>
    <row r="205" customFormat="false" ht="15" hidden="false" customHeight="true" outlineLevel="0" collapsed="false">
      <c r="A205" s="3" t="n">
        <v>46168.7813310185</v>
      </c>
      <c r="B205" s="1" t="s">
        <v>9</v>
      </c>
      <c r="C205" s="1" t="n">
        <v>2413</v>
      </c>
      <c r="D205" s="1" t="n">
        <v>20</v>
      </c>
    </row>
    <row r="206" customFormat="false" ht="15" hidden="false" customHeight="true" outlineLevel="0" collapsed="false">
      <c r="A206" s="3" t="n">
        <v>46168.7816666667</v>
      </c>
      <c r="B206" s="1" t="s">
        <v>4</v>
      </c>
      <c r="C206" s="1" t="n">
        <v>2124</v>
      </c>
      <c r="D206" s="1" t="n">
        <v>45</v>
      </c>
    </row>
    <row r="207" customFormat="false" ht="15" hidden="false" customHeight="true" outlineLevel="0" collapsed="false">
      <c r="A207" s="3" t="n">
        <v>46168.7816666667</v>
      </c>
      <c r="B207" s="1" t="s">
        <v>5</v>
      </c>
      <c r="D207" s="1" t="n">
        <v>16.2</v>
      </c>
    </row>
    <row r="208" customFormat="false" ht="15" hidden="false" customHeight="true" outlineLevel="0" collapsed="false">
      <c r="A208" s="3" t="n">
        <v>46168.7816782407</v>
      </c>
      <c r="B208" s="1" t="s">
        <v>6</v>
      </c>
      <c r="C208" s="1" t="n">
        <v>2078</v>
      </c>
      <c r="D208" s="1" t="n">
        <v>43</v>
      </c>
    </row>
    <row r="209" customFormat="false" ht="15" hidden="false" customHeight="true" outlineLevel="0" collapsed="false">
      <c r="A209" s="3" t="n">
        <v>46168.7816782407</v>
      </c>
      <c r="B209" s="1" t="s">
        <v>7</v>
      </c>
      <c r="C209" s="1" t="n">
        <v>2419</v>
      </c>
      <c r="D209" s="1" t="n">
        <v>35</v>
      </c>
    </row>
    <row r="210" customFormat="false" ht="15" hidden="false" customHeight="true" outlineLevel="0" collapsed="false">
      <c r="A210" s="3" t="n">
        <v>46168.7816782407</v>
      </c>
      <c r="B210" s="1" t="s">
        <v>8</v>
      </c>
      <c r="C210" s="1" t="n">
        <v>2432</v>
      </c>
      <c r="D210" s="1" t="n">
        <v>33</v>
      </c>
    </row>
    <row r="211" customFormat="false" ht="15" hidden="false" customHeight="true" outlineLevel="0" collapsed="false">
      <c r="A211" s="3" t="n">
        <v>46168.7816782407</v>
      </c>
      <c r="B211" s="1" t="s">
        <v>9</v>
      </c>
      <c r="C211" s="1" t="n">
        <v>2410</v>
      </c>
      <c r="D211" s="1" t="n">
        <v>21</v>
      </c>
    </row>
    <row r="212" customFormat="false" ht="15" hidden="false" customHeight="true" outlineLevel="0" collapsed="false">
      <c r="A212" s="3" t="n">
        <v>46168.7820138889</v>
      </c>
      <c r="B212" s="1" t="s">
        <v>5</v>
      </c>
      <c r="D212" s="1" t="n">
        <v>16.2</v>
      </c>
    </row>
    <row r="213" customFormat="false" ht="15" hidden="false" customHeight="true" outlineLevel="0" collapsed="false">
      <c r="A213" s="3" t="n">
        <v>46168.782025463</v>
      </c>
      <c r="B213" s="1" t="s">
        <v>6</v>
      </c>
      <c r="C213" s="1" t="n">
        <v>2075</v>
      </c>
      <c r="D213" s="1" t="n">
        <v>43</v>
      </c>
    </row>
    <row r="214" customFormat="false" ht="15" hidden="false" customHeight="true" outlineLevel="0" collapsed="false">
      <c r="A214" s="3" t="n">
        <v>46168.782025463</v>
      </c>
      <c r="B214" s="1" t="s">
        <v>7</v>
      </c>
      <c r="C214" s="1" t="n">
        <v>2418</v>
      </c>
      <c r="D214" s="1" t="n">
        <v>35</v>
      </c>
    </row>
    <row r="215" customFormat="false" ht="15" hidden="false" customHeight="true" outlineLevel="0" collapsed="false">
      <c r="A215" s="3" t="n">
        <v>46168.782025463</v>
      </c>
      <c r="B215" s="1" t="s">
        <v>4</v>
      </c>
      <c r="C215" s="1" t="n">
        <v>2123</v>
      </c>
      <c r="D215" s="1" t="n">
        <v>45</v>
      </c>
    </row>
    <row r="216" customFormat="false" ht="15" hidden="false" customHeight="true" outlineLevel="0" collapsed="false">
      <c r="A216" s="3" t="n">
        <v>46168.782037037</v>
      </c>
      <c r="B216" s="1" t="s">
        <v>8</v>
      </c>
      <c r="C216" s="1" t="n">
        <v>2432</v>
      </c>
      <c r="D216" s="1" t="n">
        <v>33</v>
      </c>
    </row>
    <row r="217" customFormat="false" ht="15" hidden="false" customHeight="true" outlineLevel="0" collapsed="false">
      <c r="A217" s="3" t="n">
        <v>46168.782037037</v>
      </c>
      <c r="B217" s="1" t="s">
        <v>9</v>
      </c>
      <c r="C217" s="1" t="n">
        <v>2412</v>
      </c>
      <c r="D217" s="1" t="n">
        <v>20</v>
      </c>
    </row>
    <row r="218" customFormat="false" ht="15" hidden="false" customHeight="true" outlineLevel="0" collapsed="false">
      <c r="A218" s="3" t="n">
        <v>46168.7823726852</v>
      </c>
      <c r="B218" s="1" t="s">
        <v>6</v>
      </c>
      <c r="C218" s="1" t="n">
        <v>2074</v>
      </c>
      <c r="D218" s="1" t="n">
        <v>43</v>
      </c>
    </row>
    <row r="219" customFormat="false" ht="15" hidden="false" customHeight="true" outlineLevel="0" collapsed="false">
      <c r="A219" s="3" t="n">
        <v>46168.7823726852</v>
      </c>
      <c r="B219" s="1" t="s">
        <v>4</v>
      </c>
      <c r="C219" s="1" t="n">
        <v>2118</v>
      </c>
      <c r="D219" s="1" t="n">
        <v>45</v>
      </c>
    </row>
    <row r="220" customFormat="false" ht="15" hidden="false" customHeight="true" outlineLevel="0" collapsed="false">
      <c r="A220" s="3" t="n">
        <v>46168.7823726852</v>
      </c>
      <c r="B220" s="1" t="s">
        <v>5</v>
      </c>
      <c r="D220" s="1" t="n">
        <v>16.2</v>
      </c>
    </row>
    <row r="221" customFormat="false" ht="15" hidden="false" customHeight="true" outlineLevel="0" collapsed="false">
      <c r="A221" s="3" t="n">
        <v>46168.7823842593</v>
      </c>
      <c r="B221" s="1" t="s">
        <v>7</v>
      </c>
      <c r="C221" s="1" t="n">
        <v>2422</v>
      </c>
      <c r="D221" s="1" t="n">
        <v>34</v>
      </c>
    </row>
    <row r="222" customFormat="false" ht="15" hidden="false" customHeight="true" outlineLevel="0" collapsed="false">
      <c r="A222" s="3" t="n">
        <v>46168.7823842593</v>
      </c>
      <c r="B222" s="1" t="s">
        <v>8</v>
      </c>
      <c r="C222" s="1" t="n">
        <v>2432</v>
      </c>
      <c r="D222" s="1" t="n">
        <v>33</v>
      </c>
    </row>
    <row r="223" customFormat="false" ht="15" hidden="false" customHeight="true" outlineLevel="0" collapsed="false">
      <c r="A223" s="3" t="n">
        <v>46168.7823842593</v>
      </c>
      <c r="B223" s="1" t="s">
        <v>9</v>
      </c>
      <c r="C223" s="1" t="n">
        <v>2413</v>
      </c>
      <c r="D223" s="1" t="n">
        <v>20</v>
      </c>
    </row>
    <row r="224" customFormat="false" ht="15" hidden="false" customHeight="true" outlineLevel="0" collapsed="false">
      <c r="A224" s="3" t="n">
        <v>46168.7827199074</v>
      </c>
      <c r="B224" s="1" t="s">
        <v>6</v>
      </c>
      <c r="C224" s="1" t="n">
        <v>2077</v>
      </c>
      <c r="D224" s="1" t="n">
        <v>43</v>
      </c>
    </row>
    <row r="225" customFormat="false" ht="15" hidden="false" customHeight="true" outlineLevel="0" collapsed="false">
      <c r="A225" s="3" t="n">
        <v>46168.7827199074</v>
      </c>
      <c r="B225" s="1" t="s">
        <v>4</v>
      </c>
      <c r="C225" s="1" t="n">
        <v>2116</v>
      </c>
      <c r="D225" s="1" t="n">
        <v>45</v>
      </c>
    </row>
    <row r="226" customFormat="false" ht="15" hidden="false" customHeight="true" outlineLevel="0" collapsed="false">
      <c r="A226" s="3" t="n">
        <v>46168.7827199074</v>
      </c>
      <c r="B226" s="1" t="s">
        <v>5</v>
      </c>
      <c r="D226" s="1" t="n">
        <v>16.2</v>
      </c>
    </row>
    <row r="227" customFormat="false" ht="15" hidden="false" customHeight="true" outlineLevel="0" collapsed="false">
      <c r="A227" s="3" t="n">
        <v>46168.7827314815</v>
      </c>
      <c r="B227" s="1" t="s">
        <v>7</v>
      </c>
      <c r="C227" s="1" t="n">
        <v>2426</v>
      </c>
      <c r="D227" s="1" t="n">
        <v>34</v>
      </c>
    </row>
    <row r="228" customFormat="false" ht="15" hidden="false" customHeight="true" outlineLevel="0" collapsed="false">
      <c r="A228" s="3" t="n">
        <v>46168.7827314815</v>
      </c>
      <c r="B228" s="1" t="s">
        <v>8</v>
      </c>
      <c r="C228" s="1" t="n">
        <v>2437</v>
      </c>
      <c r="D228" s="1" t="n">
        <v>32</v>
      </c>
    </row>
    <row r="229" customFormat="false" ht="15" hidden="false" customHeight="true" outlineLevel="0" collapsed="false">
      <c r="A229" s="3" t="n">
        <v>46168.7827314815</v>
      </c>
      <c r="B229" s="1" t="s">
        <v>9</v>
      </c>
      <c r="C229" s="1" t="n">
        <v>2416</v>
      </c>
      <c r="D229" s="1" t="n">
        <v>20</v>
      </c>
    </row>
    <row r="230" customFormat="false" ht="15" hidden="false" customHeight="true" outlineLevel="0" collapsed="false">
      <c r="A230" s="3" t="n">
        <v>46168.7830671296</v>
      </c>
      <c r="B230" s="1" t="s">
        <v>6</v>
      </c>
      <c r="C230" s="1" t="n">
        <v>2033</v>
      </c>
      <c r="D230" s="1" t="n">
        <v>45</v>
      </c>
    </row>
    <row r="231" customFormat="false" ht="15" hidden="false" customHeight="true" outlineLevel="0" collapsed="false">
      <c r="A231" s="3" t="n">
        <v>46168.7830671296</v>
      </c>
      <c r="B231" s="1" t="s">
        <v>4</v>
      </c>
      <c r="C231" s="1" t="n">
        <v>2122</v>
      </c>
      <c r="D231" s="1" t="n">
        <v>45</v>
      </c>
    </row>
    <row r="232" customFormat="false" ht="15" hidden="false" customHeight="true" outlineLevel="0" collapsed="false">
      <c r="A232" s="3" t="n">
        <v>46168.7830671296</v>
      </c>
      <c r="B232" s="1" t="s">
        <v>5</v>
      </c>
      <c r="D232" s="1" t="n">
        <v>16.2</v>
      </c>
    </row>
    <row r="233" customFormat="false" ht="15" hidden="false" customHeight="true" outlineLevel="0" collapsed="false">
      <c r="A233" s="3" t="n">
        <v>46168.7830787037</v>
      </c>
      <c r="B233" s="1" t="s">
        <v>7</v>
      </c>
      <c r="C233" s="1" t="n">
        <v>2435</v>
      </c>
      <c r="D233" s="1" t="n">
        <v>33</v>
      </c>
    </row>
    <row r="234" customFormat="false" ht="15" hidden="false" customHeight="true" outlineLevel="0" collapsed="false">
      <c r="A234" s="3" t="n">
        <v>46168.7830787037</v>
      </c>
      <c r="B234" s="1" t="s">
        <v>8</v>
      </c>
      <c r="C234" s="1" t="n">
        <v>2435</v>
      </c>
      <c r="D234" s="1" t="n">
        <v>33</v>
      </c>
    </row>
    <row r="235" customFormat="false" ht="15" hidden="false" customHeight="true" outlineLevel="0" collapsed="false">
      <c r="A235" s="3" t="n">
        <v>46168.7830902778</v>
      </c>
      <c r="B235" s="1" t="s">
        <v>9</v>
      </c>
      <c r="C235" s="1" t="n">
        <v>2416</v>
      </c>
      <c r="D235" s="1" t="n">
        <v>20</v>
      </c>
    </row>
    <row r="236" customFormat="false" ht="15" hidden="false" customHeight="true" outlineLevel="0" collapsed="false">
      <c r="A236" s="3" t="n">
        <v>46168.7834143519</v>
      </c>
      <c r="B236" s="1" t="s">
        <v>4</v>
      </c>
      <c r="C236" s="1" t="n">
        <v>2119</v>
      </c>
      <c r="D236" s="1" t="n">
        <v>45</v>
      </c>
    </row>
    <row r="237" customFormat="false" ht="15" hidden="false" customHeight="true" outlineLevel="0" collapsed="false">
      <c r="A237" s="3" t="n">
        <v>46168.7834143519</v>
      </c>
      <c r="B237" s="1" t="s">
        <v>5</v>
      </c>
      <c r="D237" s="1" t="n">
        <v>16.2</v>
      </c>
    </row>
    <row r="238" customFormat="false" ht="15" hidden="false" customHeight="true" outlineLevel="0" collapsed="false">
      <c r="A238" s="3" t="n">
        <v>46168.7834259259</v>
      </c>
      <c r="B238" s="1" t="s">
        <v>6</v>
      </c>
      <c r="C238" s="1" t="n">
        <v>2078</v>
      </c>
      <c r="D238" s="1" t="n">
        <v>43</v>
      </c>
    </row>
    <row r="239" customFormat="false" ht="15" hidden="false" customHeight="true" outlineLevel="0" collapsed="false">
      <c r="A239" s="3" t="n">
        <v>46168.7834259259</v>
      </c>
      <c r="B239" s="1" t="s">
        <v>7</v>
      </c>
      <c r="C239" s="1" t="n">
        <v>2431</v>
      </c>
      <c r="D239" s="1" t="n">
        <v>34</v>
      </c>
    </row>
    <row r="240" customFormat="false" ht="15" hidden="false" customHeight="true" outlineLevel="0" collapsed="false">
      <c r="A240" s="3" t="n">
        <v>46168.7834259259</v>
      </c>
      <c r="B240" s="1" t="s">
        <v>8</v>
      </c>
      <c r="C240" s="1" t="n">
        <v>2429</v>
      </c>
      <c r="D240" s="1" t="n">
        <v>33</v>
      </c>
    </row>
    <row r="241" customFormat="false" ht="15" hidden="false" customHeight="true" outlineLevel="0" collapsed="false">
      <c r="A241" s="3" t="n">
        <v>46168.7834259259</v>
      </c>
      <c r="B241" s="1" t="s">
        <v>9</v>
      </c>
      <c r="C241" s="1" t="n">
        <v>2419</v>
      </c>
      <c r="D241" s="1" t="n">
        <v>19</v>
      </c>
    </row>
    <row r="242" customFormat="false" ht="15" hidden="false" customHeight="true" outlineLevel="0" collapsed="false">
      <c r="A242" s="3" t="n">
        <v>46168.7837615741</v>
      </c>
      <c r="B242" s="1" t="s">
        <v>4</v>
      </c>
      <c r="C242" s="1" t="n">
        <v>2100</v>
      </c>
      <c r="D242" s="1" t="n">
        <v>46</v>
      </c>
    </row>
    <row r="243" customFormat="false" ht="15" hidden="false" customHeight="true" outlineLevel="0" collapsed="false">
      <c r="A243" s="3" t="n">
        <v>46168.7837615741</v>
      </c>
      <c r="B243" s="1" t="s">
        <v>5</v>
      </c>
      <c r="D243" s="1" t="n">
        <v>16.2</v>
      </c>
    </row>
    <row r="244" customFormat="false" ht="15" hidden="false" customHeight="true" outlineLevel="0" collapsed="false">
      <c r="A244" s="3" t="n">
        <v>46168.7837731482</v>
      </c>
      <c r="B244" s="1" t="s">
        <v>6</v>
      </c>
      <c r="C244" s="1" t="n">
        <v>2004</v>
      </c>
      <c r="D244" s="1" t="n">
        <v>47</v>
      </c>
    </row>
    <row r="245" customFormat="false" ht="15" hidden="false" customHeight="true" outlineLevel="0" collapsed="false">
      <c r="A245" s="3" t="n">
        <v>46168.7837731482</v>
      </c>
      <c r="B245" s="1" t="s">
        <v>7</v>
      </c>
      <c r="C245" s="1" t="n">
        <v>2431</v>
      </c>
      <c r="D245" s="1" t="n">
        <v>34</v>
      </c>
    </row>
    <row r="246" customFormat="false" ht="15" hidden="false" customHeight="true" outlineLevel="0" collapsed="false">
      <c r="A246" s="3" t="n">
        <v>46168.7837731482</v>
      </c>
      <c r="B246" s="1" t="s">
        <v>8</v>
      </c>
      <c r="C246" s="1" t="n">
        <v>2441</v>
      </c>
      <c r="D246" s="1" t="n">
        <v>32</v>
      </c>
    </row>
    <row r="247" customFormat="false" ht="15" hidden="false" customHeight="true" outlineLevel="0" collapsed="false">
      <c r="A247" s="3" t="n">
        <v>46168.7837731482</v>
      </c>
      <c r="B247" s="1" t="s">
        <v>9</v>
      </c>
      <c r="C247" s="1" t="n">
        <v>2416</v>
      </c>
      <c r="D247" s="1" t="n">
        <v>20</v>
      </c>
    </row>
    <row r="248" customFormat="false" ht="15" hidden="false" customHeight="true" outlineLevel="0" collapsed="false">
      <c r="A248" s="3" t="n">
        <v>46168.7841087963</v>
      </c>
      <c r="B248" s="1" t="s">
        <v>5</v>
      </c>
      <c r="D248" s="1" t="n">
        <v>16.2</v>
      </c>
    </row>
    <row r="249" customFormat="false" ht="15" hidden="false" customHeight="true" outlineLevel="0" collapsed="false">
      <c r="A249" s="3" t="n">
        <v>46168.7841203704</v>
      </c>
      <c r="B249" s="1" t="s">
        <v>6</v>
      </c>
      <c r="C249" s="1" t="n">
        <v>2082</v>
      </c>
      <c r="D249" s="1" t="n">
        <v>42</v>
      </c>
    </row>
    <row r="250" customFormat="false" ht="15" hidden="false" customHeight="true" outlineLevel="0" collapsed="false">
      <c r="A250" s="3" t="n">
        <v>46168.7841203704</v>
      </c>
      <c r="B250" s="1" t="s">
        <v>7</v>
      </c>
      <c r="C250" s="1" t="n">
        <v>2421</v>
      </c>
      <c r="D250" s="1" t="n">
        <v>34</v>
      </c>
    </row>
    <row r="251" customFormat="false" ht="15" hidden="false" customHeight="true" outlineLevel="0" collapsed="false">
      <c r="A251" s="3" t="n">
        <v>46168.7841203704</v>
      </c>
      <c r="B251" s="1" t="s">
        <v>4</v>
      </c>
      <c r="C251" s="1" t="n">
        <v>2125</v>
      </c>
      <c r="D251" s="1" t="n">
        <v>45</v>
      </c>
    </row>
    <row r="252" customFormat="false" ht="15" hidden="false" customHeight="true" outlineLevel="0" collapsed="false">
      <c r="A252" s="3" t="n">
        <v>46168.7841203704</v>
      </c>
      <c r="B252" s="1" t="s">
        <v>8</v>
      </c>
      <c r="C252" s="1" t="n">
        <v>2437</v>
      </c>
      <c r="D252" s="1" t="n">
        <v>32</v>
      </c>
    </row>
    <row r="253" customFormat="false" ht="15" hidden="false" customHeight="true" outlineLevel="0" collapsed="false">
      <c r="A253" s="3" t="n">
        <v>46168.7841319444</v>
      </c>
      <c r="B253" s="1" t="s">
        <v>9</v>
      </c>
      <c r="C253" s="1" t="n">
        <v>2417</v>
      </c>
      <c r="D253" s="1" t="n">
        <v>19</v>
      </c>
    </row>
    <row r="254" customFormat="false" ht="15" hidden="false" customHeight="true" outlineLevel="0" collapsed="false">
      <c r="A254" s="3" t="n">
        <v>46168.7844560185</v>
      </c>
      <c r="B254" s="1" t="s">
        <v>5</v>
      </c>
      <c r="D254" s="1" t="n">
        <v>16.2</v>
      </c>
    </row>
    <row r="255" customFormat="false" ht="15" hidden="false" customHeight="true" outlineLevel="0" collapsed="false">
      <c r="A255" s="3" t="n">
        <v>46168.7844675926</v>
      </c>
      <c r="B255" s="1" t="s">
        <v>6</v>
      </c>
      <c r="C255" s="1" t="n">
        <v>2080</v>
      </c>
      <c r="D255" s="1" t="n">
        <v>42</v>
      </c>
    </row>
    <row r="256" customFormat="false" ht="15" hidden="false" customHeight="true" outlineLevel="0" collapsed="false">
      <c r="A256" s="3" t="n">
        <v>46168.7844675926</v>
      </c>
      <c r="B256" s="1" t="s">
        <v>7</v>
      </c>
      <c r="C256" s="1" t="n">
        <v>2432</v>
      </c>
      <c r="D256" s="1" t="n">
        <v>33</v>
      </c>
    </row>
    <row r="257" customFormat="false" ht="15" hidden="false" customHeight="true" outlineLevel="0" collapsed="false">
      <c r="A257" s="3" t="n">
        <v>46168.7844675926</v>
      </c>
      <c r="B257" s="1" t="s">
        <v>4</v>
      </c>
      <c r="C257" s="1" t="n">
        <v>2129</v>
      </c>
      <c r="D257" s="1" t="n">
        <v>45</v>
      </c>
    </row>
    <row r="258" customFormat="false" ht="15" hidden="false" customHeight="true" outlineLevel="0" collapsed="false">
      <c r="A258" s="3" t="n">
        <v>46168.7844675926</v>
      </c>
      <c r="B258" s="1" t="s">
        <v>8</v>
      </c>
      <c r="C258" s="1" t="n">
        <v>2441</v>
      </c>
      <c r="D258" s="1" t="n">
        <v>32</v>
      </c>
    </row>
    <row r="259" customFormat="false" ht="15" hidden="false" customHeight="true" outlineLevel="0" collapsed="false">
      <c r="A259" s="3" t="n">
        <v>46168.7844675926</v>
      </c>
      <c r="B259" s="1" t="s">
        <v>9</v>
      </c>
      <c r="C259" s="1" t="n">
        <v>2418</v>
      </c>
      <c r="D259" s="1" t="n">
        <v>19</v>
      </c>
    </row>
    <row r="260" customFormat="false" ht="15" hidden="false" customHeight="true" outlineLevel="0" collapsed="false">
      <c r="A260" s="3" t="n">
        <v>46168.7848032407</v>
      </c>
      <c r="B260" s="1" t="s">
        <v>5</v>
      </c>
      <c r="D260" s="1" t="n">
        <v>16.2</v>
      </c>
    </row>
    <row r="261" customFormat="false" ht="15" hidden="false" customHeight="true" outlineLevel="0" collapsed="false">
      <c r="A261" s="3" t="n">
        <v>46168.7848148148</v>
      </c>
      <c r="B261" s="1" t="s">
        <v>6</v>
      </c>
      <c r="C261" s="1" t="n">
        <v>2073</v>
      </c>
      <c r="D261" s="1" t="n">
        <v>43</v>
      </c>
    </row>
    <row r="262" customFormat="false" ht="15" hidden="false" customHeight="true" outlineLevel="0" collapsed="false">
      <c r="A262" s="3" t="n">
        <v>46168.7848148148</v>
      </c>
      <c r="B262" s="1" t="s">
        <v>7</v>
      </c>
      <c r="C262" s="1" t="n">
        <v>2417</v>
      </c>
      <c r="D262" s="1" t="n">
        <v>35</v>
      </c>
    </row>
    <row r="263" customFormat="false" ht="15" hidden="false" customHeight="true" outlineLevel="0" collapsed="false">
      <c r="A263" s="3" t="n">
        <v>46168.7848148148</v>
      </c>
      <c r="B263" s="1" t="s">
        <v>4</v>
      </c>
      <c r="C263" s="1" t="n">
        <v>2096</v>
      </c>
      <c r="D263" s="1" t="n">
        <v>47</v>
      </c>
    </row>
    <row r="264" customFormat="false" ht="15" hidden="false" customHeight="true" outlineLevel="0" collapsed="false">
      <c r="A264" s="3" t="n">
        <v>46168.7848148148</v>
      </c>
      <c r="B264" s="1" t="s">
        <v>8</v>
      </c>
      <c r="C264" s="1" t="n">
        <v>2442</v>
      </c>
      <c r="D264" s="1" t="n">
        <v>32</v>
      </c>
    </row>
    <row r="265" customFormat="false" ht="15" hidden="false" customHeight="true" outlineLevel="0" collapsed="false">
      <c r="A265" s="3" t="n">
        <v>46168.7848263889</v>
      </c>
      <c r="B265" s="1" t="s">
        <v>9</v>
      </c>
      <c r="C265" s="1" t="n">
        <v>2422</v>
      </c>
      <c r="D265" s="1" t="n">
        <v>19</v>
      </c>
    </row>
    <row r="266" customFormat="false" ht="15" hidden="false" customHeight="true" outlineLevel="0" collapsed="false">
      <c r="A266" s="3" t="n">
        <v>46168.785150463</v>
      </c>
      <c r="B266" s="1" t="s">
        <v>5</v>
      </c>
      <c r="D266" s="1" t="n">
        <v>16.2</v>
      </c>
    </row>
    <row r="267" customFormat="false" ht="15" hidden="false" customHeight="true" outlineLevel="0" collapsed="false">
      <c r="A267" s="3" t="n">
        <v>46168.785162037</v>
      </c>
      <c r="B267" s="1" t="s">
        <v>6</v>
      </c>
      <c r="C267" s="1" t="n">
        <v>2069</v>
      </c>
      <c r="D267" s="1" t="n">
        <v>43</v>
      </c>
    </row>
    <row r="268" customFormat="false" ht="15" hidden="false" customHeight="true" outlineLevel="0" collapsed="false">
      <c r="A268" s="3" t="n">
        <v>46168.785162037</v>
      </c>
      <c r="B268" s="1" t="s">
        <v>7</v>
      </c>
      <c r="C268" s="1" t="n">
        <v>2432</v>
      </c>
      <c r="D268" s="1" t="n">
        <v>33</v>
      </c>
    </row>
    <row r="269" customFormat="false" ht="15" hidden="false" customHeight="true" outlineLevel="0" collapsed="false">
      <c r="A269" s="3" t="n">
        <v>46168.785162037</v>
      </c>
      <c r="B269" s="1" t="s">
        <v>4</v>
      </c>
      <c r="C269" s="1" t="n">
        <v>2112</v>
      </c>
      <c r="D269" s="1" t="n">
        <v>46</v>
      </c>
    </row>
    <row r="270" customFormat="false" ht="15" hidden="false" customHeight="true" outlineLevel="0" collapsed="false">
      <c r="A270" s="3" t="n">
        <v>46168.785162037</v>
      </c>
      <c r="B270" s="1" t="s">
        <v>8</v>
      </c>
      <c r="C270" s="1" t="n">
        <v>2445</v>
      </c>
      <c r="D270" s="1" t="n">
        <v>32</v>
      </c>
    </row>
    <row r="271" customFormat="false" ht="15" hidden="false" customHeight="true" outlineLevel="0" collapsed="false">
      <c r="A271" s="3" t="n">
        <v>46168.7851736111</v>
      </c>
      <c r="B271" s="1" t="s">
        <v>9</v>
      </c>
      <c r="C271" s="1" t="n">
        <v>2422</v>
      </c>
      <c r="D271" s="1" t="n">
        <v>19</v>
      </c>
    </row>
    <row r="272" customFormat="false" ht="15" hidden="false" customHeight="true" outlineLevel="0" collapsed="false">
      <c r="A272" s="3" t="n">
        <v>46168.7854976852</v>
      </c>
      <c r="B272" s="1" t="s">
        <v>5</v>
      </c>
      <c r="D272" s="1" t="n">
        <v>16.2</v>
      </c>
    </row>
    <row r="273" customFormat="false" ht="15" hidden="false" customHeight="true" outlineLevel="0" collapsed="false">
      <c r="A273" s="3" t="n">
        <v>46168.7855092593</v>
      </c>
      <c r="B273" s="1" t="s">
        <v>6</v>
      </c>
      <c r="C273" s="1" t="n">
        <v>2077</v>
      </c>
      <c r="D273" s="1" t="n">
        <v>43</v>
      </c>
    </row>
    <row r="274" customFormat="false" ht="15" hidden="false" customHeight="true" outlineLevel="0" collapsed="false">
      <c r="A274" s="3" t="n">
        <v>46168.7855092593</v>
      </c>
      <c r="B274" s="1" t="s">
        <v>4</v>
      </c>
      <c r="C274" s="1" t="n">
        <v>2126</v>
      </c>
      <c r="D274" s="1" t="n">
        <v>45</v>
      </c>
    </row>
    <row r="275" customFormat="false" ht="15" hidden="false" customHeight="true" outlineLevel="0" collapsed="false">
      <c r="A275" s="3" t="n">
        <v>46168.7855208333</v>
      </c>
      <c r="B275" s="1" t="s">
        <v>7</v>
      </c>
      <c r="C275" s="1" t="n">
        <v>2434</v>
      </c>
      <c r="D275" s="1" t="n">
        <v>33</v>
      </c>
    </row>
    <row r="276" customFormat="false" ht="15" hidden="false" customHeight="true" outlineLevel="0" collapsed="false">
      <c r="A276" s="3" t="n">
        <v>46168.7855208333</v>
      </c>
      <c r="B276" s="1" t="s">
        <v>8</v>
      </c>
      <c r="C276" s="1" t="n">
        <v>2444</v>
      </c>
      <c r="D276" s="1" t="n">
        <v>32</v>
      </c>
    </row>
    <row r="277" customFormat="false" ht="15" hidden="false" customHeight="true" outlineLevel="0" collapsed="false">
      <c r="A277" s="3" t="n">
        <v>46168.7855208333</v>
      </c>
      <c r="B277" s="1" t="s">
        <v>9</v>
      </c>
      <c r="C277" s="1" t="n">
        <v>2426</v>
      </c>
      <c r="D277" s="1" t="n">
        <v>18</v>
      </c>
    </row>
    <row r="278" customFormat="false" ht="15" hidden="false" customHeight="true" outlineLevel="0" collapsed="false">
      <c r="A278" s="3" t="n">
        <v>46168.7858564815</v>
      </c>
      <c r="B278" s="1" t="s">
        <v>4</v>
      </c>
      <c r="C278" s="1" t="n">
        <v>2124</v>
      </c>
      <c r="D278" s="1" t="n">
        <v>45</v>
      </c>
    </row>
    <row r="279" customFormat="false" ht="15" hidden="false" customHeight="true" outlineLevel="0" collapsed="false">
      <c r="A279" s="3" t="n">
        <v>46168.7858564815</v>
      </c>
      <c r="B279" s="1" t="s">
        <v>5</v>
      </c>
      <c r="D279" s="1" t="n">
        <v>16.2</v>
      </c>
    </row>
    <row r="280" customFormat="false" ht="15" hidden="false" customHeight="true" outlineLevel="0" collapsed="false">
      <c r="A280" s="3" t="n">
        <v>46168.7858680556</v>
      </c>
      <c r="B280" s="1" t="s">
        <v>6</v>
      </c>
      <c r="C280" s="1" t="n">
        <v>2157</v>
      </c>
      <c r="D280" s="1" t="n">
        <v>37</v>
      </c>
    </row>
    <row r="281" customFormat="false" ht="15" hidden="false" customHeight="true" outlineLevel="0" collapsed="false">
      <c r="A281" s="3" t="n">
        <v>46168.7858680556</v>
      </c>
      <c r="B281" s="1" t="s">
        <v>7</v>
      </c>
      <c r="C281" s="1" t="n">
        <v>2434</v>
      </c>
      <c r="D281" s="1" t="n">
        <v>33</v>
      </c>
    </row>
    <row r="282" customFormat="false" ht="15" hidden="false" customHeight="true" outlineLevel="0" collapsed="false">
      <c r="A282" s="3" t="n">
        <v>46168.7858680556</v>
      </c>
      <c r="B282" s="1" t="s">
        <v>8</v>
      </c>
      <c r="C282" s="1" t="n">
        <v>2447</v>
      </c>
      <c r="D282" s="1" t="n">
        <v>31</v>
      </c>
    </row>
    <row r="283" customFormat="false" ht="15" hidden="false" customHeight="true" outlineLevel="0" collapsed="false">
      <c r="A283" s="3" t="n">
        <v>46168.7858680556</v>
      </c>
      <c r="B283" s="1" t="s">
        <v>9</v>
      </c>
      <c r="C283" s="1" t="n">
        <v>2426</v>
      </c>
      <c r="D283" s="1" t="n">
        <v>18</v>
      </c>
    </row>
    <row r="284" customFormat="false" ht="15" hidden="false" customHeight="true" outlineLevel="0" collapsed="false">
      <c r="A284" s="3" t="n">
        <v>46168.7862037037</v>
      </c>
      <c r="B284" s="1" t="s">
        <v>4</v>
      </c>
      <c r="C284" s="1" t="n">
        <v>2102</v>
      </c>
      <c r="D284" s="1" t="n">
        <v>46</v>
      </c>
    </row>
    <row r="285" customFormat="false" ht="15" hidden="false" customHeight="true" outlineLevel="0" collapsed="false">
      <c r="A285" s="3" t="n">
        <v>46168.7862037037</v>
      </c>
      <c r="B285" s="1" t="s">
        <v>5</v>
      </c>
      <c r="D285" s="1" t="n">
        <v>16.2</v>
      </c>
    </row>
    <row r="286" customFormat="false" ht="15" hidden="false" customHeight="true" outlineLevel="0" collapsed="false">
      <c r="A286" s="3" t="n">
        <v>46168.7862152778</v>
      </c>
      <c r="B286" s="1" t="s">
        <v>6</v>
      </c>
      <c r="C286" s="1" t="n">
        <v>2074</v>
      </c>
      <c r="D286" s="1" t="n">
        <v>43</v>
      </c>
    </row>
    <row r="287" customFormat="false" ht="15" hidden="false" customHeight="true" outlineLevel="0" collapsed="false">
      <c r="A287" s="3" t="n">
        <v>46168.7862152778</v>
      </c>
      <c r="B287" s="1" t="s">
        <v>7</v>
      </c>
      <c r="C287" s="1" t="n">
        <v>2439</v>
      </c>
      <c r="D287" s="1" t="n">
        <v>33</v>
      </c>
    </row>
    <row r="288" customFormat="false" ht="15" hidden="false" customHeight="true" outlineLevel="0" collapsed="false">
      <c r="A288" s="3" t="n">
        <v>46168.7862268519</v>
      </c>
      <c r="B288" s="1" t="s">
        <v>8</v>
      </c>
      <c r="C288" s="1" t="n">
        <v>2444</v>
      </c>
      <c r="D288" s="1" t="n">
        <v>32</v>
      </c>
    </row>
    <row r="289" customFormat="false" ht="15" hidden="false" customHeight="true" outlineLevel="0" collapsed="false">
      <c r="A289" s="3" t="n">
        <v>46168.7862268519</v>
      </c>
      <c r="B289" s="1" t="s">
        <v>9</v>
      </c>
      <c r="C289" s="1" t="n">
        <v>2427</v>
      </c>
      <c r="D289" s="1" t="n">
        <v>18</v>
      </c>
    </row>
    <row r="290" customFormat="false" ht="15" hidden="false" customHeight="true" outlineLevel="0" collapsed="false">
      <c r="A290" s="3" t="n">
        <v>46168.7865509259</v>
      </c>
      <c r="B290" s="1" t="s">
        <v>5</v>
      </c>
      <c r="D290" s="1" t="n">
        <v>16.2</v>
      </c>
    </row>
    <row r="291" customFormat="false" ht="15" hidden="false" customHeight="true" outlineLevel="0" collapsed="false">
      <c r="A291" s="3" t="n">
        <v>46168.7865625</v>
      </c>
      <c r="B291" s="1" t="s">
        <v>6</v>
      </c>
      <c r="C291" s="1" t="n">
        <v>2063</v>
      </c>
      <c r="D291" s="1" t="n">
        <v>44</v>
      </c>
    </row>
    <row r="292" customFormat="false" ht="15" hidden="false" customHeight="true" outlineLevel="0" collapsed="false">
      <c r="A292" s="3" t="n">
        <v>46168.7865625</v>
      </c>
      <c r="B292" s="1" t="s">
        <v>7</v>
      </c>
      <c r="C292" s="1" t="n">
        <v>2437</v>
      </c>
      <c r="D292" s="1" t="n">
        <v>33</v>
      </c>
    </row>
    <row r="293" customFormat="false" ht="15" hidden="false" customHeight="true" outlineLevel="0" collapsed="false">
      <c r="A293" s="3" t="n">
        <v>46168.7865625</v>
      </c>
      <c r="B293" s="1" t="s">
        <v>4</v>
      </c>
      <c r="C293" s="1" t="n">
        <v>2112</v>
      </c>
      <c r="D293" s="1" t="n">
        <v>46</v>
      </c>
    </row>
    <row r="294" customFormat="false" ht="15" hidden="false" customHeight="true" outlineLevel="0" collapsed="false">
      <c r="A294" s="3" t="n">
        <v>46168.7865625</v>
      </c>
      <c r="B294" s="1" t="s">
        <v>8</v>
      </c>
      <c r="C294" s="1" t="n">
        <v>2448</v>
      </c>
      <c r="D294" s="1" t="n">
        <v>31</v>
      </c>
    </row>
    <row r="295" customFormat="false" ht="15" hidden="false" customHeight="true" outlineLevel="0" collapsed="false">
      <c r="A295" s="3" t="n">
        <v>46168.7865740741</v>
      </c>
      <c r="B295" s="1" t="s">
        <v>9</v>
      </c>
      <c r="C295" s="1" t="n">
        <v>2429</v>
      </c>
      <c r="D295" s="1" t="n">
        <v>17</v>
      </c>
    </row>
    <row r="296" customFormat="false" ht="15" hidden="false" customHeight="true" outlineLevel="0" collapsed="false">
      <c r="A296" s="3" t="n">
        <v>46168.7869097222</v>
      </c>
      <c r="B296" s="1" t="s">
        <v>6</v>
      </c>
      <c r="C296" s="1" t="n">
        <v>2061</v>
      </c>
      <c r="D296" s="1" t="n">
        <v>44</v>
      </c>
    </row>
    <row r="297" customFormat="false" ht="15" hidden="false" customHeight="true" outlineLevel="0" collapsed="false">
      <c r="A297" s="3" t="n">
        <v>46168.7869097222</v>
      </c>
      <c r="B297" s="1" t="s">
        <v>4</v>
      </c>
      <c r="C297" s="1" t="n">
        <v>2112</v>
      </c>
      <c r="D297" s="1" t="n">
        <v>46</v>
      </c>
    </row>
    <row r="298" customFormat="false" ht="15" hidden="false" customHeight="true" outlineLevel="0" collapsed="false">
      <c r="A298" s="3" t="n">
        <v>46168.7869097222</v>
      </c>
      <c r="B298" s="1" t="s">
        <v>5</v>
      </c>
      <c r="D298" s="1" t="n">
        <v>16.2</v>
      </c>
    </row>
    <row r="299" customFormat="false" ht="15" hidden="false" customHeight="true" outlineLevel="0" collapsed="false">
      <c r="A299" s="3" t="n">
        <v>46168.7869212963</v>
      </c>
      <c r="B299" s="1" t="s">
        <v>7</v>
      </c>
      <c r="C299" s="1" t="n">
        <v>2442</v>
      </c>
      <c r="D299" s="1" t="n">
        <v>32</v>
      </c>
    </row>
    <row r="300" customFormat="false" ht="15" hidden="false" customHeight="true" outlineLevel="0" collapsed="false">
      <c r="A300" s="3" t="n">
        <v>46168.7869212963</v>
      </c>
      <c r="B300" s="1" t="s">
        <v>8</v>
      </c>
      <c r="C300" s="1" t="n">
        <v>2459</v>
      </c>
      <c r="D300" s="1" t="n">
        <v>30</v>
      </c>
    </row>
    <row r="301" customFormat="false" ht="15" hidden="false" customHeight="true" outlineLevel="0" collapsed="false">
      <c r="A301" s="3" t="n">
        <v>46168.7869212963</v>
      </c>
      <c r="B301" s="1" t="s">
        <v>9</v>
      </c>
      <c r="C301" s="1" t="n">
        <v>2426</v>
      </c>
      <c r="D301" s="1" t="n">
        <v>18</v>
      </c>
    </row>
    <row r="302" customFormat="false" ht="15" hidden="false" customHeight="true" outlineLevel="0" collapsed="false">
      <c r="A302" s="3" t="n">
        <v>46168.7872569444</v>
      </c>
      <c r="B302" s="1" t="s">
        <v>4</v>
      </c>
      <c r="C302" s="1" t="n">
        <v>2123</v>
      </c>
      <c r="D302" s="1" t="n">
        <v>45</v>
      </c>
    </row>
    <row r="303" customFormat="false" ht="15" hidden="false" customHeight="true" outlineLevel="0" collapsed="false">
      <c r="A303" s="3" t="n">
        <v>46168.7872569444</v>
      </c>
      <c r="B303" s="1" t="s">
        <v>5</v>
      </c>
      <c r="D303" s="1" t="n">
        <v>16.2</v>
      </c>
    </row>
    <row r="304" customFormat="false" ht="15" hidden="false" customHeight="true" outlineLevel="0" collapsed="false">
      <c r="A304" s="3" t="n">
        <v>46168.7872685185</v>
      </c>
      <c r="B304" s="1" t="s">
        <v>6</v>
      </c>
      <c r="C304" s="1" t="n">
        <v>2078</v>
      </c>
      <c r="D304" s="1" t="n">
        <v>43</v>
      </c>
    </row>
    <row r="305" customFormat="false" ht="15" hidden="false" customHeight="true" outlineLevel="0" collapsed="false">
      <c r="A305" s="3" t="n">
        <v>46168.7872685185</v>
      </c>
      <c r="B305" s="1" t="s">
        <v>7</v>
      </c>
      <c r="C305" s="1" t="n">
        <v>2430</v>
      </c>
      <c r="D305" s="1" t="n">
        <v>34</v>
      </c>
    </row>
    <row r="306" customFormat="false" ht="15" hidden="false" customHeight="true" outlineLevel="0" collapsed="false">
      <c r="A306" s="3" t="n">
        <v>46168.7872685185</v>
      </c>
      <c r="B306" s="1" t="s">
        <v>8</v>
      </c>
      <c r="C306" s="1" t="n">
        <v>2448</v>
      </c>
      <c r="D306" s="1" t="n">
        <v>31</v>
      </c>
    </row>
    <row r="307" customFormat="false" ht="15" hidden="false" customHeight="true" outlineLevel="0" collapsed="false">
      <c r="A307" s="3" t="n">
        <v>46168.7872800926</v>
      </c>
      <c r="B307" s="1" t="s">
        <v>9</v>
      </c>
      <c r="C307" s="1" t="n">
        <v>2431</v>
      </c>
      <c r="D307" s="1" t="n">
        <v>17</v>
      </c>
    </row>
    <row r="308" customFormat="false" ht="15" hidden="false" customHeight="true" outlineLevel="0" collapsed="false">
      <c r="A308" s="3" t="n">
        <v>46168.7876041667</v>
      </c>
      <c r="B308" s="1" t="s">
        <v>5</v>
      </c>
      <c r="D308" s="1" t="n">
        <v>16.2</v>
      </c>
    </row>
    <row r="309" customFormat="false" ht="15" hidden="false" customHeight="true" outlineLevel="0" collapsed="false">
      <c r="A309" s="3" t="n">
        <v>46168.7876157407</v>
      </c>
      <c r="B309" s="1" t="s">
        <v>6</v>
      </c>
      <c r="C309" s="1" t="n">
        <v>2222</v>
      </c>
      <c r="D309" s="1" t="n">
        <v>33</v>
      </c>
    </row>
    <row r="310" customFormat="false" ht="15" hidden="false" customHeight="true" outlineLevel="0" collapsed="false">
      <c r="A310" s="3" t="n">
        <v>46168.7876157407</v>
      </c>
      <c r="B310" s="1" t="s">
        <v>4</v>
      </c>
      <c r="C310" s="1" t="n">
        <v>2112</v>
      </c>
      <c r="D310" s="1" t="n">
        <v>46</v>
      </c>
    </row>
    <row r="311" customFormat="false" ht="15" hidden="false" customHeight="true" outlineLevel="0" collapsed="false">
      <c r="A311" s="3" t="n">
        <v>46168.7876273148</v>
      </c>
      <c r="B311" s="1" t="s">
        <v>7</v>
      </c>
      <c r="C311" s="1" t="n">
        <v>2443</v>
      </c>
      <c r="D311" s="1" t="n">
        <v>32</v>
      </c>
    </row>
    <row r="312" customFormat="false" ht="15" hidden="false" customHeight="true" outlineLevel="0" collapsed="false">
      <c r="A312" s="3" t="n">
        <v>46168.7876273148</v>
      </c>
      <c r="B312" s="1" t="s">
        <v>8</v>
      </c>
      <c r="C312" s="1" t="n">
        <v>2449</v>
      </c>
      <c r="D312" s="1" t="n">
        <v>31</v>
      </c>
    </row>
    <row r="313" customFormat="false" ht="15" hidden="false" customHeight="true" outlineLevel="0" collapsed="false">
      <c r="A313" s="3" t="n">
        <v>46168.7876388889</v>
      </c>
      <c r="B313" s="1" t="s">
        <v>9</v>
      </c>
      <c r="C313" s="1" t="n">
        <v>2434</v>
      </c>
      <c r="D313" s="1" t="n">
        <v>16</v>
      </c>
    </row>
    <row r="314" customFormat="false" ht="15" hidden="false" customHeight="true" outlineLevel="0" collapsed="false">
      <c r="A314" s="3" t="n">
        <v>46168.787962963</v>
      </c>
      <c r="B314" s="1" t="s">
        <v>5</v>
      </c>
      <c r="D314" s="1" t="n">
        <v>16.2</v>
      </c>
    </row>
    <row r="315" customFormat="false" ht="15" hidden="false" customHeight="true" outlineLevel="0" collapsed="false">
      <c r="A315" s="3" t="n">
        <v>46168.787974537</v>
      </c>
      <c r="B315" s="1" t="s">
        <v>6</v>
      </c>
      <c r="C315" s="1" t="n">
        <v>1984</v>
      </c>
      <c r="D315" s="1" t="n">
        <v>49</v>
      </c>
    </row>
    <row r="316" customFormat="false" ht="15" hidden="false" customHeight="true" outlineLevel="0" collapsed="false">
      <c r="A316" s="3" t="n">
        <v>46168.787974537</v>
      </c>
      <c r="B316" s="1" t="s">
        <v>7</v>
      </c>
      <c r="C316" s="1" t="n">
        <v>2443</v>
      </c>
      <c r="D316" s="1" t="n">
        <v>32</v>
      </c>
    </row>
    <row r="317" customFormat="false" ht="15" hidden="false" customHeight="true" outlineLevel="0" collapsed="false">
      <c r="A317" s="3" t="n">
        <v>46168.787974537</v>
      </c>
      <c r="B317" s="1" t="s">
        <v>4</v>
      </c>
      <c r="C317" s="1" t="n">
        <v>2085</v>
      </c>
      <c r="D317" s="1" t="n">
        <v>47</v>
      </c>
    </row>
    <row r="318" customFormat="false" ht="15" hidden="false" customHeight="true" outlineLevel="0" collapsed="false">
      <c r="A318" s="3" t="n">
        <v>46168.7879861111</v>
      </c>
      <c r="B318" s="1" t="s">
        <v>8</v>
      </c>
      <c r="C318" s="1" t="n">
        <v>2448</v>
      </c>
      <c r="D318" s="1" t="n">
        <v>31</v>
      </c>
    </row>
    <row r="319" customFormat="false" ht="15" hidden="false" customHeight="true" outlineLevel="0" collapsed="false">
      <c r="A319" s="3" t="n">
        <v>46168.7879861111</v>
      </c>
      <c r="B319" s="1" t="s">
        <v>9</v>
      </c>
      <c r="C319" s="1" t="n">
        <v>2429</v>
      </c>
      <c r="D319" s="1" t="n">
        <v>17</v>
      </c>
    </row>
    <row r="320" customFormat="false" ht="15" hidden="false" customHeight="true" outlineLevel="0" collapsed="false">
      <c r="A320" s="3" t="n">
        <v>46168.7883217593</v>
      </c>
      <c r="B320" s="1" t="s">
        <v>4</v>
      </c>
      <c r="C320" s="1" t="n">
        <v>2129</v>
      </c>
      <c r="D320" s="1" t="n">
        <v>45</v>
      </c>
    </row>
    <row r="321" customFormat="false" ht="15" hidden="false" customHeight="true" outlineLevel="0" collapsed="false">
      <c r="A321" s="3" t="n">
        <v>46168.7883217593</v>
      </c>
      <c r="B321" s="1" t="s">
        <v>5</v>
      </c>
      <c r="D321" s="1" t="n">
        <v>16.2</v>
      </c>
    </row>
    <row r="322" customFormat="false" ht="15" hidden="false" customHeight="true" outlineLevel="0" collapsed="false">
      <c r="A322" s="3" t="n">
        <v>46168.7883333333</v>
      </c>
      <c r="B322" s="1" t="s">
        <v>6</v>
      </c>
      <c r="C322" s="1" t="n">
        <v>2073</v>
      </c>
      <c r="D322" s="1" t="n">
        <v>43</v>
      </c>
    </row>
    <row r="323" customFormat="false" ht="15" hidden="false" customHeight="true" outlineLevel="0" collapsed="false">
      <c r="A323" s="3" t="n">
        <v>46168.7883333333</v>
      </c>
      <c r="B323" s="1" t="s">
        <v>7</v>
      </c>
      <c r="C323" s="1" t="n">
        <v>2444</v>
      </c>
      <c r="D323" s="1" t="n">
        <v>32</v>
      </c>
    </row>
    <row r="324" customFormat="false" ht="15" hidden="false" customHeight="true" outlineLevel="0" collapsed="false">
      <c r="A324" s="3" t="n">
        <v>46168.7883449074</v>
      </c>
      <c r="B324" s="1" t="s">
        <v>8</v>
      </c>
      <c r="C324" s="1" t="n">
        <v>2454</v>
      </c>
      <c r="D324" s="1" t="n">
        <v>30</v>
      </c>
    </row>
    <row r="325" customFormat="false" ht="15" hidden="false" customHeight="true" outlineLevel="0" collapsed="false">
      <c r="A325" s="3" t="n">
        <v>46168.7883449074</v>
      </c>
      <c r="B325" s="1" t="s">
        <v>9</v>
      </c>
      <c r="C325" s="1" t="n">
        <v>2431</v>
      </c>
      <c r="D325" s="1" t="n">
        <v>17</v>
      </c>
    </row>
    <row r="326" customFormat="false" ht="15" hidden="false" customHeight="true" outlineLevel="0" collapsed="false">
      <c r="A326" s="3" t="n">
        <v>46168.7886805556</v>
      </c>
      <c r="B326" s="1" t="s">
        <v>4</v>
      </c>
      <c r="C326" s="1" t="n">
        <v>2128</v>
      </c>
      <c r="D326" s="1" t="n">
        <v>45</v>
      </c>
    </row>
    <row r="327" customFormat="false" ht="15" hidden="false" customHeight="true" outlineLevel="0" collapsed="false">
      <c r="A327" s="3" t="n">
        <v>46168.7886805556</v>
      </c>
      <c r="B327" s="1" t="s">
        <v>5</v>
      </c>
      <c r="D327" s="1" t="n">
        <v>16.2</v>
      </c>
    </row>
    <row r="328" customFormat="false" ht="15" hidden="false" customHeight="true" outlineLevel="0" collapsed="false">
      <c r="A328" s="3" t="n">
        <v>46168.7886921296</v>
      </c>
      <c r="B328" s="1" t="s">
        <v>6</v>
      </c>
      <c r="C328" s="1" t="n">
        <v>2075</v>
      </c>
      <c r="D328" s="1" t="n">
        <v>43</v>
      </c>
    </row>
    <row r="329" customFormat="false" ht="15" hidden="false" customHeight="true" outlineLevel="0" collapsed="false">
      <c r="A329" s="3" t="n">
        <v>46168.7886921296</v>
      </c>
      <c r="B329" s="1" t="s">
        <v>7</v>
      </c>
      <c r="C329" s="1" t="n">
        <v>2445</v>
      </c>
      <c r="D329" s="1" t="n">
        <v>32</v>
      </c>
    </row>
    <row r="330" customFormat="false" ht="15" hidden="false" customHeight="true" outlineLevel="0" collapsed="false">
      <c r="A330" s="3" t="n">
        <v>46168.7887037037</v>
      </c>
      <c r="B330" s="1" t="s">
        <v>8</v>
      </c>
      <c r="C330" s="1" t="n">
        <v>2450</v>
      </c>
      <c r="D330" s="1" t="n">
        <v>31</v>
      </c>
    </row>
    <row r="331" customFormat="false" ht="15" hidden="false" customHeight="true" outlineLevel="0" collapsed="false">
      <c r="A331" s="3" t="n">
        <v>46168.7887037037</v>
      </c>
      <c r="B331" s="1" t="s">
        <v>9</v>
      </c>
      <c r="C331" s="1" t="n">
        <v>2432</v>
      </c>
      <c r="D331" s="1" t="n">
        <v>17</v>
      </c>
    </row>
    <row r="332" customFormat="false" ht="15" hidden="false" customHeight="true" outlineLevel="0" collapsed="false">
      <c r="A332" s="3" t="n">
        <v>46168.7890277778</v>
      </c>
      <c r="B332" s="1" t="s">
        <v>5</v>
      </c>
      <c r="D332" s="1" t="n">
        <v>16.2</v>
      </c>
    </row>
    <row r="333" customFormat="false" ht="15" hidden="false" customHeight="true" outlineLevel="0" collapsed="false">
      <c r="A333" s="3" t="n">
        <v>46168.7890393519</v>
      </c>
      <c r="B333" s="1" t="s">
        <v>6</v>
      </c>
      <c r="C333" s="1" t="n">
        <v>2073</v>
      </c>
      <c r="D333" s="1" t="n">
        <v>43</v>
      </c>
    </row>
    <row r="334" customFormat="false" ht="15" hidden="false" customHeight="true" outlineLevel="0" collapsed="false">
      <c r="A334" s="3" t="n">
        <v>46168.7890393519</v>
      </c>
      <c r="B334" s="1" t="s">
        <v>4</v>
      </c>
      <c r="C334" s="1" t="n">
        <v>2128</v>
      </c>
      <c r="D334" s="1" t="n">
        <v>45</v>
      </c>
    </row>
    <row r="335" customFormat="false" ht="15" hidden="false" customHeight="true" outlineLevel="0" collapsed="false">
      <c r="A335" s="3" t="n">
        <v>46168.7890509259</v>
      </c>
      <c r="B335" s="1" t="s">
        <v>7</v>
      </c>
      <c r="C335" s="1" t="n">
        <v>2447</v>
      </c>
      <c r="D335" s="1" t="n">
        <v>32</v>
      </c>
    </row>
    <row r="336" customFormat="false" ht="15" hidden="false" customHeight="true" outlineLevel="0" collapsed="false">
      <c r="A336" s="3" t="n">
        <v>46168.7890509259</v>
      </c>
      <c r="B336" s="1" t="s">
        <v>8</v>
      </c>
      <c r="C336" s="1" t="n">
        <v>2449</v>
      </c>
      <c r="D336" s="1" t="n">
        <v>31</v>
      </c>
    </row>
    <row r="337" customFormat="false" ht="15" hidden="false" customHeight="true" outlineLevel="0" collapsed="false">
      <c r="A337" s="3" t="n">
        <v>46168.7890625</v>
      </c>
      <c r="B337" s="1" t="s">
        <v>9</v>
      </c>
      <c r="C337" s="1" t="n">
        <v>2434</v>
      </c>
      <c r="D337" s="1" t="n">
        <v>16</v>
      </c>
    </row>
    <row r="338" customFormat="false" ht="15" hidden="false" customHeight="true" outlineLevel="0" collapsed="false">
      <c r="A338" s="3" t="n">
        <v>46168.789375</v>
      </c>
      <c r="B338" s="1" t="s">
        <v>4</v>
      </c>
      <c r="C338" s="1" t="n">
        <v>2121</v>
      </c>
      <c r="D338" s="1" t="n">
        <v>45</v>
      </c>
    </row>
    <row r="339" customFormat="false" ht="15" hidden="false" customHeight="true" outlineLevel="0" collapsed="false">
      <c r="A339" s="3" t="n">
        <v>46168.789375</v>
      </c>
      <c r="B339" s="1" t="s">
        <v>5</v>
      </c>
      <c r="D339" s="1" t="n">
        <v>16.2</v>
      </c>
    </row>
    <row r="340" customFormat="false" ht="15" hidden="false" customHeight="true" outlineLevel="0" collapsed="false">
      <c r="A340" s="3" t="n">
        <v>46168.7893865741</v>
      </c>
      <c r="B340" s="1" t="s">
        <v>6</v>
      </c>
      <c r="C340" s="1" t="n">
        <v>2087</v>
      </c>
      <c r="D340" s="1" t="n">
        <v>42</v>
      </c>
    </row>
    <row r="341" customFormat="false" ht="15" hidden="false" customHeight="true" outlineLevel="0" collapsed="false">
      <c r="A341" s="3" t="n">
        <v>46168.7893865741</v>
      </c>
      <c r="B341" s="1" t="s">
        <v>7</v>
      </c>
      <c r="C341" s="1" t="n">
        <v>2445</v>
      </c>
      <c r="D341" s="1" t="n">
        <v>32</v>
      </c>
    </row>
    <row r="342" customFormat="false" ht="15" hidden="false" customHeight="true" outlineLevel="0" collapsed="false">
      <c r="A342" s="3" t="n">
        <v>46168.7893981482</v>
      </c>
      <c r="B342" s="1" t="s">
        <v>8</v>
      </c>
      <c r="C342" s="1" t="n">
        <v>2450</v>
      </c>
      <c r="D342" s="1" t="n">
        <v>31</v>
      </c>
    </row>
    <row r="343" customFormat="false" ht="15" hidden="false" customHeight="true" outlineLevel="0" collapsed="false">
      <c r="A343" s="3" t="n">
        <v>46168.7893981482</v>
      </c>
      <c r="B343" s="1" t="s">
        <v>9</v>
      </c>
      <c r="C343" s="1" t="n">
        <v>2432</v>
      </c>
      <c r="D343" s="1" t="n">
        <v>17</v>
      </c>
    </row>
    <row r="344" customFormat="false" ht="15" hidden="false" customHeight="true" outlineLevel="0" collapsed="false">
      <c r="A344" s="3" t="n">
        <v>46168.7897222222</v>
      </c>
      <c r="B344" s="1" t="s">
        <v>6</v>
      </c>
      <c r="C344" s="1" t="n">
        <v>2015</v>
      </c>
      <c r="D344" s="1" t="n">
        <v>47</v>
      </c>
    </row>
    <row r="345" customFormat="false" ht="15" hidden="false" customHeight="true" outlineLevel="0" collapsed="false">
      <c r="A345" s="3" t="n">
        <v>46168.7897222222</v>
      </c>
      <c r="B345" s="1" t="s">
        <v>4</v>
      </c>
      <c r="C345" s="1" t="n">
        <v>2111</v>
      </c>
      <c r="D345" s="1" t="n">
        <v>46</v>
      </c>
    </row>
    <row r="346" customFormat="false" ht="15" hidden="false" customHeight="true" outlineLevel="0" collapsed="false">
      <c r="A346" s="3" t="n">
        <v>46168.7897222222</v>
      </c>
      <c r="B346" s="1" t="s">
        <v>5</v>
      </c>
      <c r="D346" s="1" t="n">
        <v>16.2</v>
      </c>
    </row>
    <row r="347" customFormat="false" ht="15" hidden="false" customHeight="true" outlineLevel="0" collapsed="false">
      <c r="A347" s="3" t="n">
        <v>46168.7897337963</v>
      </c>
      <c r="B347" s="1" t="s">
        <v>7</v>
      </c>
      <c r="C347" s="1" t="n">
        <v>2447</v>
      </c>
      <c r="D347" s="1" t="n">
        <v>32</v>
      </c>
    </row>
    <row r="348" customFormat="false" ht="15" hidden="false" customHeight="true" outlineLevel="0" collapsed="false">
      <c r="A348" s="3" t="n">
        <v>46168.7897337963</v>
      </c>
      <c r="B348" s="1" t="s">
        <v>8</v>
      </c>
      <c r="C348" s="1" t="n">
        <v>2451</v>
      </c>
      <c r="D348" s="1" t="n">
        <v>31</v>
      </c>
    </row>
    <row r="349" customFormat="false" ht="15" hidden="false" customHeight="true" outlineLevel="0" collapsed="false">
      <c r="A349" s="3" t="n">
        <v>46168.7897453704</v>
      </c>
      <c r="B349" s="1" t="s">
        <v>9</v>
      </c>
      <c r="C349" s="1" t="n">
        <v>2435</v>
      </c>
      <c r="D349" s="1" t="n">
        <v>16</v>
      </c>
    </row>
    <row r="350" customFormat="false" ht="15" hidden="false" customHeight="true" outlineLevel="0" collapsed="false">
      <c r="A350" s="3" t="n">
        <v>46168.7900810185</v>
      </c>
      <c r="B350" s="1" t="s">
        <v>6</v>
      </c>
      <c r="C350" s="1" t="n">
        <v>2085</v>
      </c>
      <c r="D350" s="1" t="n">
        <v>42</v>
      </c>
    </row>
    <row r="351" customFormat="false" ht="15" hidden="false" customHeight="true" outlineLevel="0" collapsed="false">
      <c r="A351" s="3" t="n">
        <v>46168.7900810185</v>
      </c>
      <c r="B351" s="1" t="s">
        <v>4</v>
      </c>
      <c r="C351" s="1" t="n">
        <v>2119</v>
      </c>
      <c r="D351" s="1" t="n">
        <v>45</v>
      </c>
    </row>
    <row r="352" customFormat="false" ht="15" hidden="false" customHeight="true" outlineLevel="0" collapsed="false">
      <c r="A352" s="3" t="n">
        <v>46168.7900810185</v>
      </c>
      <c r="B352" s="1" t="s">
        <v>5</v>
      </c>
      <c r="D352" s="1" t="n">
        <v>16.2</v>
      </c>
    </row>
    <row r="353" customFormat="false" ht="15" hidden="false" customHeight="true" outlineLevel="0" collapsed="false">
      <c r="A353" s="3" t="n">
        <v>46168.7900925926</v>
      </c>
      <c r="B353" s="1" t="s">
        <v>7</v>
      </c>
      <c r="C353" s="1" t="n">
        <v>2445</v>
      </c>
      <c r="D353" s="1" t="n">
        <v>32</v>
      </c>
    </row>
    <row r="354" customFormat="false" ht="15" hidden="false" customHeight="true" outlineLevel="0" collapsed="false">
      <c r="A354" s="3" t="n">
        <v>46168.7900925926</v>
      </c>
      <c r="B354" s="1" t="s">
        <v>8</v>
      </c>
      <c r="C354" s="1" t="n">
        <v>2448</v>
      </c>
      <c r="D354" s="1" t="n">
        <v>31</v>
      </c>
    </row>
    <row r="355" customFormat="false" ht="15" hidden="false" customHeight="true" outlineLevel="0" collapsed="false">
      <c r="A355" s="3" t="n">
        <v>46168.7900925926</v>
      </c>
      <c r="B355" s="1" t="s">
        <v>9</v>
      </c>
      <c r="C355" s="1" t="n">
        <v>2435</v>
      </c>
      <c r="D355" s="1" t="n">
        <v>16</v>
      </c>
    </row>
    <row r="356" customFormat="false" ht="15" hidden="false" customHeight="true" outlineLevel="0" collapsed="false">
      <c r="A356" s="3" t="n">
        <v>46168.7904282407</v>
      </c>
      <c r="B356" s="1" t="s">
        <v>4</v>
      </c>
      <c r="C356" s="1" t="n">
        <v>2121</v>
      </c>
      <c r="D356" s="1" t="n">
        <v>45</v>
      </c>
    </row>
    <row r="357" customFormat="false" ht="15" hidden="false" customHeight="true" outlineLevel="0" collapsed="false">
      <c r="A357" s="3" t="n">
        <v>46168.7904282407</v>
      </c>
      <c r="B357" s="1" t="s">
        <v>5</v>
      </c>
      <c r="D357" s="1" t="n">
        <v>16.2</v>
      </c>
    </row>
    <row r="358" customFormat="false" ht="15" hidden="false" customHeight="true" outlineLevel="0" collapsed="false">
      <c r="A358" s="3" t="n">
        <v>46168.7904398148</v>
      </c>
      <c r="B358" s="1" t="s">
        <v>6</v>
      </c>
      <c r="C358" s="1" t="n">
        <v>2066</v>
      </c>
      <c r="D358" s="1" t="n">
        <v>43</v>
      </c>
    </row>
    <row r="359" customFormat="false" ht="15" hidden="false" customHeight="true" outlineLevel="0" collapsed="false">
      <c r="A359" s="3" t="n">
        <v>46168.7904398148</v>
      </c>
      <c r="B359" s="1" t="s">
        <v>7</v>
      </c>
      <c r="C359" s="1" t="n">
        <v>2448</v>
      </c>
      <c r="D359" s="1" t="n">
        <v>32</v>
      </c>
    </row>
    <row r="360" customFormat="false" ht="15" hidden="false" customHeight="true" outlineLevel="0" collapsed="false">
      <c r="A360" s="3" t="n">
        <v>46168.7904398148</v>
      </c>
      <c r="B360" s="1" t="s">
        <v>8</v>
      </c>
      <c r="C360" s="1" t="n">
        <v>2454</v>
      </c>
      <c r="D360" s="1" t="n">
        <v>30</v>
      </c>
    </row>
    <row r="361" customFormat="false" ht="15" hidden="false" customHeight="true" outlineLevel="0" collapsed="false">
      <c r="A361" s="3" t="n">
        <v>46168.7904513889</v>
      </c>
      <c r="B361" s="1" t="s">
        <v>9</v>
      </c>
      <c r="C361" s="1" t="n">
        <v>2430</v>
      </c>
      <c r="D361" s="1" t="n">
        <v>17</v>
      </c>
    </row>
    <row r="362" customFormat="false" ht="15" hidden="false" customHeight="true" outlineLevel="0" collapsed="false">
      <c r="A362" s="3" t="n">
        <v>46168.790775463</v>
      </c>
      <c r="B362" s="1" t="s">
        <v>5</v>
      </c>
      <c r="D362" s="1" t="n">
        <v>16.2</v>
      </c>
    </row>
    <row r="363" customFormat="false" ht="15" hidden="false" customHeight="true" outlineLevel="0" collapsed="false">
      <c r="A363" s="3" t="n">
        <v>46168.790787037</v>
      </c>
      <c r="B363" s="1" t="s">
        <v>6</v>
      </c>
      <c r="C363" s="1" t="n">
        <v>2027</v>
      </c>
      <c r="D363" s="1" t="n">
        <v>46</v>
      </c>
    </row>
    <row r="364" customFormat="false" ht="15" hidden="false" customHeight="true" outlineLevel="0" collapsed="false">
      <c r="A364" s="3" t="n">
        <v>46168.790787037</v>
      </c>
      <c r="B364" s="1" t="s">
        <v>4</v>
      </c>
      <c r="C364" s="1" t="n">
        <v>2121</v>
      </c>
      <c r="D364" s="1" t="n">
        <v>45</v>
      </c>
    </row>
    <row r="365" customFormat="false" ht="15" hidden="false" customHeight="true" outlineLevel="0" collapsed="false">
      <c r="A365" s="3" t="n">
        <v>46168.7907986111</v>
      </c>
      <c r="B365" s="1" t="s">
        <v>7</v>
      </c>
      <c r="C365" s="1" t="n">
        <v>2449</v>
      </c>
      <c r="D365" s="1" t="n">
        <v>32</v>
      </c>
    </row>
    <row r="366" customFormat="false" ht="15" hidden="false" customHeight="true" outlineLevel="0" collapsed="false">
      <c r="A366" s="3" t="n">
        <v>46168.7907986111</v>
      </c>
      <c r="B366" s="1" t="s">
        <v>8</v>
      </c>
      <c r="C366" s="1" t="n">
        <v>2457</v>
      </c>
      <c r="D366" s="1" t="n">
        <v>30</v>
      </c>
    </row>
    <row r="367" customFormat="false" ht="15" hidden="false" customHeight="true" outlineLevel="0" collapsed="false">
      <c r="A367" s="3" t="n">
        <v>46168.7907986111</v>
      </c>
      <c r="B367" s="1" t="s">
        <v>9</v>
      </c>
      <c r="C367" s="1" t="n">
        <v>2443</v>
      </c>
      <c r="D367" s="1" t="n">
        <v>15</v>
      </c>
    </row>
    <row r="368" customFormat="false" ht="15" hidden="false" customHeight="true" outlineLevel="0" collapsed="false">
      <c r="A368" s="3" t="n">
        <v>46168.7911342593</v>
      </c>
      <c r="B368" s="1" t="s">
        <v>5</v>
      </c>
      <c r="D368" s="1" t="n">
        <v>16.2</v>
      </c>
    </row>
    <row r="369" customFormat="false" ht="15" hidden="false" customHeight="true" outlineLevel="0" collapsed="false">
      <c r="A369" s="3" t="n">
        <v>46168.7911458333</v>
      </c>
      <c r="B369" s="1" t="s">
        <v>6</v>
      </c>
      <c r="C369" s="1" t="n">
        <v>2079</v>
      </c>
      <c r="D369" s="1" t="n">
        <v>42</v>
      </c>
    </row>
    <row r="370" customFormat="false" ht="15" hidden="false" customHeight="true" outlineLevel="0" collapsed="false">
      <c r="A370" s="3" t="n">
        <v>46168.7911458333</v>
      </c>
      <c r="B370" s="1" t="s">
        <v>7</v>
      </c>
      <c r="C370" s="1" t="n">
        <v>2449</v>
      </c>
      <c r="D370" s="1" t="n">
        <v>32</v>
      </c>
    </row>
    <row r="371" customFormat="false" ht="15" hidden="false" customHeight="true" outlineLevel="0" collapsed="false">
      <c r="A371" s="3" t="n">
        <v>46168.7911458333</v>
      </c>
      <c r="B371" s="1" t="s">
        <v>4</v>
      </c>
      <c r="C371" s="1" t="n">
        <v>2101</v>
      </c>
      <c r="D371" s="1" t="n">
        <v>46</v>
      </c>
    </row>
    <row r="372" customFormat="false" ht="15" hidden="false" customHeight="true" outlineLevel="0" collapsed="false">
      <c r="A372" s="3" t="n">
        <v>46168.7911458333</v>
      </c>
      <c r="B372" s="1" t="s">
        <v>8</v>
      </c>
      <c r="C372" s="1" t="n">
        <v>2455</v>
      </c>
      <c r="D372" s="1" t="n">
        <v>30</v>
      </c>
    </row>
    <row r="373" customFormat="false" ht="15" hidden="false" customHeight="true" outlineLevel="0" collapsed="false">
      <c r="A373" s="3" t="n">
        <v>46168.7911574074</v>
      </c>
      <c r="B373" s="1" t="s">
        <v>9</v>
      </c>
      <c r="C373" s="1" t="n">
        <v>2433</v>
      </c>
      <c r="D373" s="1" t="n">
        <v>17</v>
      </c>
    </row>
    <row r="374" customFormat="false" ht="15" hidden="false" customHeight="true" outlineLevel="0" collapsed="false">
      <c r="A374" s="3" t="n">
        <v>46168.7914814815</v>
      </c>
      <c r="B374" s="1" t="s">
        <v>5</v>
      </c>
      <c r="D374" s="1" t="n">
        <v>16.2</v>
      </c>
    </row>
    <row r="375" customFormat="false" ht="15" hidden="false" customHeight="true" outlineLevel="0" collapsed="false">
      <c r="A375" s="3" t="n">
        <v>46168.7914930556</v>
      </c>
      <c r="B375" s="1" t="s">
        <v>6</v>
      </c>
      <c r="C375" s="1" t="n">
        <v>2074</v>
      </c>
      <c r="D375" s="1" t="n">
        <v>43</v>
      </c>
    </row>
    <row r="376" customFormat="false" ht="15" hidden="false" customHeight="true" outlineLevel="0" collapsed="false">
      <c r="A376" s="3" t="n">
        <v>46168.7914930556</v>
      </c>
      <c r="B376" s="1" t="s">
        <v>7</v>
      </c>
      <c r="C376" s="1" t="n">
        <v>2450</v>
      </c>
      <c r="D376" s="1" t="n">
        <v>32</v>
      </c>
    </row>
    <row r="377" customFormat="false" ht="15" hidden="false" customHeight="true" outlineLevel="0" collapsed="false">
      <c r="A377" s="3" t="n">
        <v>46168.7914930556</v>
      </c>
      <c r="B377" s="1" t="s">
        <v>4</v>
      </c>
      <c r="C377" s="1" t="n">
        <v>2121</v>
      </c>
      <c r="D377" s="1" t="n">
        <v>45</v>
      </c>
    </row>
    <row r="378" customFormat="false" ht="15" hidden="false" customHeight="true" outlineLevel="0" collapsed="false">
      <c r="A378" s="3" t="n">
        <v>46168.7915046296</v>
      </c>
      <c r="B378" s="1" t="s">
        <v>8</v>
      </c>
      <c r="C378" s="1" t="n">
        <v>2450</v>
      </c>
      <c r="D378" s="1" t="n">
        <v>31</v>
      </c>
    </row>
    <row r="379" customFormat="false" ht="15" hidden="false" customHeight="true" outlineLevel="0" collapsed="false">
      <c r="A379" s="3" t="n">
        <v>46168.7915046296</v>
      </c>
      <c r="B379" s="1" t="s">
        <v>9</v>
      </c>
      <c r="C379" s="1" t="n">
        <v>2435</v>
      </c>
      <c r="D379" s="1" t="n">
        <v>16</v>
      </c>
    </row>
    <row r="380" customFormat="false" ht="15" hidden="false" customHeight="true" outlineLevel="0" collapsed="false">
      <c r="A380" s="3" t="n">
        <v>46168.7918402778</v>
      </c>
      <c r="B380" s="1" t="s">
        <v>6</v>
      </c>
      <c r="C380" s="1" t="n">
        <v>2076</v>
      </c>
      <c r="D380" s="1" t="n">
        <v>43</v>
      </c>
    </row>
    <row r="381" customFormat="false" ht="15" hidden="false" customHeight="true" outlineLevel="0" collapsed="false">
      <c r="A381" s="3" t="n">
        <v>46168.7918402778</v>
      </c>
      <c r="B381" s="1" t="s">
        <v>4</v>
      </c>
      <c r="C381" s="1" t="n">
        <v>2101</v>
      </c>
      <c r="D381" s="1" t="n">
        <v>46</v>
      </c>
    </row>
    <row r="382" customFormat="false" ht="15" hidden="false" customHeight="true" outlineLevel="0" collapsed="false">
      <c r="A382" s="3" t="n">
        <v>46168.7918402778</v>
      </c>
      <c r="B382" s="1" t="s">
        <v>5</v>
      </c>
      <c r="D382" s="1" t="n">
        <v>16.2</v>
      </c>
    </row>
    <row r="383" customFormat="false" ht="15" hidden="false" customHeight="true" outlineLevel="0" collapsed="false">
      <c r="A383" s="3" t="n">
        <v>46168.7918518519</v>
      </c>
      <c r="B383" s="1" t="s">
        <v>7</v>
      </c>
      <c r="C383" s="1" t="n">
        <v>2450</v>
      </c>
      <c r="D383" s="1" t="n">
        <v>32</v>
      </c>
    </row>
    <row r="384" customFormat="false" ht="15" hidden="false" customHeight="true" outlineLevel="0" collapsed="false">
      <c r="A384" s="3" t="n">
        <v>46168.7918518519</v>
      </c>
      <c r="B384" s="1" t="s">
        <v>8</v>
      </c>
      <c r="C384" s="1" t="n">
        <v>2463</v>
      </c>
      <c r="D384" s="1" t="n">
        <v>29</v>
      </c>
    </row>
    <row r="385" customFormat="false" ht="15" hidden="false" customHeight="true" outlineLevel="0" collapsed="false">
      <c r="A385" s="3" t="n">
        <v>46168.791875</v>
      </c>
      <c r="B385" s="1" t="s">
        <v>9</v>
      </c>
      <c r="C385" s="1" t="n">
        <v>2435</v>
      </c>
      <c r="D385" s="1" t="n">
        <v>16</v>
      </c>
    </row>
    <row r="386" customFormat="false" ht="15" hidden="false" customHeight="true" outlineLevel="0" collapsed="false">
      <c r="A386" s="3" t="n">
        <v>46168.7921875</v>
      </c>
      <c r="B386" s="1" t="s">
        <v>6</v>
      </c>
      <c r="C386" s="1" t="n">
        <v>2096</v>
      </c>
      <c r="D386" s="1" t="n">
        <v>41</v>
      </c>
    </row>
    <row r="387" customFormat="false" ht="15" hidden="false" customHeight="true" outlineLevel="0" collapsed="false">
      <c r="A387" s="3" t="n">
        <v>46168.7921875</v>
      </c>
      <c r="B387" s="1" t="s">
        <v>4</v>
      </c>
      <c r="C387" s="1" t="n">
        <v>2130</v>
      </c>
      <c r="D387" s="1" t="n">
        <v>45</v>
      </c>
    </row>
    <row r="388" customFormat="false" ht="15" hidden="false" customHeight="true" outlineLevel="0" collapsed="false">
      <c r="A388" s="3" t="n">
        <v>46168.7921875</v>
      </c>
      <c r="B388" s="1" t="s">
        <v>5</v>
      </c>
      <c r="D388" s="1" t="n">
        <v>16.2</v>
      </c>
    </row>
    <row r="389" customFormat="false" ht="15" hidden="false" customHeight="true" outlineLevel="0" collapsed="false">
      <c r="A389" s="3" t="n">
        <v>46168.7921990741</v>
      </c>
      <c r="B389" s="1" t="s">
        <v>7</v>
      </c>
      <c r="C389" s="1" t="n">
        <v>2448</v>
      </c>
      <c r="D389" s="1" t="n">
        <v>32</v>
      </c>
    </row>
    <row r="390" customFormat="false" ht="15" hidden="false" customHeight="true" outlineLevel="0" collapsed="false">
      <c r="A390" s="3" t="n">
        <v>46168.7921990741</v>
      </c>
      <c r="B390" s="1" t="s">
        <v>8</v>
      </c>
      <c r="C390" s="1" t="n">
        <v>2458</v>
      </c>
      <c r="D390" s="1" t="n">
        <v>30</v>
      </c>
    </row>
    <row r="391" customFormat="false" ht="15" hidden="false" customHeight="true" outlineLevel="0" collapsed="false">
      <c r="A391" s="3" t="n">
        <v>46168.7921990741</v>
      </c>
      <c r="B391" s="1" t="s">
        <v>9</v>
      </c>
      <c r="C391" s="1" t="n">
        <v>2426</v>
      </c>
      <c r="D391" s="1" t="n">
        <v>18</v>
      </c>
    </row>
    <row r="392" customFormat="false" ht="15" hidden="false" customHeight="true" outlineLevel="0" collapsed="false">
      <c r="A392" s="3" t="n">
        <v>46168.7925347222</v>
      </c>
      <c r="B392" s="1" t="s">
        <v>4</v>
      </c>
      <c r="C392" s="1" t="n">
        <v>2119</v>
      </c>
      <c r="D392" s="1" t="n">
        <v>45</v>
      </c>
    </row>
    <row r="393" customFormat="false" ht="15" hidden="false" customHeight="true" outlineLevel="0" collapsed="false">
      <c r="A393" s="3" t="n">
        <v>46168.7925347222</v>
      </c>
      <c r="B393" s="1" t="s">
        <v>5</v>
      </c>
      <c r="D393" s="1" t="n">
        <v>16.2</v>
      </c>
    </row>
    <row r="394" customFormat="false" ht="15" hidden="false" customHeight="true" outlineLevel="0" collapsed="false">
      <c r="A394" s="3" t="n">
        <v>46168.7925462963</v>
      </c>
      <c r="B394" s="1" t="s">
        <v>6</v>
      </c>
      <c r="C394" s="1" t="n">
        <v>2065</v>
      </c>
      <c r="D394" s="1" t="n">
        <v>43</v>
      </c>
    </row>
    <row r="395" customFormat="false" ht="15" hidden="false" customHeight="true" outlineLevel="0" collapsed="false">
      <c r="A395" s="3" t="n">
        <v>46168.7925578704</v>
      </c>
      <c r="B395" s="1" t="s">
        <v>7</v>
      </c>
      <c r="C395" s="1" t="n">
        <v>2451</v>
      </c>
      <c r="D395" s="1" t="n">
        <v>32</v>
      </c>
    </row>
    <row r="396" customFormat="false" ht="15" hidden="false" customHeight="true" outlineLevel="0" collapsed="false">
      <c r="A396" s="3" t="n">
        <v>46168.7925578704</v>
      </c>
      <c r="B396" s="1" t="s">
        <v>8</v>
      </c>
      <c r="C396" s="1" t="n">
        <v>2461</v>
      </c>
      <c r="D396" s="1" t="n">
        <v>30</v>
      </c>
    </row>
    <row r="397" customFormat="false" ht="15" hidden="false" customHeight="true" outlineLevel="0" collapsed="false">
      <c r="A397" s="3" t="n">
        <v>46168.7925578704</v>
      </c>
      <c r="B397" s="1" t="s">
        <v>9</v>
      </c>
      <c r="C397" s="1" t="n">
        <v>2443</v>
      </c>
      <c r="D397" s="1" t="n">
        <v>15</v>
      </c>
    </row>
    <row r="398" customFormat="false" ht="15" hidden="false" customHeight="true" outlineLevel="0" collapsed="false">
      <c r="A398" s="3" t="n">
        <v>46168.7978009259</v>
      </c>
      <c r="B398" s="1" t="s">
        <v>4</v>
      </c>
      <c r="C398" s="1" t="n">
        <v>2111</v>
      </c>
      <c r="D398" s="1" t="n">
        <v>46</v>
      </c>
    </row>
    <row r="399" customFormat="false" ht="15" hidden="false" customHeight="true" outlineLevel="0" collapsed="false">
      <c r="A399" s="3" t="n">
        <v>46168.7978009259</v>
      </c>
      <c r="B399" s="1" t="s">
        <v>5</v>
      </c>
      <c r="D399" s="1" t="n">
        <v>16.2</v>
      </c>
    </row>
    <row r="400" customFormat="false" ht="15" hidden="false" customHeight="true" outlineLevel="0" collapsed="false">
      <c r="A400" s="3" t="n">
        <v>46168.7978125</v>
      </c>
      <c r="B400" s="1" t="s">
        <v>6</v>
      </c>
      <c r="C400" s="1" t="n">
        <v>2068</v>
      </c>
      <c r="D400" s="1" t="n">
        <v>43</v>
      </c>
    </row>
    <row r="401" customFormat="false" ht="15" hidden="false" customHeight="true" outlineLevel="0" collapsed="false">
      <c r="A401" s="3" t="n">
        <v>46168.7978125</v>
      </c>
      <c r="B401" s="1" t="s">
        <v>7</v>
      </c>
      <c r="C401" s="1" t="n">
        <v>2463</v>
      </c>
      <c r="D401" s="1" t="n">
        <v>30</v>
      </c>
    </row>
    <row r="402" customFormat="false" ht="15" hidden="false" customHeight="true" outlineLevel="0" collapsed="false">
      <c r="A402" s="3" t="n">
        <v>46168.7978125</v>
      </c>
      <c r="B402" s="1" t="s">
        <v>8</v>
      </c>
      <c r="C402" s="1" t="n">
        <v>2466</v>
      </c>
      <c r="D402" s="1" t="n">
        <v>29</v>
      </c>
    </row>
    <row r="403" customFormat="false" ht="15" hidden="false" customHeight="true" outlineLevel="0" collapsed="false">
      <c r="A403" s="3" t="n">
        <v>46168.7978240741</v>
      </c>
      <c r="B403" s="1" t="s">
        <v>9</v>
      </c>
      <c r="C403" s="1" t="n">
        <v>2442</v>
      </c>
      <c r="D403" s="1" t="n">
        <v>15</v>
      </c>
    </row>
    <row r="404" customFormat="false" ht="15" hidden="false" customHeight="true" outlineLevel="0" collapsed="false">
      <c r="A404" s="3" t="n">
        <v>46168.7981365741</v>
      </c>
      <c r="B404" s="1" t="s">
        <v>4</v>
      </c>
      <c r="C404" s="1" t="n">
        <v>2112</v>
      </c>
      <c r="D404" s="1" t="n">
        <v>46</v>
      </c>
    </row>
    <row r="405" customFormat="false" ht="15" hidden="false" customHeight="true" outlineLevel="0" collapsed="false">
      <c r="A405" s="3" t="n">
        <v>46168.7981365741</v>
      </c>
      <c r="B405" s="1" t="s">
        <v>5</v>
      </c>
      <c r="D405" s="1" t="n">
        <v>16.2</v>
      </c>
    </row>
    <row r="406" customFormat="false" ht="15" hidden="false" customHeight="true" outlineLevel="0" collapsed="false">
      <c r="A406" s="3" t="n">
        <v>46168.7981481482</v>
      </c>
      <c r="B406" s="1" t="s">
        <v>6</v>
      </c>
      <c r="C406" s="1" t="n">
        <v>2068</v>
      </c>
      <c r="D406" s="1" t="n">
        <v>43</v>
      </c>
    </row>
    <row r="407" customFormat="false" ht="15" hidden="false" customHeight="true" outlineLevel="0" collapsed="false">
      <c r="A407" s="3" t="n">
        <v>46168.7981597222</v>
      </c>
      <c r="B407" s="1" t="s">
        <v>7</v>
      </c>
      <c r="C407" s="1" t="n">
        <v>2462</v>
      </c>
      <c r="D407" s="1" t="n">
        <v>31</v>
      </c>
    </row>
    <row r="408" customFormat="false" ht="15" hidden="false" customHeight="true" outlineLevel="0" collapsed="false">
      <c r="A408" s="3" t="n">
        <v>46168.7981597222</v>
      </c>
      <c r="B408" s="1" t="s">
        <v>8</v>
      </c>
      <c r="C408" s="1" t="n">
        <v>2469</v>
      </c>
      <c r="D408" s="1" t="n">
        <v>29</v>
      </c>
    </row>
    <row r="409" customFormat="false" ht="15" hidden="false" customHeight="true" outlineLevel="0" collapsed="false">
      <c r="A409" s="3" t="n">
        <v>46168.7981597222</v>
      </c>
      <c r="B409" s="1" t="s">
        <v>9</v>
      </c>
      <c r="C409" s="1" t="n">
        <v>2439</v>
      </c>
      <c r="D409" s="1" t="n">
        <v>16</v>
      </c>
    </row>
    <row r="410" customFormat="false" ht="15" hidden="false" customHeight="true" outlineLevel="0" collapsed="false">
      <c r="A410" s="3" t="n">
        <v>46168.7984953704</v>
      </c>
      <c r="B410" s="1" t="s">
        <v>6</v>
      </c>
      <c r="C410" s="1" t="n">
        <v>2071</v>
      </c>
      <c r="D410" s="1" t="n">
        <v>43</v>
      </c>
    </row>
    <row r="411" customFormat="false" ht="15" hidden="false" customHeight="true" outlineLevel="0" collapsed="false">
      <c r="A411" s="3" t="n">
        <v>46168.7984953704</v>
      </c>
      <c r="B411" s="1" t="s">
        <v>7</v>
      </c>
      <c r="C411" s="1" t="n">
        <v>2464</v>
      </c>
      <c r="D411" s="1" t="n">
        <v>30</v>
      </c>
    </row>
    <row r="412" customFormat="false" ht="15" hidden="false" customHeight="true" outlineLevel="0" collapsed="false">
      <c r="A412" s="3" t="n">
        <v>46168.7984953704</v>
      </c>
      <c r="B412" s="1" t="s">
        <v>4</v>
      </c>
      <c r="C412" s="1" t="n">
        <v>2112</v>
      </c>
      <c r="D412" s="1" t="n">
        <v>46</v>
      </c>
    </row>
    <row r="413" customFormat="false" ht="15" hidden="false" customHeight="true" outlineLevel="0" collapsed="false">
      <c r="A413" s="3" t="n">
        <v>46168.7984953704</v>
      </c>
      <c r="B413" s="1" t="s">
        <v>5</v>
      </c>
      <c r="D413" s="1" t="n">
        <v>16.2</v>
      </c>
    </row>
    <row r="414" customFormat="false" ht="15" hidden="false" customHeight="true" outlineLevel="0" collapsed="false">
      <c r="A414" s="3" t="n">
        <v>46168.7985069445</v>
      </c>
      <c r="B414" s="1" t="s">
        <v>8</v>
      </c>
      <c r="C414" s="1" t="n">
        <v>2469</v>
      </c>
      <c r="D414" s="1" t="n">
        <v>29</v>
      </c>
    </row>
    <row r="415" customFormat="false" ht="15" hidden="false" customHeight="true" outlineLevel="0" collapsed="false">
      <c r="A415" s="3" t="n">
        <v>46168.7985069445</v>
      </c>
      <c r="B415" s="1" t="s">
        <v>9</v>
      </c>
      <c r="C415" s="1" t="n">
        <v>2442</v>
      </c>
      <c r="D415" s="1" t="n">
        <v>15</v>
      </c>
    </row>
    <row r="416" customFormat="false" ht="15" hidden="false" customHeight="true" outlineLevel="0" collapsed="false">
      <c r="A416" s="3" t="n">
        <v>46168.7988425926</v>
      </c>
      <c r="B416" s="1" t="s">
        <v>5</v>
      </c>
      <c r="D416" s="1" t="n">
        <v>16.2</v>
      </c>
    </row>
    <row r="417" customFormat="false" ht="15" hidden="false" customHeight="true" outlineLevel="0" collapsed="false">
      <c r="A417" s="3" t="n">
        <v>46168.7991898148</v>
      </c>
      <c r="B417" s="1" t="s">
        <v>6</v>
      </c>
      <c r="C417" s="1" t="n">
        <v>2065</v>
      </c>
      <c r="D417" s="1" t="n">
        <v>43</v>
      </c>
    </row>
    <row r="418" customFormat="false" ht="15" hidden="false" customHeight="true" outlineLevel="0" collapsed="false">
      <c r="A418" s="3" t="n">
        <v>46168.7991898148</v>
      </c>
      <c r="B418" s="1" t="s">
        <v>4</v>
      </c>
      <c r="C418" s="1" t="n">
        <v>2107</v>
      </c>
      <c r="D418" s="1" t="n">
        <v>46</v>
      </c>
    </row>
    <row r="419" customFormat="false" ht="15" hidden="false" customHeight="true" outlineLevel="0" collapsed="false">
      <c r="A419" s="3" t="n">
        <v>46168.7991898148</v>
      </c>
      <c r="B419" s="1" t="s">
        <v>5</v>
      </c>
      <c r="D419" s="1" t="n">
        <v>0</v>
      </c>
    </row>
    <row r="420" customFormat="false" ht="15" hidden="false" customHeight="true" outlineLevel="0" collapsed="false">
      <c r="A420" s="3" t="n">
        <v>46168.7992013889</v>
      </c>
      <c r="B420" s="1" t="s">
        <v>7</v>
      </c>
      <c r="C420" s="1" t="n">
        <v>2454</v>
      </c>
      <c r="D420" s="1" t="n">
        <v>31</v>
      </c>
    </row>
    <row r="421" customFormat="false" ht="15" hidden="false" customHeight="true" outlineLevel="0" collapsed="false">
      <c r="A421" s="3" t="n">
        <v>46168.7992013889</v>
      </c>
      <c r="B421" s="1" t="s">
        <v>8</v>
      </c>
      <c r="C421" s="1" t="n">
        <v>2471</v>
      </c>
      <c r="D421" s="1" t="n">
        <v>28</v>
      </c>
    </row>
    <row r="422" customFormat="false" ht="15" hidden="false" customHeight="true" outlineLevel="0" collapsed="false">
      <c r="A422" s="3" t="n">
        <v>46168.7992013889</v>
      </c>
      <c r="B422" s="1" t="s">
        <v>9</v>
      </c>
      <c r="C422" s="1" t="n">
        <v>4095</v>
      </c>
      <c r="D422" s="1" t="n">
        <v>0</v>
      </c>
    </row>
    <row r="423" customFormat="false" ht="15" hidden="false" customHeight="true" outlineLevel="0" collapsed="false">
      <c r="A423" s="3" t="n">
        <v>46168.799537037</v>
      </c>
      <c r="B423" s="1" t="s">
        <v>5</v>
      </c>
      <c r="D423" s="1" t="n">
        <v>0</v>
      </c>
    </row>
    <row r="424" customFormat="false" ht="15" hidden="false" customHeight="true" outlineLevel="0" collapsed="false">
      <c r="A424" s="3" t="n">
        <v>46168.7995486111</v>
      </c>
      <c r="B424" s="1" t="s">
        <v>6</v>
      </c>
      <c r="C424" s="1" t="n">
        <v>2619</v>
      </c>
      <c r="D424" s="1" t="n">
        <v>7</v>
      </c>
    </row>
    <row r="425" customFormat="false" ht="15" hidden="false" customHeight="true" outlineLevel="0" collapsed="false">
      <c r="A425" s="3" t="n">
        <v>46168.7995486111</v>
      </c>
      <c r="B425" s="1" t="s">
        <v>4</v>
      </c>
      <c r="C425" s="1" t="n">
        <v>2650</v>
      </c>
      <c r="D425" s="1" t="n">
        <v>10</v>
      </c>
    </row>
    <row r="426" customFormat="false" ht="15" hidden="false" customHeight="true" outlineLevel="0" collapsed="false">
      <c r="A426" s="3" t="n">
        <v>46168.7995601852</v>
      </c>
      <c r="B426" s="1" t="s">
        <v>7</v>
      </c>
      <c r="C426" s="1" t="n">
        <v>4095</v>
      </c>
      <c r="D426" s="1" t="n">
        <v>0</v>
      </c>
    </row>
    <row r="427" customFormat="false" ht="15" hidden="false" customHeight="true" outlineLevel="0" collapsed="false">
      <c r="A427" s="3" t="n">
        <v>46168.7995601852</v>
      </c>
      <c r="B427" s="1" t="s">
        <v>8</v>
      </c>
      <c r="C427" s="1" t="n">
        <v>4095</v>
      </c>
      <c r="D427" s="1" t="n">
        <v>0</v>
      </c>
    </row>
    <row r="428" customFormat="false" ht="15" hidden="false" customHeight="true" outlineLevel="0" collapsed="false">
      <c r="A428" s="3" t="n">
        <v>46168.7995601852</v>
      </c>
      <c r="B428" s="1" t="s">
        <v>9</v>
      </c>
      <c r="C428" s="1" t="n">
        <v>4095</v>
      </c>
      <c r="D428" s="1" t="n">
        <v>0</v>
      </c>
    </row>
    <row r="429" customFormat="false" ht="15" hidden="false" customHeight="true" outlineLevel="0" collapsed="false">
      <c r="A429" s="3" t="n">
        <v>46168.7998958333</v>
      </c>
      <c r="B429" s="1" t="s">
        <v>5</v>
      </c>
      <c r="D429" s="1" t="n">
        <v>0</v>
      </c>
    </row>
    <row r="430" customFormat="false" ht="15" hidden="false" customHeight="true" outlineLevel="0" collapsed="false">
      <c r="A430" s="3" t="n">
        <v>46168.7999074074</v>
      </c>
      <c r="B430" s="1" t="s">
        <v>6</v>
      </c>
      <c r="C430" s="1" t="n">
        <v>2594</v>
      </c>
      <c r="D430" s="1" t="n">
        <v>9</v>
      </c>
    </row>
    <row r="431" customFormat="false" ht="15" hidden="false" customHeight="true" outlineLevel="0" collapsed="false">
      <c r="A431" s="3" t="n">
        <v>46168.7999074074</v>
      </c>
      <c r="B431" s="1" t="s">
        <v>4</v>
      </c>
      <c r="C431" s="1" t="n">
        <v>2624</v>
      </c>
      <c r="D431" s="1" t="n">
        <v>12</v>
      </c>
    </row>
    <row r="432" customFormat="false" ht="15" hidden="false" customHeight="true" outlineLevel="0" collapsed="false">
      <c r="A432" s="3" t="n">
        <v>46168.7999189815</v>
      </c>
      <c r="B432" s="1" t="s">
        <v>7</v>
      </c>
      <c r="C432" s="1" t="n">
        <v>4095</v>
      </c>
      <c r="D432" s="1" t="n">
        <v>0</v>
      </c>
    </row>
    <row r="433" customFormat="false" ht="15" hidden="false" customHeight="true" outlineLevel="0" collapsed="false">
      <c r="A433" s="3" t="n">
        <v>46168.7999305556</v>
      </c>
      <c r="B433" s="1" t="s">
        <v>8</v>
      </c>
      <c r="C433" s="1" t="n">
        <v>4095</v>
      </c>
      <c r="D433" s="1" t="n">
        <v>0</v>
      </c>
    </row>
    <row r="434" customFormat="false" ht="15" hidden="false" customHeight="true" outlineLevel="0" collapsed="false">
      <c r="A434" s="3" t="n">
        <v>46168.7999421296</v>
      </c>
      <c r="B434" s="1" t="s">
        <v>9</v>
      </c>
      <c r="C434" s="1" t="n">
        <v>4095</v>
      </c>
      <c r="D434" s="1" t="n">
        <v>0</v>
      </c>
    </row>
    <row r="435" customFormat="false" ht="15" hidden="false" customHeight="true" outlineLevel="0" collapsed="false">
      <c r="A435" s="3" t="n">
        <v>46168.8002430556</v>
      </c>
      <c r="B435" s="1" t="s">
        <v>5</v>
      </c>
      <c r="D435" s="1" t="n">
        <v>0</v>
      </c>
    </row>
    <row r="436" customFormat="false" ht="15" hidden="false" customHeight="true" outlineLevel="0" collapsed="false">
      <c r="A436" s="3" t="n">
        <v>46168.8002546296</v>
      </c>
      <c r="B436" s="1" t="s">
        <v>6</v>
      </c>
      <c r="C436" s="1" t="n">
        <v>2607</v>
      </c>
      <c r="D436" s="1" t="n">
        <v>8</v>
      </c>
    </row>
    <row r="437" customFormat="false" ht="15" hidden="false" customHeight="true" outlineLevel="0" collapsed="false">
      <c r="A437" s="3" t="n">
        <v>46168.8002546296</v>
      </c>
      <c r="B437" s="1" t="s">
        <v>4</v>
      </c>
      <c r="C437" s="1" t="n">
        <v>2637</v>
      </c>
      <c r="D437" s="1" t="n">
        <v>11</v>
      </c>
    </row>
    <row r="438" customFormat="false" ht="15" hidden="false" customHeight="true" outlineLevel="0" collapsed="false">
      <c r="A438" s="3" t="n">
        <v>46168.8002662037</v>
      </c>
      <c r="B438" s="1" t="s">
        <v>7</v>
      </c>
      <c r="C438" s="1" t="n">
        <v>4095</v>
      </c>
      <c r="D438" s="1" t="n">
        <v>0</v>
      </c>
    </row>
    <row r="439" customFormat="false" ht="15" hidden="false" customHeight="true" outlineLevel="0" collapsed="false">
      <c r="A439" s="3" t="n">
        <v>46168.8002662037</v>
      </c>
      <c r="B439" s="1" t="s">
        <v>8</v>
      </c>
      <c r="C439" s="1" t="n">
        <v>4095</v>
      </c>
      <c r="D439" s="1" t="n">
        <v>0</v>
      </c>
    </row>
    <row r="440" customFormat="false" ht="15" hidden="false" customHeight="true" outlineLevel="0" collapsed="false">
      <c r="A440" s="3" t="n">
        <v>46168.8002662037</v>
      </c>
      <c r="B440" s="1" t="s">
        <v>9</v>
      </c>
      <c r="C440" s="1" t="n">
        <v>4095</v>
      </c>
      <c r="D440" s="1" t="n">
        <v>0</v>
      </c>
    </row>
    <row r="441" customFormat="false" ht="15" hidden="false" customHeight="true" outlineLevel="0" collapsed="false">
      <c r="A441" s="3" t="n">
        <v>46168.8006018519</v>
      </c>
      <c r="B441" s="1" t="s">
        <v>4</v>
      </c>
      <c r="C441" s="1" t="n">
        <v>2626</v>
      </c>
      <c r="D441" s="1" t="n">
        <v>12</v>
      </c>
    </row>
    <row r="442" customFormat="false" ht="15" hidden="false" customHeight="true" outlineLevel="0" collapsed="false">
      <c r="A442" s="3" t="n">
        <v>46168.8006018519</v>
      </c>
      <c r="B442" s="1" t="s">
        <v>5</v>
      </c>
      <c r="D442" s="1" t="n">
        <v>0</v>
      </c>
    </row>
    <row r="443" customFormat="false" ht="15" hidden="false" customHeight="true" outlineLevel="0" collapsed="false">
      <c r="A443" s="3" t="n">
        <v>46168.8006134259</v>
      </c>
      <c r="B443" s="1" t="s">
        <v>6</v>
      </c>
      <c r="C443" s="1" t="n">
        <v>2639</v>
      </c>
      <c r="D443" s="1" t="n">
        <v>6</v>
      </c>
    </row>
    <row r="444" customFormat="false" ht="15" hidden="false" customHeight="true" outlineLevel="0" collapsed="false">
      <c r="A444" s="3" t="n">
        <v>46168.8006134259</v>
      </c>
      <c r="B444" s="1" t="s">
        <v>7</v>
      </c>
      <c r="C444" s="1" t="n">
        <v>4095</v>
      </c>
      <c r="D444" s="1" t="n">
        <v>0</v>
      </c>
    </row>
    <row r="445" customFormat="false" ht="15" hidden="false" customHeight="true" outlineLevel="0" collapsed="false">
      <c r="A445" s="3" t="n">
        <v>46168.8006134259</v>
      </c>
      <c r="B445" s="1" t="s">
        <v>8</v>
      </c>
      <c r="C445" s="1" t="n">
        <v>4095</v>
      </c>
      <c r="D445" s="1" t="n">
        <v>0</v>
      </c>
    </row>
    <row r="446" customFormat="false" ht="15" hidden="false" customHeight="true" outlineLevel="0" collapsed="false">
      <c r="A446" s="3" t="n">
        <v>46168.8006134259</v>
      </c>
      <c r="B446" s="1" t="s">
        <v>9</v>
      </c>
      <c r="C446" s="1" t="n">
        <v>4095</v>
      </c>
      <c r="D446" s="1" t="n">
        <v>0</v>
      </c>
    </row>
    <row r="447" customFormat="false" ht="15" hidden="false" customHeight="true" outlineLevel="0" collapsed="false">
      <c r="A447" s="3" t="n">
        <v>46168.8009490741</v>
      </c>
      <c r="B447" s="1" t="s">
        <v>6</v>
      </c>
      <c r="C447" s="1" t="n">
        <v>2602</v>
      </c>
      <c r="D447" s="1" t="n">
        <v>8</v>
      </c>
    </row>
    <row r="448" customFormat="false" ht="15" hidden="false" customHeight="true" outlineLevel="0" collapsed="false">
      <c r="A448" s="3" t="n">
        <v>46168.8009490741</v>
      </c>
      <c r="B448" s="1" t="s">
        <v>4</v>
      </c>
      <c r="C448" s="1" t="n">
        <v>2667</v>
      </c>
      <c r="D448" s="1" t="n">
        <v>9</v>
      </c>
    </row>
    <row r="449" customFormat="false" ht="15" hidden="false" customHeight="true" outlineLevel="0" collapsed="false">
      <c r="A449" s="3" t="n">
        <v>46168.8009490741</v>
      </c>
      <c r="B449" s="1" t="s">
        <v>5</v>
      </c>
      <c r="D449" s="1" t="n">
        <v>0</v>
      </c>
    </row>
    <row r="450" customFormat="false" ht="15" hidden="false" customHeight="true" outlineLevel="0" collapsed="false">
      <c r="A450" s="3" t="n">
        <v>46168.8009606482</v>
      </c>
      <c r="B450" s="1" t="s">
        <v>7</v>
      </c>
      <c r="C450" s="1" t="n">
        <v>4095</v>
      </c>
      <c r="D450" s="1" t="n">
        <v>0</v>
      </c>
    </row>
    <row r="451" customFormat="false" ht="15" hidden="false" customHeight="true" outlineLevel="0" collapsed="false">
      <c r="A451" s="3" t="n">
        <v>46168.8009606482</v>
      </c>
      <c r="B451" s="1" t="s">
        <v>8</v>
      </c>
      <c r="C451" s="1" t="n">
        <v>4095</v>
      </c>
      <c r="D451" s="1" t="n">
        <v>0</v>
      </c>
    </row>
    <row r="452" customFormat="false" ht="15" hidden="false" customHeight="true" outlineLevel="0" collapsed="false">
      <c r="A452" s="3" t="n">
        <v>46168.8009606482</v>
      </c>
      <c r="B452" s="1" t="s">
        <v>9</v>
      </c>
      <c r="C452" s="1" t="n">
        <v>4095</v>
      </c>
      <c r="D452" s="1" t="n">
        <v>0</v>
      </c>
    </row>
    <row r="453" customFormat="false" ht="15" hidden="false" customHeight="true" outlineLevel="0" collapsed="false">
      <c r="A453" s="3" t="n">
        <v>46168.8012962963</v>
      </c>
      <c r="B453" s="1" t="s">
        <v>6</v>
      </c>
      <c r="C453" s="1" t="n">
        <v>2642</v>
      </c>
      <c r="D453" s="1" t="n">
        <v>5</v>
      </c>
    </row>
    <row r="454" customFormat="false" ht="15" hidden="false" customHeight="true" outlineLevel="0" collapsed="false">
      <c r="A454" s="3" t="n">
        <v>46168.8012962963</v>
      </c>
      <c r="B454" s="1" t="s">
        <v>4</v>
      </c>
      <c r="C454" s="1" t="n">
        <v>2636</v>
      </c>
      <c r="D454" s="1" t="n">
        <v>11</v>
      </c>
    </row>
    <row r="455" customFormat="false" ht="15" hidden="false" customHeight="true" outlineLevel="0" collapsed="false">
      <c r="A455" s="3" t="n">
        <v>46168.8012962963</v>
      </c>
      <c r="B455" s="1" t="s">
        <v>5</v>
      </c>
      <c r="D455" s="1" t="n">
        <v>0</v>
      </c>
    </row>
    <row r="456" customFormat="false" ht="15" hidden="false" customHeight="true" outlineLevel="0" collapsed="false">
      <c r="A456" s="3" t="n">
        <v>46168.8013078704</v>
      </c>
      <c r="B456" s="1" t="s">
        <v>7</v>
      </c>
      <c r="C456" s="1" t="n">
        <v>4095</v>
      </c>
      <c r="D456" s="1" t="n">
        <v>0</v>
      </c>
    </row>
    <row r="457" customFormat="false" ht="15" hidden="false" customHeight="true" outlineLevel="0" collapsed="false">
      <c r="A457" s="3" t="n">
        <v>46168.8013078704</v>
      </c>
      <c r="B457" s="1" t="s">
        <v>8</v>
      </c>
      <c r="C457" s="1" t="n">
        <v>4095</v>
      </c>
      <c r="D457" s="1" t="n">
        <v>0</v>
      </c>
    </row>
    <row r="458" customFormat="false" ht="15" hidden="false" customHeight="true" outlineLevel="0" collapsed="false">
      <c r="A458" s="3" t="n">
        <v>46168.8013078704</v>
      </c>
      <c r="B458" s="1" t="s">
        <v>9</v>
      </c>
      <c r="C458" s="1" t="n">
        <v>4095</v>
      </c>
      <c r="D458" s="1" t="n">
        <v>0</v>
      </c>
    </row>
    <row r="459" customFormat="false" ht="15" hidden="false" customHeight="true" outlineLevel="0" collapsed="false">
      <c r="A459" s="3" t="n">
        <v>46168.8016435185</v>
      </c>
      <c r="B459" s="1" t="s">
        <v>6</v>
      </c>
      <c r="C459" s="1" t="n">
        <v>2604</v>
      </c>
      <c r="D459" s="1" t="n">
        <v>8</v>
      </c>
    </row>
    <row r="460" customFormat="false" ht="15" hidden="false" customHeight="true" outlineLevel="0" collapsed="false">
      <c r="A460" s="3" t="n">
        <v>46168.8016435185</v>
      </c>
      <c r="B460" s="1" t="s">
        <v>4</v>
      </c>
      <c r="C460" s="1" t="n">
        <v>2628</v>
      </c>
      <c r="D460" s="1" t="n">
        <v>12</v>
      </c>
    </row>
    <row r="461" customFormat="false" ht="15" hidden="false" customHeight="true" outlineLevel="0" collapsed="false">
      <c r="A461" s="3" t="n">
        <v>46168.8016435185</v>
      </c>
      <c r="B461" s="1" t="s">
        <v>5</v>
      </c>
      <c r="D461" s="1" t="n">
        <v>15.4</v>
      </c>
    </row>
    <row r="462" customFormat="false" ht="15" hidden="false" customHeight="true" outlineLevel="0" collapsed="false">
      <c r="A462" s="3" t="n">
        <v>46168.8016550926</v>
      </c>
      <c r="B462" s="1" t="s">
        <v>7</v>
      </c>
      <c r="C462" s="1" t="n">
        <v>4095</v>
      </c>
      <c r="D462" s="1" t="n">
        <v>0</v>
      </c>
    </row>
    <row r="463" customFormat="false" ht="15" hidden="false" customHeight="true" outlineLevel="0" collapsed="false">
      <c r="A463" s="3" t="n">
        <v>46168.8016550926</v>
      </c>
      <c r="B463" s="1" t="s">
        <v>8</v>
      </c>
      <c r="C463" s="1" t="n">
        <v>4095</v>
      </c>
      <c r="D463" s="1" t="n">
        <v>0</v>
      </c>
    </row>
    <row r="464" customFormat="false" ht="15" hidden="false" customHeight="true" outlineLevel="0" collapsed="false">
      <c r="A464" s="3" t="n">
        <v>46168.8016666667</v>
      </c>
      <c r="B464" s="1" t="s">
        <v>9</v>
      </c>
      <c r="C464" s="1" t="n">
        <v>4095</v>
      </c>
      <c r="D464" s="1" t="n">
        <v>0</v>
      </c>
    </row>
    <row r="465" customFormat="false" ht="15" hidden="false" customHeight="true" outlineLevel="0" collapsed="false">
      <c r="A465" s="3" t="n">
        <v>46168.8019907407</v>
      </c>
      <c r="B465" s="1" t="s">
        <v>5</v>
      </c>
      <c r="D465" s="1" t="n">
        <v>15.9</v>
      </c>
    </row>
    <row r="466" customFormat="false" ht="15" hidden="false" customHeight="true" outlineLevel="0" collapsed="false">
      <c r="A466" s="3" t="n">
        <v>46168.8020023148</v>
      </c>
      <c r="B466" s="1" t="s">
        <v>6</v>
      </c>
      <c r="C466" s="1" t="n">
        <v>1939</v>
      </c>
      <c r="D466" s="1" t="n">
        <v>52</v>
      </c>
    </row>
    <row r="467" customFormat="false" ht="15" hidden="false" customHeight="true" outlineLevel="0" collapsed="false">
      <c r="A467" s="3" t="n">
        <v>46168.8020023148</v>
      </c>
      <c r="B467" s="1" t="s">
        <v>7</v>
      </c>
      <c r="C467" s="1" t="n">
        <v>2398</v>
      </c>
      <c r="D467" s="1" t="n">
        <v>37</v>
      </c>
    </row>
    <row r="468" customFormat="false" ht="15" hidden="false" customHeight="true" outlineLevel="0" collapsed="false">
      <c r="A468" s="3" t="n">
        <v>46168.8020023148</v>
      </c>
      <c r="B468" s="1" t="s">
        <v>4</v>
      </c>
      <c r="C468" s="1" t="n">
        <v>2151</v>
      </c>
      <c r="D468" s="1" t="n">
        <v>43</v>
      </c>
    </row>
    <row r="469" customFormat="false" ht="15" hidden="false" customHeight="true" outlineLevel="0" collapsed="false">
      <c r="A469" s="3" t="n">
        <v>46168.8020138889</v>
      </c>
      <c r="B469" s="1" t="s">
        <v>8</v>
      </c>
      <c r="C469" s="1" t="n">
        <v>2250</v>
      </c>
      <c r="D469" s="1" t="n">
        <v>55</v>
      </c>
    </row>
    <row r="470" customFormat="false" ht="15" hidden="false" customHeight="true" outlineLevel="0" collapsed="false">
      <c r="A470" s="3" t="n">
        <v>46168.8020138889</v>
      </c>
      <c r="B470" s="1" t="s">
        <v>9</v>
      </c>
      <c r="C470" s="1" t="n">
        <v>2352</v>
      </c>
      <c r="D470" s="1" t="n">
        <v>31</v>
      </c>
    </row>
    <row r="471" customFormat="false" ht="15" hidden="false" customHeight="true" outlineLevel="0" collapsed="false">
      <c r="A471" s="3" t="n">
        <v>46168.802337963</v>
      </c>
      <c r="B471" s="1" t="s">
        <v>5</v>
      </c>
      <c r="D471" s="1" t="n">
        <v>16</v>
      </c>
    </row>
    <row r="472" customFormat="false" ht="15" hidden="false" customHeight="true" outlineLevel="0" collapsed="false">
      <c r="A472" s="3" t="n">
        <v>46168.802349537</v>
      </c>
      <c r="B472" s="1" t="s">
        <v>6</v>
      </c>
      <c r="C472" s="1" t="n">
        <v>1933</v>
      </c>
      <c r="D472" s="1" t="n">
        <v>52</v>
      </c>
    </row>
    <row r="473" customFormat="false" ht="15" hidden="false" customHeight="true" outlineLevel="0" collapsed="false">
      <c r="A473" s="3" t="n">
        <v>46168.802349537</v>
      </c>
      <c r="B473" s="1" t="s">
        <v>7</v>
      </c>
      <c r="C473" s="1" t="n">
        <v>2447</v>
      </c>
      <c r="D473" s="1" t="n">
        <v>32</v>
      </c>
    </row>
    <row r="474" customFormat="false" ht="15" hidden="false" customHeight="true" outlineLevel="0" collapsed="false">
      <c r="A474" s="3" t="n">
        <v>46168.802349537</v>
      </c>
      <c r="B474" s="1" t="s">
        <v>4</v>
      </c>
      <c r="C474" s="1" t="n">
        <v>2169</v>
      </c>
      <c r="D474" s="1" t="n">
        <v>42</v>
      </c>
    </row>
    <row r="475" customFormat="false" ht="15" hidden="false" customHeight="true" outlineLevel="0" collapsed="false">
      <c r="A475" s="3" t="n">
        <v>46168.8023611111</v>
      </c>
      <c r="B475" s="1" t="s">
        <v>8</v>
      </c>
      <c r="C475" s="1" t="n">
        <v>2435</v>
      </c>
      <c r="D475" s="1" t="n">
        <v>33</v>
      </c>
    </row>
    <row r="476" customFormat="false" ht="15" hidden="false" customHeight="true" outlineLevel="0" collapsed="false">
      <c r="A476" s="3" t="n">
        <v>46168.8023611111</v>
      </c>
      <c r="B476" s="1" t="s">
        <v>9</v>
      </c>
      <c r="C476" s="1" t="n">
        <v>2393</v>
      </c>
      <c r="D476" s="1" t="n">
        <v>24</v>
      </c>
    </row>
    <row r="477" customFormat="false" ht="15" hidden="false" customHeight="true" outlineLevel="0" collapsed="false">
      <c r="A477" s="3" t="n">
        <v>46168.8026851852</v>
      </c>
      <c r="B477" s="1" t="s">
        <v>5</v>
      </c>
      <c r="D477" s="1" t="n">
        <v>16</v>
      </c>
    </row>
    <row r="478" customFormat="false" ht="15" hidden="false" customHeight="true" outlineLevel="0" collapsed="false">
      <c r="A478" s="3" t="n">
        <v>46168.8026967593</v>
      </c>
      <c r="B478" s="1" t="s">
        <v>6</v>
      </c>
      <c r="C478" s="1" t="n">
        <v>1903</v>
      </c>
      <c r="D478" s="1" t="n">
        <v>54</v>
      </c>
    </row>
    <row r="479" customFormat="false" ht="15" hidden="false" customHeight="true" outlineLevel="0" collapsed="false">
      <c r="A479" s="3" t="n">
        <v>46168.8026967593</v>
      </c>
      <c r="B479" s="1" t="s">
        <v>7</v>
      </c>
      <c r="C479" s="1" t="n">
        <v>2467</v>
      </c>
      <c r="D479" s="1" t="n">
        <v>30</v>
      </c>
    </row>
    <row r="480" customFormat="false" ht="15" hidden="false" customHeight="true" outlineLevel="0" collapsed="false">
      <c r="A480" s="3" t="n">
        <v>46168.8026967593</v>
      </c>
      <c r="B480" s="1" t="s">
        <v>4</v>
      </c>
      <c r="C480" s="1" t="n">
        <v>2151</v>
      </c>
      <c r="D480" s="1" t="n">
        <v>43</v>
      </c>
    </row>
    <row r="481" customFormat="false" ht="15" hidden="false" customHeight="true" outlineLevel="0" collapsed="false">
      <c r="A481" s="3" t="n">
        <v>46168.8027083333</v>
      </c>
      <c r="B481" s="1" t="s">
        <v>8</v>
      </c>
      <c r="C481" s="1" t="n">
        <v>2465</v>
      </c>
      <c r="D481" s="1" t="n">
        <v>29</v>
      </c>
    </row>
    <row r="482" customFormat="false" ht="15" hidden="false" customHeight="true" outlineLevel="0" collapsed="false">
      <c r="A482" s="3" t="n">
        <v>46168.8027083333</v>
      </c>
      <c r="B482" s="1" t="s">
        <v>9</v>
      </c>
      <c r="C482" s="1" t="n">
        <v>2414</v>
      </c>
      <c r="D482" s="1" t="n">
        <v>20</v>
      </c>
    </row>
    <row r="483" customFormat="false" ht="15" hidden="false" customHeight="true" outlineLevel="0" collapsed="false">
      <c r="A483" s="3" t="n">
        <v>46168.8030439815</v>
      </c>
      <c r="B483" s="1" t="s">
        <v>4</v>
      </c>
      <c r="C483" s="1" t="n">
        <v>2160</v>
      </c>
      <c r="D483" s="1" t="n">
        <v>43</v>
      </c>
    </row>
    <row r="484" customFormat="false" ht="15" hidden="false" customHeight="true" outlineLevel="0" collapsed="false">
      <c r="A484" s="3" t="n">
        <v>46168.8030439815</v>
      </c>
      <c r="B484" s="1" t="s">
        <v>5</v>
      </c>
      <c r="D484" s="1" t="n">
        <v>16</v>
      </c>
    </row>
    <row r="485" customFormat="false" ht="15" hidden="false" customHeight="true" outlineLevel="0" collapsed="false">
      <c r="A485" s="3" t="n">
        <v>46168.8030555556</v>
      </c>
      <c r="B485" s="1" t="s">
        <v>6</v>
      </c>
      <c r="C485" s="1" t="n">
        <v>1991</v>
      </c>
      <c r="D485" s="1" t="n">
        <v>48</v>
      </c>
    </row>
    <row r="486" customFormat="false" ht="15" hidden="false" customHeight="true" outlineLevel="0" collapsed="false">
      <c r="A486" s="3" t="n">
        <v>46168.8030555556</v>
      </c>
      <c r="B486" s="1" t="s">
        <v>7</v>
      </c>
      <c r="C486" s="1" t="n">
        <v>2479</v>
      </c>
      <c r="D486" s="1" t="n">
        <v>29</v>
      </c>
    </row>
    <row r="487" customFormat="false" ht="15" hidden="false" customHeight="true" outlineLevel="0" collapsed="false">
      <c r="A487" s="3" t="n">
        <v>46168.8030555556</v>
      </c>
      <c r="B487" s="1" t="s">
        <v>8</v>
      </c>
      <c r="C487" s="1" t="n">
        <v>2480</v>
      </c>
      <c r="D487" s="1" t="n">
        <v>27</v>
      </c>
    </row>
    <row r="488" customFormat="false" ht="15" hidden="false" customHeight="true" outlineLevel="0" collapsed="false">
      <c r="A488" s="3" t="n">
        <v>46168.8030671296</v>
      </c>
      <c r="B488" s="1" t="s">
        <v>9</v>
      </c>
      <c r="C488" s="1" t="n">
        <v>2425</v>
      </c>
      <c r="D488" s="1" t="n">
        <v>18</v>
      </c>
    </row>
    <row r="489" customFormat="false" ht="15" hidden="false" customHeight="true" outlineLevel="0" collapsed="false">
      <c r="A489" s="3" t="n">
        <v>46168.8034027778</v>
      </c>
      <c r="B489" s="1" t="s">
        <v>6</v>
      </c>
      <c r="C489" s="1" t="n">
        <v>1928</v>
      </c>
      <c r="D489" s="1" t="n">
        <v>52</v>
      </c>
    </row>
    <row r="490" customFormat="false" ht="15" hidden="false" customHeight="true" outlineLevel="0" collapsed="false">
      <c r="A490" s="3" t="n">
        <v>46168.8034027778</v>
      </c>
      <c r="B490" s="1" t="s">
        <v>4</v>
      </c>
      <c r="C490" s="1" t="n">
        <v>2155</v>
      </c>
      <c r="D490" s="1" t="n">
        <v>43</v>
      </c>
    </row>
    <row r="491" customFormat="false" ht="15" hidden="false" customHeight="true" outlineLevel="0" collapsed="false">
      <c r="A491" s="3" t="n">
        <v>46168.8034027778</v>
      </c>
      <c r="B491" s="1" t="s">
        <v>5</v>
      </c>
      <c r="D491" s="1" t="n">
        <v>16</v>
      </c>
    </row>
    <row r="492" customFormat="false" ht="15" hidden="false" customHeight="true" outlineLevel="0" collapsed="false">
      <c r="A492" s="3" t="n">
        <v>46168.8034143519</v>
      </c>
      <c r="B492" s="1" t="s">
        <v>7</v>
      </c>
      <c r="C492" s="1" t="n">
        <v>2490</v>
      </c>
      <c r="D492" s="1" t="n">
        <v>28</v>
      </c>
    </row>
    <row r="493" customFormat="false" ht="15" hidden="false" customHeight="true" outlineLevel="0" collapsed="false">
      <c r="A493" s="3" t="n">
        <v>46168.8034143519</v>
      </c>
      <c r="B493" s="1" t="s">
        <v>8</v>
      </c>
      <c r="C493" s="1" t="n">
        <v>2489</v>
      </c>
      <c r="D493" s="1" t="n">
        <v>26</v>
      </c>
    </row>
    <row r="494" customFormat="false" ht="15" hidden="false" customHeight="true" outlineLevel="0" collapsed="false">
      <c r="A494" s="3" t="n">
        <v>46168.8034259259</v>
      </c>
      <c r="B494" s="1" t="s">
        <v>9</v>
      </c>
      <c r="C494" s="1" t="n">
        <v>2432</v>
      </c>
      <c r="D494" s="1" t="n">
        <v>17</v>
      </c>
    </row>
    <row r="495" customFormat="false" ht="15" hidden="false" customHeight="true" outlineLevel="0" collapsed="false">
      <c r="A495" s="3" t="n">
        <v>46168.80375</v>
      </c>
      <c r="B495" s="1" t="s">
        <v>4</v>
      </c>
      <c r="C495" s="1" t="n">
        <v>2140</v>
      </c>
      <c r="D495" s="1" t="n">
        <v>44</v>
      </c>
    </row>
    <row r="496" customFormat="false" ht="15" hidden="false" customHeight="true" outlineLevel="0" collapsed="false">
      <c r="A496" s="3" t="n">
        <v>46168.80375</v>
      </c>
      <c r="B496" s="1" t="s">
        <v>5</v>
      </c>
      <c r="D496" s="1" t="n">
        <v>8</v>
      </c>
    </row>
    <row r="497" customFormat="false" ht="15" hidden="false" customHeight="true" outlineLevel="0" collapsed="false">
      <c r="A497" s="3" t="n">
        <v>46168.8037615741</v>
      </c>
      <c r="B497" s="1" t="s">
        <v>6</v>
      </c>
      <c r="C497" s="1" t="n">
        <v>1924</v>
      </c>
      <c r="D497" s="1" t="n">
        <v>53</v>
      </c>
    </row>
    <row r="498" customFormat="false" ht="15" hidden="false" customHeight="true" outlineLevel="0" collapsed="false">
      <c r="A498" s="3" t="n">
        <v>46168.8037615741</v>
      </c>
      <c r="B498" s="1" t="s">
        <v>7</v>
      </c>
      <c r="C498" s="1" t="n">
        <v>2496</v>
      </c>
      <c r="D498" s="1" t="n">
        <v>27</v>
      </c>
    </row>
    <row r="499" customFormat="false" ht="15" hidden="false" customHeight="true" outlineLevel="0" collapsed="false">
      <c r="A499" s="3" t="n">
        <v>46168.8037615741</v>
      </c>
      <c r="B499" s="1" t="s">
        <v>8</v>
      </c>
      <c r="C499" s="1" t="n">
        <v>2493</v>
      </c>
      <c r="D499" s="1" t="n">
        <v>26</v>
      </c>
    </row>
    <row r="500" customFormat="false" ht="15" hidden="false" customHeight="true" outlineLevel="0" collapsed="false">
      <c r="A500" s="3" t="n">
        <v>46168.8037731482</v>
      </c>
      <c r="B500" s="1" t="s">
        <v>9</v>
      </c>
      <c r="C500" s="1" t="n">
        <v>2431</v>
      </c>
      <c r="D500" s="1" t="n">
        <v>17</v>
      </c>
    </row>
    <row r="501" customFormat="false" ht="15" hidden="false" customHeight="true" outlineLevel="0" collapsed="false">
      <c r="A501" s="3" t="n">
        <v>46168.8040972222</v>
      </c>
      <c r="B501" s="1" t="s">
        <v>5</v>
      </c>
      <c r="D501" s="1" t="n">
        <v>8</v>
      </c>
    </row>
    <row r="502" customFormat="false" ht="15" hidden="false" customHeight="true" outlineLevel="0" collapsed="false">
      <c r="A502" s="3" t="n">
        <v>46168.8041087963</v>
      </c>
      <c r="B502" s="1" t="s">
        <v>6</v>
      </c>
      <c r="C502" s="1" t="n">
        <v>1936</v>
      </c>
      <c r="D502" s="1" t="n">
        <v>52</v>
      </c>
    </row>
    <row r="503" customFormat="false" ht="15" hidden="false" customHeight="true" outlineLevel="0" collapsed="false">
      <c r="A503" s="3" t="n">
        <v>46168.8041087963</v>
      </c>
      <c r="B503" s="1" t="s">
        <v>7</v>
      </c>
      <c r="C503" s="1" t="n">
        <v>2501</v>
      </c>
      <c r="D503" s="1" t="n">
        <v>27</v>
      </c>
    </row>
    <row r="504" customFormat="false" ht="15" hidden="false" customHeight="true" outlineLevel="0" collapsed="false">
      <c r="A504" s="3" t="n">
        <v>46168.8041087963</v>
      </c>
      <c r="B504" s="1" t="s">
        <v>4</v>
      </c>
      <c r="C504" s="1" t="n">
        <v>2145</v>
      </c>
      <c r="D504" s="1" t="n">
        <v>44</v>
      </c>
    </row>
    <row r="505" customFormat="false" ht="15" hidden="false" customHeight="true" outlineLevel="0" collapsed="false">
      <c r="A505" s="3" t="n">
        <v>46168.8041203704</v>
      </c>
      <c r="B505" s="1" t="s">
        <v>8</v>
      </c>
      <c r="C505" s="1" t="n">
        <v>2501</v>
      </c>
      <c r="D505" s="1" t="n">
        <v>25</v>
      </c>
    </row>
    <row r="506" customFormat="false" ht="15" hidden="false" customHeight="true" outlineLevel="0" collapsed="false">
      <c r="A506" s="3" t="n">
        <v>46168.8041203704</v>
      </c>
      <c r="B506" s="1" t="s">
        <v>9</v>
      </c>
      <c r="C506" s="1" t="n">
        <v>2442</v>
      </c>
      <c r="D506" s="1" t="n">
        <v>15</v>
      </c>
    </row>
    <row r="507" customFormat="false" ht="15" hidden="false" customHeight="true" outlineLevel="0" collapsed="false">
      <c r="A507" s="3" t="n">
        <v>46168.8044444445</v>
      </c>
      <c r="B507" s="1" t="s">
        <v>5</v>
      </c>
      <c r="D507" s="1" t="n">
        <v>8.1</v>
      </c>
    </row>
    <row r="508" customFormat="false" ht="15" hidden="false" customHeight="true" outlineLevel="0" collapsed="false">
      <c r="A508" s="3" t="n">
        <v>46168.8044560185</v>
      </c>
      <c r="B508" s="1" t="s">
        <v>6</v>
      </c>
      <c r="C508" s="1" t="n">
        <v>2669</v>
      </c>
      <c r="D508" s="1" t="n">
        <v>4</v>
      </c>
    </row>
    <row r="509" customFormat="false" ht="15" hidden="false" customHeight="true" outlineLevel="0" collapsed="false">
      <c r="A509" s="3" t="n">
        <v>46168.8044560185</v>
      </c>
      <c r="B509" s="1" t="s">
        <v>4</v>
      </c>
      <c r="C509" s="1" t="n">
        <v>2704</v>
      </c>
      <c r="D509" s="1" t="n">
        <v>7</v>
      </c>
    </row>
    <row r="510" customFormat="false" ht="15" hidden="false" customHeight="true" outlineLevel="0" collapsed="false">
      <c r="A510" s="3" t="n">
        <v>46168.8044675926</v>
      </c>
      <c r="B510" s="1" t="s">
        <v>7</v>
      </c>
      <c r="C510" s="1" t="n">
        <v>4095</v>
      </c>
      <c r="D510" s="1" t="n">
        <v>0</v>
      </c>
    </row>
    <row r="511" customFormat="false" ht="15" hidden="false" customHeight="true" outlineLevel="0" collapsed="false">
      <c r="A511" s="3" t="n">
        <v>46168.8044675926</v>
      </c>
      <c r="B511" s="1" t="s">
        <v>8</v>
      </c>
      <c r="C511" s="1" t="n">
        <v>4095</v>
      </c>
      <c r="D511" s="1" t="n">
        <v>0</v>
      </c>
    </row>
    <row r="512" customFormat="false" ht="15" hidden="false" customHeight="true" outlineLevel="0" collapsed="false">
      <c r="A512" s="3" t="n">
        <v>46168.8044675926</v>
      </c>
      <c r="B512" s="1" t="s">
        <v>9</v>
      </c>
      <c r="C512" s="1" t="n">
        <v>4095</v>
      </c>
      <c r="D512" s="1" t="n">
        <v>0</v>
      </c>
    </row>
    <row r="513" customFormat="false" ht="15" hidden="false" customHeight="true" outlineLevel="0" collapsed="false">
      <c r="A513" s="3" t="n">
        <v>46168.8048032407</v>
      </c>
      <c r="B513" s="1" t="s">
        <v>4</v>
      </c>
      <c r="C513" s="1" t="n">
        <v>2701</v>
      </c>
      <c r="D513" s="1" t="n">
        <v>7</v>
      </c>
    </row>
    <row r="514" customFormat="false" ht="15" hidden="false" customHeight="true" outlineLevel="0" collapsed="false">
      <c r="A514" s="3" t="n">
        <v>46168.8048032407</v>
      </c>
      <c r="B514" s="1" t="s">
        <v>5</v>
      </c>
      <c r="D514" s="1" t="n">
        <v>8.2</v>
      </c>
    </row>
    <row r="515" customFormat="false" ht="15" hidden="false" customHeight="true" outlineLevel="0" collapsed="false">
      <c r="A515" s="3" t="n">
        <v>46168.8048148148</v>
      </c>
      <c r="B515" s="1" t="s">
        <v>6</v>
      </c>
      <c r="C515" s="1" t="n">
        <v>2743</v>
      </c>
      <c r="D515" s="1" t="n">
        <v>0</v>
      </c>
    </row>
    <row r="516" customFormat="false" ht="15" hidden="false" customHeight="true" outlineLevel="0" collapsed="false">
      <c r="A516" s="3" t="n">
        <v>46168.8048148148</v>
      </c>
      <c r="B516" s="1" t="s">
        <v>7</v>
      </c>
      <c r="C516" s="1" t="n">
        <v>4095</v>
      </c>
      <c r="D516" s="1" t="n">
        <v>0</v>
      </c>
    </row>
    <row r="517" customFormat="false" ht="15" hidden="false" customHeight="true" outlineLevel="0" collapsed="false">
      <c r="A517" s="3" t="n">
        <v>46168.8048148148</v>
      </c>
      <c r="B517" s="1" t="s">
        <v>8</v>
      </c>
      <c r="C517" s="1" t="n">
        <v>4095</v>
      </c>
      <c r="D517" s="1" t="n">
        <v>0</v>
      </c>
    </row>
    <row r="518" customFormat="false" ht="15" hidden="false" customHeight="true" outlineLevel="0" collapsed="false">
      <c r="A518" s="3" t="n">
        <v>46168.8048148148</v>
      </c>
      <c r="B518" s="1" t="s">
        <v>9</v>
      </c>
      <c r="C518" s="1" t="n">
        <v>4095</v>
      </c>
      <c r="D518" s="1" t="n">
        <v>0</v>
      </c>
    </row>
    <row r="519" customFormat="false" ht="15" hidden="false" customHeight="true" outlineLevel="0" collapsed="false">
      <c r="A519" s="3" t="n">
        <v>46168.805150463</v>
      </c>
      <c r="B519" s="1" t="s">
        <v>6</v>
      </c>
      <c r="C519" s="1" t="n">
        <v>2652</v>
      </c>
      <c r="D519" s="1" t="n">
        <v>5</v>
      </c>
    </row>
    <row r="520" customFormat="false" ht="15" hidden="false" customHeight="true" outlineLevel="0" collapsed="false">
      <c r="A520" s="3" t="n">
        <v>46168.805150463</v>
      </c>
      <c r="B520" s="1" t="s">
        <v>4</v>
      </c>
      <c r="C520" s="1" t="n">
        <v>2669</v>
      </c>
      <c r="D520" s="1" t="n">
        <v>9</v>
      </c>
    </row>
    <row r="521" customFormat="false" ht="15" hidden="false" customHeight="true" outlineLevel="0" collapsed="false">
      <c r="A521" s="3" t="n">
        <v>46168.805150463</v>
      </c>
      <c r="B521" s="1" t="s">
        <v>5</v>
      </c>
      <c r="D521" s="1" t="n">
        <v>8.2</v>
      </c>
    </row>
    <row r="522" customFormat="false" ht="15" hidden="false" customHeight="true" outlineLevel="0" collapsed="false">
      <c r="A522" s="3" t="n">
        <v>46168.805162037</v>
      </c>
      <c r="B522" s="1" t="s">
        <v>7</v>
      </c>
      <c r="C522" s="1" t="n">
        <v>4095</v>
      </c>
      <c r="D522" s="1" t="n">
        <v>0</v>
      </c>
    </row>
    <row r="523" customFormat="false" ht="15" hidden="false" customHeight="true" outlineLevel="0" collapsed="false">
      <c r="A523" s="3" t="n">
        <v>46168.805162037</v>
      </c>
      <c r="B523" s="1" t="s">
        <v>8</v>
      </c>
      <c r="C523" s="1" t="n">
        <v>4095</v>
      </c>
      <c r="D523" s="1" t="n">
        <v>0</v>
      </c>
    </row>
    <row r="524" customFormat="false" ht="15" hidden="false" customHeight="true" outlineLevel="0" collapsed="false">
      <c r="A524" s="3" t="n">
        <v>46168.805162037</v>
      </c>
      <c r="B524" s="1" t="s">
        <v>9</v>
      </c>
      <c r="C524" s="1" t="n">
        <v>4095</v>
      </c>
      <c r="D524" s="1" t="n">
        <v>0</v>
      </c>
    </row>
    <row r="525" customFormat="false" ht="15" hidden="false" customHeight="true" outlineLevel="0" collapsed="false">
      <c r="A525" s="3" t="n">
        <v>46168.8054976852</v>
      </c>
      <c r="B525" s="1" t="s">
        <v>4</v>
      </c>
      <c r="C525" s="1" t="n">
        <v>2687</v>
      </c>
      <c r="D525" s="1" t="n">
        <v>8</v>
      </c>
    </row>
    <row r="526" customFormat="false" ht="15" hidden="false" customHeight="true" outlineLevel="0" collapsed="false">
      <c r="A526" s="3" t="n">
        <v>46168.8054976852</v>
      </c>
      <c r="B526" s="1" t="s">
        <v>5</v>
      </c>
      <c r="D526" s="1" t="n">
        <v>8.1</v>
      </c>
    </row>
    <row r="527" customFormat="false" ht="15" hidden="false" customHeight="true" outlineLevel="0" collapsed="false">
      <c r="A527" s="3" t="n">
        <v>46168.8055092593</v>
      </c>
      <c r="B527" s="1" t="s">
        <v>6</v>
      </c>
      <c r="C527" s="1" t="n">
        <v>2666</v>
      </c>
      <c r="D527" s="1" t="n">
        <v>4</v>
      </c>
    </row>
    <row r="528" customFormat="false" ht="15" hidden="false" customHeight="true" outlineLevel="0" collapsed="false">
      <c r="A528" s="3" t="n">
        <v>46168.8055092593</v>
      </c>
      <c r="B528" s="1" t="s">
        <v>7</v>
      </c>
      <c r="C528" s="1" t="n">
        <v>4095</v>
      </c>
      <c r="D528" s="1" t="n">
        <v>0</v>
      </c>
    </row>
    <row r="529" customFormat="false" ht="15" hidden="false" customHeight="true" outlineLevel="0" collapsed="false">
      <c r="A529" s="3" t="n">
        <v>46168.8055092593</v>
      </c>
      <c r="B529" s="1" t="s">
        <v>8</v>
      </c>
      <c r="C529" s="1" t="n">
        <v>4095</v>
      </c>
      <c r="D529" s="1" t="n">
        <v>0</v>
      </c>
    </row>
    <row r="530" customFormat="false" ht="15" hidden="false" customHeight="true" outlineLevel="0" collapsed="false">
      <c r="A530" s="3" t="n">
        <v>46168.8055092593</v>
      </c>
      <c r="B530" s="1" t="s">
        <v>9</v>
      </c>
      <c r="C530" s="1" t="n">
        <v>4095</v>
      </c>
      <c r="D530" s="1" t="n">
        <v>0</v>
      </c>
    </row>
    <row r="531" customFormat="false" ht="15" hidden="false" customHeight="true" outlineLevel="0" collapsed="false">
      <c r="A531" s="3" t="n">
        <v>46168.8058449074</v>
      </c>
      <c r="B531" s="1" t="s">
        <v>4</v>
      </c>
      <c r="C531" s="1" t="n">
        <v>2210</v>
      </c>
      <c r="D531" s="1" t="n">
        <v>39</v>
      </c>
    </row>
    <row r="532" customFormat="false" ht="15" hidden="false" customHeight="true" outlineLevel="0" collapsed="false">
      <c r="A532" s="3" t="n">
        <v>46168.8058449074</v>
      </c>
      <c r="B532" s="1" t="s">
        <v>5</v>
      </c>
      <c r="D532" s="1" t="n">
        <v>8.2</v>
      </c>
    </row>
    <row r="533" customFormat="false" ht="15" hidden="false" customHeight="true" outlineLevel="0" collapsed="false">
      <c r="A533" s="3" t="n">
        <v>46168.8058564815</v>
      </c>
      <c r="B533" s="1" t="s">
        <v>6</v>
      </c>
      <c r="C533" s="1" t="n">
        <v>2227</v>
      </c>
      <c r="D533" s="1" t="n">
        <v>33</v>
      </c>
    </row>
    <row r="534" customFormat="false" ht="15" hidden="false" customHeight="true" outlineLevel="0" collapsed="false">
      <c r="A534" s="3" t="n">
        <v>46168.8058564815</v>
      </c>
      <c r="B534" s="1" t="s">
        <v>7</v>
      </c>
      <c r="C534" s="1" t="n">
        <v>2298</v>
      </c>
      <c r="D534" s="1" t="n">
        <v>46</v>
      </c>
    </row>
    <row r="535" customFormat="false" ht="15" hidden="false" customHeight="true" outlineLevel="0" collapsed="false">
      <c r="A535" s="3" t="n">
        <v>46168.8058680556</v>
      </c>
      <c r="B535" s="1" t="s">
        <v>8</v>
      </c>
      <c r="C535" s="1" t="n">
        <v>2446</v>
      </c>
      <c r="D535" s="1" t="n">
        <v>31</v>
      </c>
    </row>
    <row r="536" customFormat="false" ht="15" hidden="false" customHeight="true" outlineLevel="0" collapsed="false">
      <c r="A536" s="3" t="n">
        <v>46168.8058680556</v>
      </c>
      <c r="B536" s="1" t="s">
        <v>9</v>
      </c>
      <c r="C536" s="1" t="n">
        <v>2544</v>
      </c>
      <c r="D536" s="1" t="n">
        <v>0</v>
      </c>
    </row>
    <row r="537" customFormat="false" ht="15" hidden="false" customHeight="true" outlineLevel="0" collapsed="false">
      <c r="A537" s="3" t="n">
        <v>46168.8062037037</v>
      </c>
      <c r="B537" s="1" t="s">
        <v>4</v>
      </c>
      <c r="C537" s="1" t="n">
        <v>2184</v>
      </c>
      <c r="D537" s="1" t="n">
        <v>41</v>
      </c>
    </row>
    <row r="538" customFormat="false" ht="15" hidden="false" customHeight="true" outlineLevel="0" collapsed="false">
      <c r="A538" s="3" t="n">
        <v>46168.8062037037</v>
      </c>
      <c r="B538" s="1" t="s">
        <v>5</v>
      </c>
      <c r="D538" s="1" t="n">
        <v>8.2</v>
      </c>
    </row>
    <row r="539" customFormat="false" ht="15" hidden="false" customHeight="true" outlineLevel="0" collapsed="false">
      <c r="A539" s="3" t="n">
        <v>46168.8062152778</v>
      </c>
      <c r="B539" s="1" t="s">
        <v>6</v>
      </c>
      <c r="C539" s="1" t="n">
        <v>2215</v>
      </c>
      <c r="D539" s="1" t="n">
        <v>33</v>
      </c>
    </row>
    <row r="540" customFormat="false" ht="15" hidden="false" customHeight="true" outlineLevel="0" collapsed="false">
      <c r="A540" s="3" t="n">
        <v>46168.8062152778</v>
      </c>
      <c r="B540" s="1" t="s">
        <v>7</v>
      </c>
      <c r="C540" s="1" t="n">
        <v>2630</v>
      </c>
      <c r="D540" s="1" t="n">
        <v>14</v>
      </c>
    </row>
    <row r="541" customFormat="false" ht="15" hidden="false" customHeight="true" outlineLevel="0" collapsed="false">
      <c r="A541" s="3" t="n">
        <v>46168.8062152778</v>
      </c>
      <c r="B541" s="1" t="s">
        <v>8</v>
      </c>
      <c r="C541" s="1" t="n">
        <v>2672</v>
      </c>
      <c r="D541" s="1" t="n">
        <v>4</v>
      </c>
    </row>
    <row r="542" customFormat="false" ht="15" hidden="false" customHeight="true" outlineLevel="0" collapsed="false">
      <c r="A542" s="3" t="n">
        <v>46168.8062268519</v>
      </c>
      <c r="B542" s="1" t="s">
        <v>9</v>
      </c>
      <c r="C542" s="1" t="n">
        <v>2653</v>
      </c>
      <c r="D542" s="1" t="n">
        <v>0</v>
      </c>
    </row>
    <row r="543" customFormat="false" ht="15" hidden="false" customHeight="true" outlineLevel="0" collapsed="false">
      <c r="A543" s="3" t="n">
        <v>46168.8065509259</v>
      </c>
      <c r="B543" s="1" t="s">
        <v>5</v>
      </c>
      <c r="D543" s="1" t="n">
        <v>8.2</v>
      </c>
    </row>
    <row r="544" customFormat="false" ht="15" hidden="false" customHeight="true" outlineLevel="0" collapsed="false">
      <c r="A544" s="3" t="n">
        <v>46168.8065625</v>
      </c>
      <c r="B544" s="1" t="s">
        <v>4</v>
      </c>
      <c r="C544" s="1" t="n">
        <v>2189</v>
      </c>
      <c r="D544" s="1" t="n">
        <v>41</v>
      </c>
    </row>
    <row r="545" customFormat="false" ht="15" hidden="false" customHeight="true" outlineLevel="0" collapsed="false">
      <c r="A545" s="3" t="n">
        <v>46168.8065740741</v>
      </c>
      <c r="B545" s="1" t="s">
        <v>6</v>
      </c>
      <c r="C545" s="1" t="n">
        <v>2192</v>
      </c>
      <c r="D545" s="1" t="n">
        <v>35</v>
      </c>
    </row>
    <row r="546" customFormat="false" ht="15" hidden="false" customHeight="true" outlineLevel="0" collapsed="false">
      <c r="A546" s="3" t="n">
        <v>46168.8065740741</v>
      </c>
      <c r="B546" s="1" t="s">
        <v>7</v>
      </c>
      <c r="C546" s="1" t="n">
        <v>2659</v>
      </c>
      <c r="D546" s="1" t="n">
        <v>12</v>
      </c>
    </row>
    <row r="547" customFormat="false" ht="15" hidden="false" customHeight="true" outlineLevel="0" collapsed="false">
      <c r="A547" s="3" t="n">
        <v>46168.8065740741</v>
      </c>
      <c r="B547" s="1" t="s">
        <v>8</v>
      </c>
      <c r="C547" s="1" t="n">
        <v>2710</v>
      </c>
      <c r="D547" s="1" t="n">
        <v>0</v>
      </c>
    </row>
    <row r="548" customFormat="false" ht="15" hidden="false" customHeight="true" outlineLevel="0" collapsed="false">
      <c r="A548" s="3" t="n">
        <v>46168.8065740741</v>
      </c>
      <c r="B548" s="1" t="s">
        <v>9</v>
      </c>
      <c r="C548" s="1" t="n">
        <v>2685</v>
      </c>
      <c r="D548" s="1" t="n">
        <v>0</v>
      </c>
    </row>
    <row r="549" customFormat="false" ht="15" hidden="false" customHeight="true" outlineLevel="0" collapsed="false">
      <c r="A549" s="3" t="n">
        <v>46168.8069097222</v>
      </c>
      <c r="B549" s="1" t="s">
        <v>4</v>
      </c>
      <c r="C549" s="1" t="n">
        <v>2192</v>
      </c>
      <c r="D549" s="1" t="n">
        <v>40</v>
      </c>
    </row>
    <row r="550" customFormat="false" ht="15" hidden="false" customHeight="true" outlineLevel="0" collapsed="false">
      <c r="A550" s="3" t="n">
        <v>46168.8069097222</v>
      </c>
      <c r="B550" s="1" t="s">
        <v>5</v>
      </c>
      <c r="D550" s="1" t="n">
        <v>8.2</v>
      </c>
    </row>
    <row r="551" customFormat="false" ht="15" hidden="false" customHeight="true" outlineLevel="0" collapsed="false">
      <c r="A551" s="3" t="n">
        <v>46168.8069212963</v>
      </c>
      <c r="B551" s="1" t="s">
        <v>6</v>
      </c>
      <c r="C551" s="1" t="n">
        <v>2192</v>
      </c>
      <c r="D551" s="1" t="n">
        <v>35</v>
      </c>
    </row>
    <row r="552" customFormat="false" ht="15" hidden="false" customHeight="true" outlineLevel="0" collapsed="false">
      <c r="A552" s="3" t="n">
        <v>46168.8069212963</v>
      </c>
      <c r="B552" s="1" t="s">
        <v>7</v>
      </c>
      <c r="C552" s="1" t="n">
        <v>2677</v>
      </c>
      <c r="D552" s="1" t="n">
        <v>10</v>
      </c>
    </row>
    <row r="553" customFormat="false" ht="15" hidden="false" customHeight="true" outlineLevel="0" collapsed="false">
      <c r="A553" s="3" t="n">
        <v>46168.8069212963</v>
      </c>
      <c r="B553" s="1" t="s">
        <v>8</v>
      </c>
      <c r="C553" s="1" t="n">
        <v>2701</v>
      </c>
      <c r="D553" s="1" t="n">
        <v>1</v>
      </c>
    </row>
    <row r="554" customFormat="false" ht="15" hidden="false" customHeight="true" outlineLevel="0" collapsed="false">
      <c r="A554" s="3" t="n">
        <v>46168.8069328704</v>
      </c>
      <c r="B554" s="1" t="s">
        <v>9</v>
      </c>
      <c r="C554" s="1" t="n">
        <v>2702</v>
      </c>
      <c r="D554" s="1" t="n">
        <v>0</v>
      </c>
    </row>
    <row r="555" customFormat="false" ht="15" hidden="false" customHeight="true" outlineLevel="0" collapsed="false">
      <c r="A555" s="3" t="n">
        <v>46168.8072685185</v>
      </c>
      <c r="B555" s="1" t="s">
        <v>6</v>
      </c>
      <c r="C555" s="1" t="n">
        <v>2177</v>
      </c>
      <c r="D555" s="1" t="n">
        <v>36</v>
      </c>
    </row>
    <row r="556" customFormat="false" ht="15" hidden="false" customHeight="true" outlineLevel="0" collapsed="false">
      <c r="A556" s="3" t="n">
        <v>46168.8072685185</v>
      </c>
      <c r="B556" s="1" t="s">
        <v>4</v>
      </c>
      <c r="C556" s="1" t="n">
        <v>2224</v>
      </c>
      <c r="D556" s="1" t="n">
        <v>38</v>
      </c>
    </row>
    <row r="557" customFormat="false" ht="15" hidden="false" customHeight="true" outlineLevel="0" collapsed="false">
      <c r="A557" s="3" t="n">
        <v>46168.8072685185</v>
      </c>
      <c r="B557" s="1" t="s">
        <v>5</v>
      </c>
      <c r="D557" s="1" t="n">
        <v>8.2</v>
      </c>
    </row>
    <row r="558" customFormat="false" ht="15" hidden="false" customHeight="true" outlineLevel="0" collapsed="false">
      <c r="A558" s="3" t="n">
        <v>46168.8072800926</v>
      </c>
      <c r="B558" s="1" t="s">
        <v>7</v>
      </c>
      <c r="C558" s="1" t="n">
        <v>2689</v>
      </c>
      <c r="D558" s="1" t="n">
        <v>9</v>
      </c>
    </row>
    <row r="559" customFormat="false" ht="15" hidden="false" customHeight="true" outlineLevel="0" collapsed="false">
      <c r="A559" s="3" t="n">
        <v>46168.8072800926</v>
      </c>
      <c r="B559" s="1" t="s">
        <v>8</v>
      </c>
      <c r="C559" s="1" t="n">
        <v>2726</v>
      </c>
      <c r="D559" s="1" t="n">
        <v>0</v>
      </c>
    </row>
    <row r="560" customFormat="false" ht="15" hidden="false" customHeight="true" outlineLevel="0" collapsed="false">
      <c r="A560" s="3" t="n">
        <v>46168.8072916667</v>
      </c>
      <c r="B560" s="1" t="s">
        <v>9</v>
      </c>
      <c r="C560" s="1" t="n">
        <v>2713</v>
      </c>
      <c r="D560" s="1" t="n">
        <v>0</v>
      </c>
    </row>
    <row r="561" customFormat="false" ht="15" hidden="false" customHeight="true" outlineLevel="0" collapsed="false">
      <c r="A561" s="3" t="n">
        <v>46168.8076157407</v>
      </c>
      <c r="B561" s="1" t="s">
        <v>5</v>
      </c>
      <c r="D561" s="1" t="n">
        <v>8.2</v>
      </c>
    </row>
    <row r="562" customFormat="false" ht="15" hidden="false" customHeight="true" outlineLevel="0" collapsed="false">
      <c r="A562" s="3" t="n">
        <v>46168.8076273148</v>
      </c>
      <c r="B562" s="1" t="s">
        <v>6</v>
      </c>
      <c r="C562" s="1" t="n">
        <v>2202</v>
      </c>
      <c r="D562" s="1" t="n">
        <v>34</v>
      </c>
    </row>
    <row r="563" customFormat="false" ht="15" hidden="false" customHeight="true" outlineLevel="0" collapsed="false">
      <c r="A563" s="3" t="n">
        <v>46168.8076273148</v>
      </c>
      <c r="B563" s="1" t="s">
        <v>4</v>
      </c>
      <c r="C563" s="1" t="n">
        <v>2215</v>
      </c>
      <c r="D563" s="1" t="n">
        <v>39</v>
      </c>
    </row>
    <row r="564" customFormat="false" ht="15" hidden="false" customHeight="true" outlineLevel="0" collapsed="false">
      <c r="A564" s="3" t="n">
        <v>46168.8076388889</v>
      </c>
      <c r="B564" s="1" t="s">
        <v>7</v>
      </c>
      <c r="C564" s="1" t="n">
        <v>2700</v>
      </c>
      <c r="D564" s="1" t="n">
        <v>8</v>
      </c>
    </row>
    <row r="565" customFormat="false" ht="15" hidden="false" customHeight="true" outlineLevel="0" collapsed="false">
      <c r="A565" s="3" t="n">
        <v>46168.8076388889</v>
      </c>
      <c r="B565" s="1" t="s">
        <v>8</v>
      </c>
      <c r="C565" s="1" t="n">
        <v>2735</v>
      </c>
      <c r="D565" s="1" t="n">
        <v>0</v>
      </c>
    </row>
    <row r="566" customFormat="false" ht="15" hidden="false" customHeight="true" outlineLevel="0" collapsed="false">
      <c r="A566" s="3" t="n">
        <v>46168.8076388889</v>
      </c>
      <c r="B566" s="1" t="s">
        <v>9</v>
      </c>
      <c r="C566" s="1" t="n">
        <v>2721</v>
      </c>
      <c r="D566" s="1" t="n">
        <v>0</v>
      </c>
    </row>
    <row r="567" customFormat="false" ht="15" hidden="false" customHeight="true" outlineLevel="0" collapsed="false">
      <c r="A567" s="3" t="n">
        <v>46168.807974537</v>
      </c>
      <c r="B567" s="1" t="s">
        <v>5</v>
      </c>
      <c r="D567" s="1" t="n">
        <v>8.2</v>
      </c>
    </row>
    <row r="568" customFormat="false" ht="15" hidden="false" customHeight="true" outlineLevel="0" collapsed="false">
      <c r="A568" s="3" t="n">
        <v>46168.8079861111</v>
      </c>
      <c r="B568" s="1" t="s">
        <v>6</v>
      </c>
      <c r="C568" s="1" t="n">
        <v>2189</v>
      </c>
      <c r="D568" s="1" t="n">
        <v>35</v>
      </c>
    </row>
    <row r="569" customFormat="false" ht="15" hidden="false" customHeight="true" outlineLevel="0" collapsed="false">
      <c r="A569" s="3" t="n">
        <v>46168.8079861111</v>
      </c>
      <c r="B569" s="1" t="s">
        <v>7</v>
      </c>
      <c r="C569" s="1" t="n">
        <v>2706</v>
      </c>
      <c r="D569" s="1" t="n">
        <v>7</v>
      </c>
    </row>
    <row r="570" customFormat="false" ht="15" hidden="false" customHeight="true" outlineLevel="0" collapsed="false">
      <c r="A570" s="3" t="n">
        <v>46168.8079861111</v>
      </c>
      <c r="B570" s="1" t="s">
        <v>4</v>
      </c>
      <c r="C570" s="1" t="n">
        <v>2204</v>
      </c>
      <c r="D570" s="1" t="n">
        <v>40</v>
      </c>
    </row>
    <row r="571" customFormat="false" ht="15" hidden="false" customHeight="true" outlineLevel="0" collapsed="false">
      <c r="A571" s="3" t="n">
        <v>46168.8079861111</v>
      </c>
      <c r="B571" s="1" t="s">
        <v>8</v>
      </c>
      <c r="C571" s="1" t="n">
        <v>2736</v>
      </c>
      <c r="D571" s="1" t="n">
        <v>0</v>
      </c>
    </row>
    <row r="572" customFormat="false" ht="15" hidden="false" customHeight="true" outlineLevel="0" collapsed="false">
      <c r="A572" s="3" t="n">
        <v>46168.8079976852</v>
      </c>
      <c r="B572" s="1" t="s">
        <v>9</v>
      </c>
      <c r="C572" s="1" t="n">
        <v>2725</v>
      </c>
      <c r="D572" s="1" t="n">
        <v>0</v>
      </c>
    </row>
    <row r="573" customFormat="false" ht="15" hidden="false" customHeight="true" outlineLevel="0" collapsed="false">
      <c r="A573" s="3" t="n">
        <v>46168.8083217593</v>
      </c>
      <c r="B573" s="1" t="s">
        <v>5</v>
      </c>
      <c r="D573" s="1" t="n">
        <v>8.2</v>
      </c>
    </row>
    <row r="574" customFormat="false" ht="15" hidden="false" customHeight="true" outlineLevel="0" collapsed="false">
      <c r="A574" s="3" t="n">
        <v>46168.8083333333</v>
      </c>
      <c r="B574" s="1" t="s">
        <v>6</v>
      </c>
      <c r="C574" s="1" t="n">
        <v>2187</v>
      </c>
      <c r="D574" s="1" t="n">
        <v>35</v>
      </c>
    </row>
    <row r="575" customFormat="false" ht="15" hidden="false" customHeight="true" outlineLevel="0" collapsed="false">
      <c r="A575" s="3" t="n">
        <v>46168.8083333333</v>
      </c>
      <c r="B575" s="1" t="s">
        <v>7</v>
      </c>
      <c r="C575" s="1" t="n">
        <v>2705</v>
      </c>
      <c r="D575" s="1" t="n">
        <v>7</v>
      </c>
    </row>
    <row r="576" customFormat="false" ht="15" hidden="false" customHeight="true" outlineLevel="0" collapsed="false">
      <c r="A576" s="3" t="n">
        <v>46168.8083333333</v>
      </c>
      <c r="B576" s="1" t="s">
        <v>4</v>
      </c>
      <c r="C576" s="1" t="n">
        <v>2207</v>
      </c>
      <c r="D576" s="1" t="n">
        <v>39</v>
      </c>
    </row>
    <row r="577" customFormat="false" ht="15" hidden="false" customHeight="true" outlineLevel="0" collapsed="false">
      <c r="A577" s="3" t="n">
        <v>46168.8083449074</v>
      </c>
      <c r="B577" s="1" t="s">
        <v>8</v>
      </c>
      <c r="C577" s="1" t="n">
        <v>2743</v>
      </c>
      <c r="D577" s="1" t="n">
        <v>0</v>
      </c>
    </row>
    <row r="578" customFormat="false" ht="15" hidden="false" customHeight="true" outlineLevel="0" collapsed="false">
      <c r="A578" s="3" t="n">
        <v>46168.8083449074</v>
      </c>
      <c r="B578" s="1" t="s">
        <v>9</v>
      </c>
      <c r="C578" s="1" t="n">
        <v>2734</v>
      </c>
      <c r="D578" s="1" t="n">
        <v>0</v>
      </c>
    </row>
    <row r="579" customFormat="false" ht="15" hidden="false" customHeight="true" outlineLevel="0" collapsed="false">
      <c r="A579" s="3" t="n">
        <v>46168.8086805556</v>
      </c>
      <c r="B579" s="1" t="s">
        <v>6</v>
      </c>
      <c r="C579" s="1" t="n">
        <v>2183</v>
      </c>
      <c r="D579" s="1" t="n">
        <v>36</v>
      </c>
    </row>
    <row r="580" customFormat="false" ht="15" hidden="false" customHeight="true" outlineLevel="0" collapsed="false">
      <c r="A580" s="3" t="n">
        <v>46168.8086805556</v>
      </c>
      <c r="B580" s="1" t="s">
        <v>7</v>
      </c>
      <c r="C580" s="1" t="n">
        <v>2721</v>
      </c>
      <c r="D580" s="1" t="n">
        <v>6</v>
      </c>
    </row>
    <row r="581" customFormat="false" ht="15" hidden="false" customHeight="true" outlineLevel="0" collapsed="false">
      <c r="A581" s="3" t="n">
        <v>46168.8086805556</v>
      </c>
      <c r="B581" s="1" t="s">
        <v>4</v>
      </c>
      <c r="C581" s="1" t="n">
        <v>2194</v>
      </c>
      <c r="D581" s="1" t="n">
        <v>40</v>
      </c>
    </row>
    <row r="582" customFormat="false" ht="15" hidden="false" customHeight="true" outlineLevel="0" collapsed="false">
      <c r="A582" s="3" t="n">
        <v>46168.8086805556</v>
      </c>
      <c r="B582" s="1" t="s">
        <v>5</v>
      </c>
      <c r="D582" s="1" t="n">
        <v>8.2</v>
      </c>
    </row>
    <row r="583" customFormat="false" ht="15" hidden="false" customHeight="true" outlineLevel="0" collapsed="false">
      <c r="A583" s="3" t="n">
        <v>46168.8086921296</v>
      </c>
      <c r="B583" s="1" t="s">
        <v>8</v>
      </c>
      <c r="C583" s="1" t="n">
        <v>2747</v>
      </c>
      <c r="D583" s="1" t="n">
        <v>0</v>
      </c>
    </row>
    <row r="584" customFormat="false" ht="15" hidden="false" customHeight="true" outlineLevel="0" collapsed="false">
      <c r="A584" s="3" t="n">
        <v>46168.8086921296</v>
      </c>
      <c r="B584" s="1" t="s">
        <v>9</v>
      </c>
      <c r="C584" s="1" t="n">
        <v>2730</v>
      </c>
      <c r="D584" s="1" t="n">
        <v>0</v>
      </c>
    </row>
    <row r="585" customFormat="false" ht="15" hidden="false" customHeight="true" outlineLevel="0" collapsed="false">
      <c r="A585" s="3" t="n">
        <v>46168.8090277778</v>
      </c>
      <c r="B585" s="1" t="s">
        <v>6</v>
      </c>
      <c r="C585" s="1" t="n">
        <v>2185</v>
      </c>
      <c r="D585" s="1" t="n">
        <v>35</v>
      </c>
    </row>
    <row r="586" customFormat="false" ht="15" hidden="false" customHeight="true" outlineLevel="0" collapsed="false">
      <c r="A586" s="3" t="n">
        <v>46168.8090277778</v>
      </c>
      <c r="B586" s="1" t="s">
        <v>4</v>
      </c>
      <c r="C586" s="1" t="n">
        <v>2199</v>
      </c>
      <c r="D586" s="1" t="n">
        <v>40</v>
      </c>
    </row>
    <row r="587" customFormat="false" ht="15" hidden="false" customHeight="true" outlineLevel="0" collapsed="false">
      <c r="A587" s="3" t="n">
        <v>46168.8090277778</v>
      </c>
      <c r="B587" s="1" t="s">
        <v>5</v>
      </c>
      <c r="D587" s="1" t="n">
        <v>8.2</v>
      </c>
    </row>
    <row r="588" customFormat="false" ht="15" hidden="false" customHeight="true" outlineLevel="0" collapsed="false">
      <c r="A588" s="3" t="n">
        <v>46168.8090393519</v>
      </c>
      <c r="B588" s="1" t="s">
        <v>7</v>
      </c>
      <c r="C588" s="1" t="n">
        <v>2726</v>
      </c>
      <c r="D588" s="1" t="n">
        <v>5</v>
      </c>
    </row>
    <row r="589" customFormat="false" ht="15" hidden="false" customHeight="true" outlineLevel="0" collapsed="false">
      <c r="A589" s="3" t="n">
        <v>46168.8090393519</v>
      </c>
      <c r="B589" s="1" t="s">
        <v>8</v>
      </c>
      <c r="C589" s="1" t="n">
        <v>2756</v>
      </c>
      <c r="D589" s="1" t="n">
        <v>0</v>
      </c>
    </row>
    <row r="590" customFormat="false" ht="15" hidden="false" customHeight="true" outlineLevel="0" collapsed="false">
      <c r="A590" s="3" t="n">
        <v>46168.8090393519</v>
      </c>
      <c r="B590" s="1" t="s">
        <v>9</v>
      </c>
      <c r="C590" s="1" t="n">
        <v>2729</v>
      </c>
      <c r="D590" s="1" t="n">
        <v>0</v>
      </c>
    </row>
    <row r="591" customFormat="false" ht="15" hidden="false" customHeight="true" outlineLevel="0" collapsed="false">
      <c r="A591" s="3" t="n">
        <v>46168.809375</v>
      </c>
      <c r="B591" s="1" t="s">
        <v>4</v>
      </c>
      <c r="C591" s="1" t="n">
        <v>2192</v>
      </c>
      <c r="D591" s="1" t="n">
        <v>40</v>
      </c>
    </row>
    <row r="592" customFormat="false" ht="15" hidden="false" customHeight="true" outlineLevel="0" collapsed="false">
      <c r="A592" s="3" t="n">
        <v>46168.809375</v>
      </c>
      <c r="B592" s="1" t="s">
        <v>5</v>
      </c>
      <c r="D592" s="1" t="n">
        <v>8.2</v>
      </c>
    </row>
    <row r="593" customFormat="false" ht="15" hidden="false" customHeight="true" outlineLevel="0" collapsed="false">
      <c r="A593" s="3" t="n">
        <v>46168.8093865741</v>
      </c>
      <c r="B593" s="1" t="s">
        <v>6</v>
      </c>
      <c r="C593" s="1" t="n">
        <v>2178</v>
      </c>
      <c r="D593" s="1" t="n">
        <v>36</v>
      </c>
    </row>
    <row r="594" customFormat="false" ht="15" hidden="false" customHeight="true" outlineLevel="0" collapsed="false">
      <c r="A594" s="3" t="n">
        <v>46168.8093865741</v>
      </c>
      <c r="B594" s="1" t="s">
        <v>7</v>
      </c>
      <c r="C594" s="1" t="n">
        <v>2733</v>
      </c>
      <c r="D594" s="1" t="n">
        <v>5</v>
      </c>
    </row>
    <row r="595" customFormat="false" ht="15" hidden="false" customHeight="true" outlineLevel="0" collapsed="false">
      <c r="A595" s="3" t="n">
        <v>46168.8093865741</v>
      </c>
      <c r="B595" s="1" t="s">
        <v>8</v>
      </c>
      <c r="C595" s="1" t="n">
        <v>2762</v>
      </c>
      <c r="D595" s="1" t="n">
        <v>0</v>
      </c>
    </row>
    <row r="596" customFormat="false" ht="15" hidden="false" customHeight="true" outlineLevel="0" collapsed="false">
      <c r="A596" s="3" t="n">
        <v>46168.8093981482</v>
      </c>
      <c r="B596" s="1" t="s">
        <v>9</v>
      </c>
      <c r="C596" s="1" t="n">
        <v>2743</v>
      </c>
      <c r="D596" s="1" t="n">
        <v>0</v>
      </c>
    </row>
    <row r="597" customFormat="false" ht="15" hidden="false" customHeight="true" outlineLevel="0" collapsed="false">
      <c r="A597" s="3" t="n">
        <v>46168.8097222222</v>
      </c>
      <c r="B597" s="1" t="s">
        <v>4</v>
      </c>
      <c r="C597" s="1" t="n">
        <v>2206</v>
      </c>
      <c r="D597" s="1" t="n">
        <v>39</v>
      </c>
    </row>
    <row r="598" customFormat="false" ht="15" hidden="false" customHeight="true" outlineLevel="0" collapsed="false">
      <c r="A598" s="3" t="n">
        <v>46168.8097222222</v>
      </c>
      <c r="B598" s="1" t="s">
        <v>5</v>
      </c>
      <c r="D598" s="1" t="n">
        <v>8.2</v>
      </c>
    </row>
    <row r="599" customFormat="false" ht="15" hidden="false" customHeight="true" outlineLevel="0" collapsed="false">
      <c r="A599" s="3" t="n">
        <v>46168.8097337963</v>
      </c>
      <c r="B599" s="1" t="s">
        <v>6</v>
      </c>
      <c r="C599" s="1" t="n">
        <v>2183</v>
      </c>
      <c r="D599" s="1" t="n">
        <v>36</v>
      </c>
    </row>
    <row r="600" customFormat="false" ht="15" hidden="false" customHeight="true" outlineLevel="0" collapsed="false">
      <c r="A600" s="3" t="n">
        <v>46168.8097337963</v>
      </c>
      <c r="B600" s="1" t="s">
        <v>7</v>
      </c>
      <c r="C600" s="1" t="n">
        <v>2736</v>
      </c>
      <c r="D600" s="1" t="n">
        <v>4</v>
      </c>
    </row>
    <row r="601" customFormat="false" ht="15" hidden="false" customHeight="true" outlineLevel="0" collapsed="false">
      <c r="A601" s="3" t="n">
        <v>46168.8097453704</v>
      </c>
      <c r="B601" s="1" t="s">
        <v>8</v>
      </c>
      <c r="C601" s="1" t="n">
        <v>2766</v>
      </c>
      <c r="D601" s="1" t="n">
        <v>0</v>
      </c>
    </row>
    <row r="602" customFormat="false" ht="15" hidden="false" customHeight="true" outlineLevel="0" collapsed="false">
      <c r="A602" s="3" t="n">
        <v>46168.8097453704</v>
      </c>
      <c r="B602" s="1" t="s">
        <v>9</v>
      </c>
      <c r="C602" s="1" t="n">
        <v>2746</v>
      </c>
      <c r="D602" s="1" t="n">
        <v>0</v>
      </c>
    </row>
    <row r="603" customFormat="false" ht="15" hidden="false" customHeight="true" outlineLevel="0" collapsed="false">
      <c r="A603" s="3" t="n">
        <v>46168.8100810185</v>
      </c>
      <c r="B603" s="1" t="s">
        <v>6</v>
      </c>
      <c r="C603" s="1" t="n">
        <v>2187</v>
      </c>
      <c r="D603" s="1" t="n">
        <v>35</v>
      </c>
    </row>
    <row r="604" customFormat="false" ht="15" hidden="false" customHeight="true" outlineLevel="0" collapsed="false">
      <c r="A604" s="3" t="n">
        <v>46168.8100810185</v>
      </c>
      <c r="B604" s="1" t="s">
        <v>4</v>
      </c>
      <c r="C604" s="1" t="n">
        <v>2218</v>
      </c>
      <c r="D604" s="1" t="n">
        <v>39</v>
      </c>
    </row>
    <row r="605" customFormat="false" ht="15" hidden="false" customHeight="true" outlineLevel="0" collapsed="false">
      <c r="A605" s="3" t="n">
        <v>46168.8100810185</v>
      </c>
      <c r="B605" s="1" t="s">
        <v>5</v>
      </c>
      <c r="D605" s="1" t="n">
        <v>8.2</v>
      </c>
    </row>
    <row r="606" customFormat="false" ht="15" hidden="false" customHeight="true" outlineLevel="0" collapsed="false">
      <c r="A606" s="3" t="n">
        <v>46168.8100925926</v>
      </c>
      <c r="B606" s="1" t="s">
        <v>7</v>
      </c>
      <c r="C606" s="1" t="n">
        <v>2736</v>
      </c>
      <c r="D606" s="1" t="n">
        <v>4</v>
      </c>
    </row>
    <row r="607" customFormat="false" ht="15" hidden="false" customHeight="true" outlineLevel="0" collapsed="false">
      <c r="A607" s="3" t="n">
        <v>46168.8100925926</v>
      </c>
      <c r="B607" s="1" t="s">
        <v>8</v>
      </c>
      <c r="C607" s="1" t="n">
        <v>2765</v>
      </c>
      <c r="D607" s="1" t="n">
        <v>0</v>
      </c>
    </row>
    <row r="608" customFormat="false" ht="15" hidden="false" customHeight="true" outlineLevel="0" collapsed="false">
      <c r="A608" s="3" t="n">
        <v>46168.8101041667</v>
      </c>
      <c r="B608" s="1" t="s">
        <v>9</v>
      </c>
      <c r="C608" s="1" t="n">
        <v>2753</v>
      </c>
      <c r="D608" s="1" t="n">
        <v>0</v>
      </c>
    </row>
    <row r="609" customFormat="false" ht="15" hidden="false" customHeight="true" outlineLevel="0" collapsed="false">
      <c r="A609" s="3" t="n">
        <v>46168.8104282407</v>
      </c>
      <c r="B609" s="1" t="s">
        <v>5</v>
      </c>
      <c r="D609" s="1" t="n">
        <v>8.2</v>
      </c>
    </row>
    <row r="610" customFormat="false" ht="15" hidden="false" customHeight="true" outlineLevel="0" collapsed="false">
      <c r="A610" s="3" t="n">
        <v>46168.8104398148</v>
      </c>
      <c r="B610" s="1" t="s">
        <v>6</v>
      </c>
      <c r="C610" s="1" t="n">
        <v>2184</v>
      </c>
      <c r="D610" s="1" t="n">
        <v>36</v>
      </c>
    </row>
    <row r="611" customFormat="false" ht="15" hidden="false" customHeight="true" outlineLevel="0" collapsed="false">
      <c r="A611" s="3" t="n">
        <v>46168.8104398148</v>
      </c>
      <c r="B611" s="1" t="s">
        <v>7</v>
      </c>
      <c r="C611" s="1" t="n">
        <v>2739</v>
      </c>
      <c r="D611" s="1" t="n">
        <v>4</v>
      </c>
    </row>
    <row r="612" customFormat="false" ht="15" hidden="false" customHeight="true" outlineLevel="0" collapsed="false">
      <c r="A612" s="3" t="n">
        <v>46168.8104398148</v>
      </c>
      <c r="B612" s="1" t="s">
        <v>4</v>
      </c>
      <c r="C612" s="1" t="n">
        <v>2160</v>
      </c>
      <c r="D612" s="1" t="n">
        <v>43</v>
      </c>
    </row>
    <row r="613" customFormat="false" ht="15" hidden="false" customHeight="true" outlineLevel="0" collapsed="false">
      <c r="A613" s="3" t="n">
        <v>46168.8104513889</v>
      </c>
      <c r="B613" s="1" t="s">
        <v>8</v>
      </c>
      <c r="C613" s="1" t="n">
        <v>2769</v>
      </c>
      <c r="D613" s="1" t="n">
        <v>0</v>
      </c>
    </row>
    <row r="614" customFormat="false" ht="15" hidden="false" customHeight="true" outlineLevel="0" collapsed="false">
      <c r="A614" s="3" t="n">
        <v>46168.810462963</v>
      </c>
      <c r="B614" s="1" t="s">
        <v>9</v>
      </c>
      <c r="C614" s="1" t="n">
        <v>2758</v>
      </c>
      <c r="D614" s="1" t="n">
        <v>0</v>
      </c>
    </row>
    <row r="615" customFormat="false" ht="15" hidden="false" customHeight="true" outlineLevel="0" collapsed="false">
      <c r="A615" s="3" t="n">
        <v>46168.810787037</v>
      </c>
      <c r="B615" s="1" t="s">
        <v>5</v>
      </c>
      <c r="D615" s="1" t="n">
        <v>8.4</v>
      </c>
    </row>
    <row r="616" customFormat="false" ht="15" hidden="false" customHeight="true" outlineLevel="0" collapsed="false">
      <c r="A616" s="3" t="n">
        <v>46168.8107986111</v>
      </c>
      <c r="B616" s="1" t="s">
        <v>6</v>
      </c>
      <c r="C616" s="1" t="n">
        <v>2175</v>
      </c>
      <c r="D616" s="1" t="n">
        <v>36</v>
      </c>
    </row>
    <row r="617" customFormat="false" ht="15" hidden="false" customHeight="true" outlineLevel="0" collapsed="false">
      <c r="A617" s="3" t="n">
        <v>46168.8107986111</v>
      </c>
      <c r="B617" s="1" t="s">
        <v>7</v>
      </c>
      <c r="C617" s="1" t="n">
        <v>2741</v>
      </c>
      <c r="D617" s="1" t="n">
        <v>4</v>
      </c>
    </row>
    <row r="618" customFormat="false" ht="15" hidden="false" customHeight="true" outlineLevel="0" collapsed="false">
      <c r="A618" s="3" t="n">
        <v>46168.8107986111</v>
      </c>
      <c r="B618" s="1" t="s">
        <v>4</v>
      </c>
      <c r="C618" s="1" t="n">
        <v>2205</v>
      </c>
      <c r="D618" s="1" t="n">
        <v>40</v>
      </c>
    </row>
    <row r="619" customFormat="false" ht="15" hidden="false" customHeight="true" outlineLevel="0" collapsed="false">
      <c r="A619" s="3" t="n">
        <v>46168.8108101852</v>
      </c>
      <c r="B619" s="1" t="s">
        <v>8</v>
      </c>
      <c r="C619" s="1" t="n">
        <v>2774</v>
      </c>
      <c r="D619" s="1" t="n">
        <v>0</v>
      </c>
    </row>
    <row r="620" customFormat="false" ht="15" hidden="false" customHeight="true" outlineLevel="0" collapsed="false">
      <c r="A620" s="3" t="n">
        <v>46168.8108101852</v>
      </c>
      <c r="B620" s="1" t="s">
        <v>9</v>
      </c>
      <c r="C620" s="1" t="n">
        <v>2765</v>
      </c>
      <c r="D620" s="1" t="n">
        <v>0</v>
      </c>
    </row>
    <row r="621" customFormat="false" ht="15" hidden="false" customHeight="true" outlineLevel="0" collapsed="false">
      <c r="A621" s="3" t="n">
        <v>46168.8111342593</v>
      </c>
      <c r="B621" s="1" t="s">
        <v>5</v>
      </c>
      <c r="D621" s="1" t="n">
        <v>8.4</v>
      </c>
    </row>
    <row r="622" customFormat="false" ht="15" hidden="false" customHeight="true" outlineLevel="0" collapsed="false">
      <c r="A622" s="3" t="n">
        <v>46168.8111458333</v>
      </c>
      <c r="B622" s="1" t="s">
        <v>6</v>
      </c>
      <c r="C622" s="1" t="n">
        <v>2181</v>
      </c>
      <c r="D622" s="1" t="n">
        <v>36</v>
      </c>
    </row>
    <row r="623" customFormat="false" ht="15" hidden="false" customHeight="true" outlineLevel="0" collapsed="false">
      <c r="A623" s="3" t="n">
        <v>46168.8111458333</v>
      </c>
      <c r="B623" s="1" t="s">
        <v>4</v>
      </c>
      <c r="C623" s="1" t="n">
        <v>2178</v>
      </c>
      <c r="D623" s="1" t="n">
        <v>41</v>
      </c>
    </row>
    <row r="624" customFormat="false" ht="15" hidden="false" customHeight="true" outlineLevel="0" collapsed="false">
      <c r="A624" s="3" t="n">
        <v>46168.8111574074</v>
      </c>
      <c r="B624" s="1" t="s">
        <v>7</v>
      </c>
      <c r="C624" s="1" t="n">
        <v>2747</v>
      </c>
      <c r="D624" s="1" t="n">
        <v>3</v>
      </c>
    </row>
    <row r="625" customFormat="false" ht="15" hidden="false" customHeight="true" outlineLevel="0" collapsed="false">
      <c r="A625" s="3" t="n">
        <v>46168.8111574074</v>
      </c>
      <c r="B625" s="1" t="s">
        <v>8</v>
      </c>
      <c r="C625" s="1" t="n">
        <v>2774</v>
      </c>
      <c r="D625" s="1" t="n">
        <v>0</v>
      </c>
    </row>
    <row r="626" customFormat="false" ht="15" hidden="false" customHeight="true" outlineLevel="0" collapsed="false">
      <c r="A626" s="3" t="n">
        <v>46168.8111574074</v>
      </c>
      <c r="B626" s="1" t="s">
        <v>9</v>
      </c>
      <c r="C626" s="1" t="n">
        <v>2763</v>
      </c>
      <c r="D626" s="1" t="n">
        <v>0</v>
      </c>
    </row>
    <row r="627" customFormat="false" ht="15" hidden="false" customHeight="true" outlineLevel="0" collapsed="false">
      <c r="A627" s="3" t="n">
        <v>46168.8114930556</v>
      </c>
      <c r="B627" s="1" t="s">
        <v>4</v>
      </c>
      <c r="C627" s="1" t="n">
        <v>2189</v>
      </c>
      <c r="D627" s="1" t="n">
        <v>41</v>
      </c>
    </row>
    <row r="628" customFormat="false" ht="15" hidden="false" customHeight="true" outlineLevel="0" collapsed="false">
      <c r="A628" s="3" t="n">
        <v>46168.8114930556</v>
      </c>
      <c r="B628" s="1" t="s">
        <v>5</v>
      </c>
      <c r="D628" s="1" t="n">
        <v>8.2</v>
      </c>
    </row>
    <row r="629" customFormat="false" ht="15" hidden="false" customHeight="true" outlineLevel="0" collapsed="false">
      <c r="A629" s="3" t="n">
        <v>46168.8115046296</v>
      </c>
      <c r="B629" s="1" t="s">
        <v>6</v>
      </c>
      <c r="C629" s="1" t="n">
        <v>2182</v>
      </c>
      <c r="D629" s="1" t="n">
        <v>36</v>
      </c>
    </row>
    <row r="630" customFormat="false" ht="15" hidden="false" customHeight="true" outlineLevel="0" collapsed="false">
      <c r="A630" s="3" t="n">
        <v>46168.8115046296</v>
      </c>
      <c r="B630" s="1" t="s">
        <v>7</v>
      </c>
      <c r="C630" s="1" t="n">
        <v>2763</v>
      </c>
      <c r="D630" s="1" t="n">
        <v>2</v>
      </c>
    </row>
    <row r="631" customFormat="false" ht="15" hidden="false" customHeight="true" outlineLevel="0" collapsed="false">
      <c r="A631" s="3" t="n">
        <v>46168.8115046296</v>
      </c>
      <c r="B631" s="1" t="s">
        <v>8</v>
      </c>
      <c r="C631" s="1" t="n">
        <v>2783</v>
      </c>
      <c r="D631" s="1" t="n">
        <v>0</v>
      </c>
    </row>
    <row r="632" customFormat="false" ht="15" hidden="false" customHeight="true" outlineLevel="0" collapsed="false">
      <c r="A632" s="3" t="n">
        <v>46168.8115046296</v>
      </c>
      <c r="B632" s="1" t="s">
        <v>9</v>
      </c>
      <c r="C632" s="1" t="n">
        <v>2767</v>
      </c>
      <c r="D632" s="1" t="n">
        <v>0</v>
      </c>
    </row>
    <row r="633" customFormat="false" ht="15" hidden="false" customHeight="true" outlineLevel="0" collapsed="false">
      <c r="A633" s="3" t="n">
        <v>46168.8118402778</v>
      </c>
      <c r="B633" s="1" t="s">
        <v>4</v>
      </c>
      <c r="C633" s="1" t="n">
        <v>2175</v>
      </c>
      <c r="D633" s="1" t="n">
        <v>42</v>
      </c>
    </row>
    <row r="634" customFormat="false" ht="15" hidden="false" customHeight="true" outlineLevel="0" collapsed="false">
      <c r="A634" s="3" t="n">
        <v>46168.8118402778</v>
      </c>
      <c r="B634" s="1" t="s">
        <v>5</v>
      </c>
      <c r="D634" s="1" t="n">
        <v>8.2</v>
      </c>
    </row>
    <row r="635" customFormat="false" ht="15" hidden="false" customHeight="true" outlineLevel="0" collapsed="false">
      <c r="A635" s="3" t="n">
        <v>46168.8118518519</v>
      </c>
      <c r="B635" s="1" t="s">
        <v>6</v>
      </c>
      <c r="C635" s="1" t="n">
        <v>2220</v>
      </c>
      <c r="D635" s="1" t="n">
        <v>33</v>
      </c>
    </row>
    <row r="636" customFormat="false" ht="15" hidden="false" customHeight="true" outlineLevel="0" collapsed="false">
      <c r="A636" s="3" t="n">
        <v>46168.8118518519</v>
      </c>
      <c r="B636" s="1" t="s">
        <v>7</v>
      </c>
      <c r="C636" s="1" t="n">
        <v>2755</v>
      </c>
      <c r="D636" s="1" t="n">
        <v>3</v>
      </c>
    </row>
    <row r="637" customFormat="false" ht="15" hidden="false" customHeight="true" outlineLevel="0" collapsed="false">
      <c r="A637" s="3" t="n">
        <v>46168.8118518519</v>
      </c>
      <c r="B637" s="1" t="s">
        <v>8</v>
      </c>
      <c r="C637" s="1" t="n">
        <v>2779</v>
      </c>
      <c r="D637" s="1" t="n">
        <v>0</v>
      </c>
    </row>
    <row r="638" customFormat="false" ht="15" hidden="false" customHeight="true" outlineLevel="0" collapsed="false">
      <c r="A638" s="3" t="n">
        <v>46168.8118518519</v>
      </c>
      <c r="B638" s="1" t="s">
        <v>9</v>
      </c>
      <c r="C638" s="1" t="n">
        <v>2775</v>
      </c>
      <c r="D638" s="1" t="n">
        <v>0</v>
      </c>
    </row>
    <row r="639" customFormat="false" ht="15" hidden="false" customHeight="true" outlineLevel="0" collapsed="false">
      <c r="A639" s="3" t="n">
        <v>46168.8121875</v>
      </c>
      <c r="B639" s="1" t="s">
        <v>4</v>
      </c>
      <c r="C639" s="1" t="n">
        <v>2199</v>
      </c>
      <c r="D639" s="1" t="n">
        <v>40</v>
      </c>
    </row>
    <row r="640" customFormat="false" ht="15" hidden="false" customHeight="true" outlineLevel="0" collapsed="false">
      <c r="A640" s="3" t="n">
        <v>46168.8121875</v>
      </c>
      <c r="B640" s="1" t="s">
        <v>5</v>
      </c>
      <c r="D640" s="1" t="n">
        <v>8.2</v>
      </c>
    </row>
    <row r="641" customFormat="false" ht="15" hidden="false" customHeight="true" outlineLevel="0" collapsed="false">
      <c r="A641" s="3" t="n">
        <v>46168.8121990741</v>
      </c>
      <c r="B641" s="1" t="s">
        <v>6</v>
      </c>
      <c r="C641" s="1" t="n">
        <v>2235</v>
      </c>
      <c r="D641" s="1" t="n">
        <v>32</v>
      </c>
    </row>
    <row r="642" customFormat="false" ht="15" hidden="false" customHeight="true" outlineLevel="0" collapsed="false">
      <c r="A642" s="3" t="n">
        <v>46168.8121990741</v>
      </c>
      <c r="B642" s="1" t="s">
        <v>7</v>
      </c>
      <c r="C642" s="1" t="n">
        <v>2749</v>
      </c>
      <c r="D642" s="1" t="n">
        <v>3</v>
      </c>
    </row>
    <row r="643" customFormat="false" ht="15" hidden="false" customHeight="true" outlineLevel="0" collapsed="false">
      <c r="A643" s="3" t="n">
        <v>46168.8121990741</v>
      </c>
      <c r="B643" s="1" t="s">
        <v>8</v>
      </c>
      <c r="C643" s="1" t="n">
        <v>2789</v>
      </c>
      <c r="D643" s="1" t="n">
        <v>0</v>
      </c>
    </row>
    <row r="644" customFormat="false" ht="15" hidden="false" customHeight="true" outlineLevel="0" collapsed="false">
      <c r="A644" s="3" t="n">
        <v>46168.8122106482</v>
      </c>
      <c r="B644" s="1" t="s">
        <v>9</v>
      </c>
      <c r="C644" s="1" t="n">
        <v>2771</v>
      </c>
      <c r="D644" s="1" t="n">
        <v>0</v>
      </c>
    </row>
    <row r="645" customFormat="false" ht="15" hidden="false" customHeight="true" outlineLevel="0" collapsed="false">
      <c r="A645" s="3" t="n">
        <v>46168.8125347222</v>
      </c>
      <c r="B645" s="1" t="s">
        <v>5</v>
      </c>
      <c r="D645" s="1" t="n">
        <v>8.2</v>
      </c>
    </row>
    <row r="646" customFormat="false" ht="15" hidden="false" customHeight="true" outlineLevel="0" collapsed="false">
      <c r="A646" s="3" t="n">
        <v>46168.8125462963</v>
      </c>
      <c r="B646" s="1" t="s">
        <v>6</v>
      </c>
      <c r="C646" s="1" t="n">
        <v>2181</v>
      </c>
      <c r="D646" s="1" t="n">
        <v>36</v>
      </c>
    </row>
    <row r="647" customFormat="false" ht="15" hidden="false" customHeight="true" outlineLevel="0" collapsed="false">
      <c r="A647" s="3" t="n">
        <v>46168.8125462963</v>
      </c>
      <c r="B647" s="1" t="s">
        <v>4</v>
      </c>
      <c r="C647" s="1" t="n">
        <v>2218</v>
      </c>
      <c r="D647" s="1" t="n">
        <v>39</v>
      </c>
    </row>
    <row r="648" customFormat="false" ht="15" hidden="false" customHeight="true" outlineLevel="0" collapsed="false">
      <c r="A648" s="3" t="n">
        <v>46168.8125578704</v>
      </c>
      <c r="B648" s="1" t="s">
        <v>7</v>
      </c>
      <c r="C648" s="1" t="n">
        <v>2752</v>
      </c>
      <c r="D648" s="1" t="n">
        <v>3</v>
      </c>
    </row>
    <row r="649" customFormat="false" ht="15" hidden="false" customHeight="true" outlineLevel="0" collapsed="false">
      <c r="A649" s="3" t="n">
        <v>46168.8125578704</v>
      </c>
      <c r="B649" s="1" t="s">
        <v>8</v>
      </c>
      <c r="C649" s="1" t="n">
        <v>2789</v>
      </c>
      <c r="D649" s="1" t="n">
        <v>0</v>
      </c>
    </row>
    <row r="650" customFormat="false" ht="15" hidden="false" customHeight="true" outlineLevel="0" collapsed="false">
      <c r="A650" s="3" t="n">
        <v>46168.8125578704</v>
      </c>
      <c r="B650" s="1" t="s">
        <v>9</v>
      </c>
      <c r="C650" s="1" t="n">
        <v>2777</v>
      </c>
      <c r="D650" s="1" t="n">
        <v>0</v>
      </c>
    </row>
    <row r="651" customFormat="false" ht="15" hidden="false" customHeight="true" outlineLevel="0" collapsed="false">
      <c r="A651" s="3" t="n">
        <v>46168.8128935185</v>
      </c>
      <c r="B651" s="1" t="s">
        <v>5</v>
      </c>
      <c r="D651" s="1" t="n">
        <v>8.2</v>
      </c>
    </row>
    <row r="652" customFormat="false" ht="15" hidden="false" customHeight="true" outlineLevel="0" collapsed="false">
      <c r="A652" s="3" t="n">
        <v>46168.8129050926</v>
      </c>
      <c r="B652" s="1" t="s">
        <v>6</v>
      </c>
      <c r="C652" s="1" t="n">
        <v>2182</v>
      </c>
      <c r="D652" s="1" t="n">
        <v>36</v>
      </c>
    </row>
    <row r="653" customFormat="false" ht="15" hidden="false" customHeight="true" outlineLevel="0" collapsed="false">
      <c r="A653" s="3" t="n">
        <v>46168.8129050926</v>
      </c>
      <c r="B653" s="1" t="s">
        <v>4</v>
      </c>
      <c r="C653" s="1" t="n">
        <v>2179</v>
      </c>
      <c r="D653" s="1" t="n">
        <v>41</v>
      </c>
    </row>
    <row r="654" customFormat="false" ht="15" hidden="false" customHeight="true" outlineLevel="0" collapsed="false">
      <c r="A654" s="3" t="n">
        <v>46168.8129166667</v>
      </c>
      <c r="B654" s="1" t="s">
        <v>7</v>
      </c>
      <c r="C654" s="1" t="n">
        <v>2753</v>
      </c>
      <c r="D654" s="1" t="n">
        <v>3</v>
      </c>
    </row>
    <row r="655" customFormat="false" ht="15" hidden="false" customHeight="true" outlineLevel="0" collapsed="false">
      <c r="A655" s="3" t="n">
        <v>46168.8129166667</v>
      </c>
      <c r="B655" s="1" t="s">
        <v>8</v>
      </c>
      <c r="C655" s="1" t="n">
        <v>2794</v>
      </c>
      <c r="D655" s="1" t="n">
        <v>0</v>
      </c>
    </row>
    <row r="656" customFormat="false" ht="15" hidden="false" customHeight="true" outlineLevel="0" collapsed="false">
      <c r="A656" s="3" t="n">
        <v>46168.8129166667</v>
      </c>
      <c r="B656" s="1" t="s">
        <v>9</v>
      </c>
      <c r="C656" s="1" t="n">
        <v>2783</v>
      </c>
      <c r="D656" s="1" t="n">
        <v>0</v>
      </c>
    </row>
    <row r="657" customFormat="false" ht="15" hidden="false" customHeight="true" outlineLevel="0" collapsed="false">
      <c r="A657" s="3" t="n">
        <v>46168.8132523148</v>
      </c>
      <c r="B657" s="1" t="s">
        <v>5</v>
      </c>
      <c r="D657" s="1" t="n">
        <v>8.2</v>
      </c>
    </row>
    <row r="658" customFormat="false" ht="15" hidden="false" customHeight="true" outlineLevel="0" collapsed="false">
      <c r="A658" s="3" t="n">
        <v>46168.8132638889</v>
      </c>
      <c r="B658" s="1" t="s">
        <v>6</v>
      </c>
      <c r="C658" s="1" t="n">
        <v>2155</v>
      </c>
      <c r="D658" s="1" t="n">
        <v>37</v>
      </c>
    </row>
    <row r="659" customFormat="false" ht="15" hidden="false" customHeight="true" outlineLevel="0" collapsed="false">
      <c r="A659" s="3" t="n">
        <v>46168.8132638889</v>
      </c>
      <c r="B659" s="1" t="s">
        <v>7</v>
      </c>
      <c r="C659" s="1" t="n">
        <v>2757</v>
      </c>
      <c r="D659" s="1" t="n">
        <v>2</v>
      </c>
    </row>
    <row r="660" customFormat="false" ht="15" hidden="false" customHeight="true" outlineLevel="0" collapsed="false">
      <c r="A660" s="3" t="n">
        <v>46168.8132638889</v>
      </c>
      <c r="B660" s="1" t="s">
        <v>4</v>
      </c>
      <c r="C660" s="1" t="n">
        <v>2208</v>
      </c>
      <c r="D660" s="1" t="n">
        <v>39</v>
      </c>
    </row>
    <row r="661" customFormat="false" ht="15" hidden="false" customHeight="true" outlineLevel="0" collapsed="false">
      <c r="A661" s="3" t="n">
        <v>46168.813275463</v>
      </c>
      <c r="B661" s="1" t="s">
        <v>8</v>
      </c>
      <c r="C661" s="1" t="n">
        <v>2794</v>
      </c>
      <c r="D661" s="1" t="n">
        <v>0</v>
      </c>
    </row>
    <row r="662" customFormat="false" ht="15" hidden="false" customHeight="true" outlineLevel="0" collapsed="false">
      <c r="A662" s="3" t="n">
        <v>46168.813275463</v>
      </c>
      <c r="B662" s="1" t="s">
        <v>9</v>
      </c>
      <c r="C662" s="1" t="n">
        <v>2778</v>
      </c>
      <c r="D662" s="1" t="n">
        <v>0</v>
      </c>
    </row>
    <row r="663" customFormat="false" ht="15" hidden="false" customHeight="true" outlineLevel="0" collapsed="false">
      <c r="A663" s="3" t="n">
        <v>46168.8136111111</v>
      </c>
      <c r="B663" s="1" t="s">
        <v>6</v>
      </c>
      <c r="C663" s="1" t="n">
        <v>2181</v>
      </c>
      <c r="D663" s="1" t="n">
        <v>36</v>
      </c>
    </row>
    <row r="664" customFormat="false" ht="15" hidden="false" customHeight="true" outlineLevel="0" collapsed="false">
      <c r="A664" s="3" t="n">
        <v>46168.8136111111</v>
      </c>
      <c r="B664" s="1" t="s">
        <v>4</v>
      </c>
      <c r="C664" s="1" t="n">
        <v>2231</v>
      </c>
      <c r="D664" s="1" t="n">
        <v>38</v>
      </c>
    </row>
    <row r="665" customFormat="false" ht="15" hidden="false" customHeight="true" outlineLevel="0" collapsed="false">
      <c r="A665" s="3" t="n">
        <v>46168.8136111111</v>
      </c>
      <c r="B665" s="1" t="s">
        <v>5</v>
      </c>
      <c r="D665" s="1" t="n">
        <v>8.2</v>
      </c>
    </row>
    <row r="666" customFormat="false" ht="15" hidden="false" customHeight="true" outlineLevel="0" collapsed="false">
      <c r="A666" s="3" t="n">
        <v>46168.8136226852</v>
      </c>
      <c r="B666" s="1" t="s">
        <v>7</v>
      </c>
      <c r="C666" s="1" t="n">
        <v>2760</v>
      </c>
      <c r="D666" s="1" t="n">
        <v>2</v>
      </c>
    </row>
    <row r="667" customFormat="false" ht="15" hidden="false" customHeight="true" outlineLevel="0" collapsed="false">
      <c r="A667" s="3" t="n">
        <v>46168.8136226852</v>
      </c>
      <c r="B667" s="1" t="s">
        <v>8</v>
      </c>
      <c r="C667" s="1" t="n">
        <v>2798</v>
      </c>
      <c r="D667" s="1" t="n">
        <v>0</v>
      </c>
    </row>
    <row r="668" customFormat="false" ht="15" hidden="false" customHeight="true" outlineLevel="0" collapsed="false">
      <c r="A668" s="3" t="n">
        <v>46168.8136226852</v>
      </c>
      <c r="B668" s="1" t="s">
        <v>9</v>
      </c>
      <c r="C668" s="1" t="n">
        <v>2774</v>
      </c>
      <c r="D668" s="1" t="n">
        <v>0</v>
      </c>
    </row>
    <row r="669" customFormat="false" ht="15" hidden="false" customHeight="true" outlineLevel="0" collapsed="false">
      <c r="A669" s="3" t="n">
        <v>46168.8139583333</v>
      </c>
      <c r="B669" s="1" t="s">
        <v>6</v>
      </c>
      <c r="C669" s="1" t="n">
        <v>2183</v>
      </c>
      <c r="D669" s="1" t="n">
        <v>36</v>
      </c>
    </row>
    <row r="670" customFormat="false" ht="15" hidden="false" customHeight="true" outlineLevel="0" collapsed="false">
      <c r="A670" s="3" t="n">
        <v>46168.8139583333</v>
      </c>
      <c r="B670" s="1" t="s">
        <v>4</v>
      </c>
      <c r="C670" s="1" t="n">
        <v>2297</v>
      </c>
      <c r="D670" s="1" t="n">
        <v>33</v>
      </c>
    </row>
    <row r="671" customFormat="false" ht="15" hidden="false" customHeight="true" outlineLevel="0" collapsed="false">
      <c r="A671" s="3" t="n">
        <v>46168.8139583333</v>
      </c>
      <c r="B671" s="1" t="s">
        <v>5</v>
      </c>
      <c r="D671" s="1" t="n">
        <v>8.2</v>
      </c>
    </row>
    <row r="672" customFormat="false" ht="15" hidden="false" customHeight="true" outlineLevel="0" collapsed="false">
      <c r="A672" s="3" t="n">
        <v>46168.8139699074</v>
      </c>
      <c r="B672" s="1" t="s">
        <v>7</v>
      </c>
      <c r="C672" s="1" t="n">
        <v>2757</v>
      </c>
      <c r="D672" s="1" t="n">
        <v>2</v>
      </c>
    </row>
    <row r="673" customFormat="false" ht="15" hidden="false" customHeight="true" outlineLevel="0" collapsed="false">
      <c r="A673" s="3" t="n">
        <v>46168.8139699074</v>
      </c>
      <c r="B673" s="1" t="s">
        <v>8</v>
      </c>
      <c r="C673" s="1" t="n">
        <v>2800</v>
      </c>
      <c r="D673" s="1" t="n">
        <v>0</v>
      </c>
    </row>
    <row r="674" customFormat="false" ht="15" hidden="false" customHeight="true" outlineLevel="0" collapsed="false">
      <c r="A674" s="3" t="n">
        <v>46168.8139699074</v>
      </c>
      <c r="B674" s="1" t="s">
        <v>9</v>
      </c>
      <c r="C674" s="1" t="n">
        <v>2800</v>
      </c>
      <c r="D674" s="1" t="n">
        <v>0</v>
      </c>
    </row>
    <row r="675" customFormat="false" ht="15" hidden="false" customHeight="true" outlineLevel="0" collapsed="false">
      <c r="A675" s="3" t="n">
        <v>46168.8143055556</v>
      </c>
      <c r="B675" s="1" t="s">
        <v>6</v>
      </c>
      <c r="C675" s="1" t="n">
        <v>2189</v>
      </c>
      <c r="D675" s="1" t="n">
        <v>35</v>
      </c>
    </row>
    <row r="676" customFormat="false" ht="15" hidden="false" customHeight="true" outlineLevel="0" collapsed="false">
      <c r="A676" s="3" t="n">
        <v>46168.8143055556</v>
      </c>
      <c r="B676" s="1" t="s">
        <v>4</v>
      </c>
      <c r="C676" s="1" t="n">
        <v>2197</v>
      </c>
      <c r="D676" s="1" t="n">
        <v>40</v>
      </c>
    </row>
    <row r="677" customFormat="false" ht="15" hidden="false" customHeight="true" outlineLevel="0" collapsed="false">
      <c r="A677" s="3" t="n">
        <v>46168.8143055556</v>
      </c>
      <c r="B677" s="1" t="s">
        <v>5</v>
      </c>
      <c r="D677" s="1" t="n">
        <v>8.2</v>
      </c>
    </row>
    <row r="678" customFormat="false" ht="15" hidden="false" customHeight="true" outlineLevel="0" collapsed="false">
      <c r="A678" s="3" t="n">
        <v>46168.8143171296</v>
      </c>
      <c r="B678" s="1" t="s">
        <v>7</v>
      </c>
      <c r="C678" s="1" t="n">
        <v>2763</v>
      </c>
      <c r="D678" s="1" t="n">
        <v>2</v>
      </c>
    </row>
    <row r="679" customFormat="false" ht="15" hidden="false" customHeight="true" outlineLevel="0" collapsed="false">
      <c r="A679" s="3" t="n">
        <v>46168.8143171296</v>
      </c>
      <c r="B679" s="1" t="s">
        <v>8</v>
      </c>
      <c r="C679" s="1" t="n">
        <v>2804</v>
      </c>
      <c r="D679" s="1" t="n">
        <v>0</v>
      </c>
    </row>
    <row r="680" customFormat="false" ht="15" hidden="false" customHeight="true" outlineLevel="0" collapsed="false">
      <c r="A680" s="3" t="n">
        <v>46168.8143171296</v>
      </c>
      <c r="B680" s="1" t="s">
        <v>9</v>
      </c>
      <c r="C680" s="1" t="n">
        <v>2768</v>
      </c>
      <c r="D680" s="1" t="n">
        <v>0</v>
      </c>
    </row>
    <row r="681" customFormat="false" ht="15" hidden="false" customHeight="true" outlineLevel="0" collapsed="false">
      <c r="A681" s="3" t="n">
        <v>46168.8146527778</v>
      </c>
      <c r="B681" s="1" t="s">
        <v>5</v>
      </c>
      <c r="D681" s="1" t="n">
        <v>8.2</v>
      </c>
    </row>
    <row r="682" customFormat="false" ht="15" hidden="false" customHeight="true" outlineLevel="0" collapsed="false">
      <c r="A682" s="3" t="n">
        <v>46168.8146643519</v>
      </c>
      <c r="B682" s="1" t="s">
        <v>6</v>
      </c>
      <c r="C682" s="1" t="n">
        <v>2177</v>
      </c>
      <c r="D682" s="1" t="n">
        <v>36</v>
      </c>
    </row>
    <row r="683" customFormat="false" ht="15" hidden="false" customHeight="true" outlineLevel="0" collapsed="false">
      <c r="A683" s="3" t="n">
        <v>46168.8146643519</v>
      </c>
      <c r="B683" s="1" t="s">
        <v>7</v>
      </c>
      <c r="C683" s="1" t="n">
        <v>2763</v>
      </c>
      <c r="D683" s="1" t="n">
        <v>2</v>
      </c>
    </row>
    <row r="684" customFormat="false" ht="15" hidden="false" customHeight="true" outlineLevel="0" collapsed="false">
      <c r="A684" s="3" t="n">
        <v>46168.8146643519</v>
      </c>
      <c r="B684" s="1" t="s">
        <v>4</v>
      </c>
      <c r="C684" s="1" t="n">
        <v>2176</v>
      </c>
      <c r="D684" s="1" t="n">
        <v>41</v>
      </c>
    </row>
    <row r="685" customFormat="false" ht="15" hidden="false" customHeight="true" outlineLevel="0" collapsed="false">
      <c r="A685" s="3" t="n">
        <v>46168.8146759259</v>
      </c>
      <c r="B685" s="1" t="s">
        <v>8</v>
      </c>
      <c r="C685" s="1" t="n">
        <v>2802</v>
      </c>
      <c r="D685" s="1" t="n">
        <v>0</v>
      </c>
    </row>
    <row r="686" customFormat="false" ht="15" hidden="false" customHeight="true" outlineLevel="0" collapsed="false">
      <c r="A686" s="3" t="n">
        <v>46168.8146759259</v>
      </c>
      <c r="B686" s="1" t="s">
        <v>9</v>
      </c>
      <c r="C686" s="1" t="n">
        <v>2780</v>
      </c>
      <c r="D686" s="1" t="n">
        <v>0</v>
      </c>
    </row>
    <row r="687" customFormat="false" ht="15" hidden="false" customHeight="true" outlineLevel="0" collapsed="false">
      <c r="A687" s="3" t="n">
        <v>46168.815</v>
      </c>
      <c r="B687" s="1" t="s">
        <v>4</v>
      </c>
      <c r="C687" s="1" t="n">
        <v>2172</v>
      </c>
      <c r="D687" s="1" t="n">
        <v>42</v>
      </c>
    </row>
    <row r="688" customFormat="false" ht="15" hidden="false" customHeight="true" outlineLevel="0" collapsed="false">
      <c r="A688" s="3" t="n">
        <v>46168.815</v>
      </c>
      <c r="B688" s="1" t="s">
        <v>5</v>
      </c>
      <c r="D688" s="1" t="n">
        <v>8.2</v>
      </c>
    </row>
    <row r="689" customFormat="false" ht="15" hidden="false" customHeight="true" outlineLevel="0" collapsed="false">
      <c r="A689" s="3" t="n">
        <v>46168.8150115741</v>
      </c>
      <c r="B689" s="1" t="s">
        <v>6</v>
      </c>
      <c r="C689" s="1" t="n">
        <v>2177</v>
      </c>
      <c r="D689" s="1" t="n">
        <v>36</v>
      </c>
    </row>
    <row r="690" customFormat="false" ht="15" hidden="false" customHeight="true" outlineLevel="0" collapsed="false">
      <c r="A690" s="3" t="n">
        <v>46168.8150115741</v>
      </c>
      <c r="B690" s="1" t="s">
        <v>7</v>
      </c>
      <c r="C690" s="1" t="n">
        <v>2769</v>
      </c>
      <c r="D690" s="1" t="n">
        <v>1</v>
      </c>
    </row>
    <row r="691" customFormat="false" ht="15" hidden="false" customHeight="true" outlineLevel="0" collapsed="false">
      <c r="A691" s="3" t="n">
        <v>46168.8150115741</v>
      </c>
      <c r="B691" s="1" t="s">
        <v>8</v>
      </c>
      <c r="C691" s="1" t="n">
        <v>2803</v>
      </c>
      <c r="D691" s="1" t="n">
        <v>0</v>
      </c>
    </row>
    <row r="692" customFormat="false" ht="15" hidden="false" customHeight="true" outlineLevel="0" collapsed="false">
      <c r="A692" s="3" t="n">
        <v>46168.8150115741</v>
      </c>
      <c r="B692" s="1" t="s">
        <v>9</v>
      </c>
      <c r="C692" s="1" t="n">
        <v>2794</v>
      </c>
      <c r="D692" s="1" t="n">
        <v>0</v>
      </c>
    </row>
    <row r="693" customFormat="false" ht="15" hidden="false" customHeight="true" outlineLevel="0" collapsed="false">
      <c r="A693" s="3" t="n">
        <v>46168.8153472222</v>
      </c>
      <c r="B693" s="1" t="s">
        <v>4</v>
      </c>
      <c r="C693" s="1" t="n">
        <v>2188</v>
      </c>
      <c r="D693" s="1" t="n">
        <v>41</v>
      </c>
    </row>
    <row r="694" customFormat="false" ht="15" hidden="false" customHeight="true" outlineLevel="0" collapsed="false">
      <c r="A694" s="3" t="n">
        <v>46168.8153472222</v>
      </c>
      <c r="B694" s="1" t="s">
        <v>5</v>
      </c>
      <c r="D694" s="1" t="n">
        <v>8.2</v>
      </c>
    </row>
    <row r="695" customFormat="false" ht="15" hidden="false" customHeight="true" outlineLevel="0" collapsed="false">
      <c r="A695" s="3" t="n">
        <v>46168.8153587963</v>
      </c>
      <c r="B695" s="1" t="s">
        <v>6</v>
      </c>
      <c r="C695" s="1" t="n">
        <v>2181</v>
      </c>
      <c r="D695" s="1" t="n">
        <v>36</v>
      </c>
    </row>
    <row r="696" customFormat="false" ht="15" hidden="false" customHeight="true" outlineLevel="0" collapsed="false">
      <c r="A696" s="3" t="n">
        <v>46168.8153587963</v>
      </c>
      <c r="B696" s="1" t="s">
        <v>7</v>
      </c>
      <c r="C696" s="1" t="n">
        <v>2775</v>
      </c>
      <c r="D696" s="1" t="n">
        <v>1</v>
      </c>
    </row>
    <row r="697" customFormat="false" ht="15" hidden="false" customHeight="true" outlineLevel="0" collapsed="false">
      <c r="A697" s="3" t="n">
        <v>46168.8153587963</v>
      </c>
      <c r="B697" s="1" t="s">
        <v>8</v>
      </c>
      <c r="C697" s="1" t="n">
        <v>2812</v>
      </c>
      <c r="D697" s="1" t="n">
        <v>0</v>
      </c>
    </row>
    <row r="698" customFormat="false" ht="15" hidden="false" customHeight="true" outlineLevel="0" collapsed="false">
      <c r="A698" s="3" t="n">
        <v>46168.8153587963</v>
      </c>
      <c r="B698" s="1" t="s">
        <v>9</v>
      </c>
      <c r="C698" s="1" t="n">
        <v>2799</v>
      </c>
      <c r="D698" s="1" t="n">
        <v>0</v>
      </c>
    </row>
    <row r="699" customFormat="false" ht="15" hidden="false" customHeight="true" outlineLevel="0" collapsed="false">
      <c r="A699" s="3" t="n">
        <v>46168.8156944444</v>
      </c>
      <c r="B699" s="1" t="s">
        <v>5</v>
      </c>
      <c r="D699" s="1" t="n">
        <v>8.2</v>
      </c>
    </row>
    <row r="700" customFormat="false" ht="15" hidden="false" customHeight="true" outlineLevel="0" collapsed="false">
      <c r="A700" s="3" t="n">
        <v>46168.8157060185</v>
      </c>
      <c r="B700" s="1" t="s">
        <v>6</v>
      </c>
      <c r="C700" s="1" t="n">
        <v>2181</v>
      </c>
      <c r="D700" s="1" t="n">
        <v>36</v>
      </c>
    </row>
    <row r="701" customFormat="false" ht="15" hidden="false" customHeight="true" outlineLevel="0" collapsed="false">
      <c r="A701" s="3" t="n">
        <v>46168.8157060185</v>
      </c>
      <c r="B701" s="1" t="s">
        <v>7</v>
      </c>
      <c r="C701" s="1" t="n">
        <v>2775</v>
      </c>
      <c r="D701" s="1" t="n">
        <v>1</v>
      </c>
    </row>
    <row r="702" customFormat="false" ht="15" hidden="false" customHeight="true" outlineLevel="0" collapsed="false">
      <c r="A702" s="3" t="n">
        <v>46168.8157060185</v>
      </c>
      <c r="B702" s="1" t="s">
        <v>4</v>
      </c>
      <c r="C702" s="1" t="n">
        <v>2192</v>
      </c>
      <c r="D702" s="1" t="n">
        <v>40</v>
      </c>
    </row>
    <row r="703" customFormat="false" ht="15" hidden="false" customHeight="true" outlineLevel="0" collapsed="false">
      <c r="A703" s="3" t="n">
        <v>46168.8157060185</v>
      </c>
      <c r="B703" s="1" t="s">
        <v>8</v>
      </c>
      <c r="C703" s="1" t="n">
        <v>2811</v>
      </c>
      <c r="D703" s="1" t="n">
        <v>0</v>
      </c>
    </row>
    <row r="704" customFormat="false" ht="15" hidden="false" customHeight="true" outlineLevel="0" collapsed="false">
      <c r="A704" s="3" t="n">
        <v>46168.8157175926</v>
      </c>
      <c r="B704" s="1" t="s">
        <v>9</v>
      </c>
      <c r="C704" s="1" t="n">
        <v>2799</v>
      </c>
      <c r="D704" s="1" t="n">
        <v>0</v>
      </c>
    </row>
    <row r="705" customFormat="false" ht="15" hidden="false" customHeight="true" outlineLevel="0" collapsed="false">
      <c r="A705" s="3" t="n">
        <v>46168.8160532407</v>
      </c>
      <c r="B705" s="1" t="s">
        <v>4</v>
      </c>
      <c r="C705" s="1" t="n">
        <v>2213</v>
      </c>
      <c r="D705" s="1" t="n">
        <v>39</v>
      </c>
    </row>
    <row r="706" customFormat="false" ht="15" hidden="false" customHeight="true" outlineLevel="0" collapsed="false">
      <c r="A706" s="3" t="n">
        <v>46168.8160532407</v>
      </c>
      <c r="B706" s="1" t="s">
        <v>5</v>
      </c>
      <c r="D706" s="1" t="n">
        <v>8.2</v>
      </c>
    </row>
    <row r="707" customFormat="false" ht="15" hidden="false" customHeight="true" outlineLevel="0" collapsed="false">
      <c r="A707" s="3" t="n">
        <v>46168.8160648148</v>
      </c>
      <c r="B707" s="1" t="s">
        <v>6</v>
      </c>
      <c r="C707" s="1" t="n">
        <v>2223</v>
      </c>
      <c r="D707" s="1" t="n">
        <v>33</v>
      </c>
    </row>
    <row r="708" customFormat="false" ht="15" hidden="false" customHeight="true" outlineLevel="0" collapsed="false">
      <c r="A708" s="3" t="n">
        <v>46168.8160648148</v>
      </c>
      <c r="B708" s="1" t="s">
        <v>7</v>
      </c>
      <c r="C708" s="1" t="n">
        <v>2777</v>
      </c>
      <c r="D708" s="1" t="n">
        <v>0</v>
      </c>
    </row>
    <row r="709" customFormat="false" ht="15" hidden="false" customHeight="true" outlineLevel="0" collapsed="false">
      <c r="A709" s="3" t="n">
        <v>46168.8160648148</v>
      </c>
      <c r="B709" s="1" t="s">
        <v>8</v>
      </c>
      <c r="C709" s="1" t="n">
        <v>2819</v>
      </c>
      <c r="D709" s="1" t="n">
        <v>0</v>
      </c>
    </row>
    <row r="710" customFormat="false" ht="15" hidden="false" customHeight="true" outlineLevel="0" collapsed="false">
      <c r="A710" s="3" t="n">
        <v>46168.8160763889</v>
      </c>
      <c r="B710" s="1" t="s">
        <v>9</v>
      </c>
      <c r="C710" s="1" t="n">
        <v>2801</v>
      </c>
      <c r="D710" s="1" t="n">
        <v>0</v>
      </c>
    </row>
    <row r="711" customFormat="false" ht="15" hidden="false" customHeight="true" outlineLevel="0" collapsed="false">
      <c r="A711" s="3" t="n">
        <v>46168.816400463</v>
      </c>
      <c r="B711" s="1" t="s">
        <v>5</v>
      </c>
      <c r="D711" s="1" t="n">
        <v>8.2</v>
      </c>
    </row>
    <row r="712" customFormat="false" ht="15" hidden="false" customHeight="true" outlineLevel="0" collapsed="false">
      <c r="A712" s="3" t="n">
        <v>46168.816412037</v>
      </c>
      <c r="B712" s="1" t="s">
        <v>6</v>
      </c>
      <c r="C712" s="1" t="n">
        <v>2160</v>
      </c>
      <c r="D712" s="1" t="n">
        <v>37</v>
      </c>
    </row>
    <row r="713" customFormat="false" ht="15" hidden="false" customHeight="true" outlineLevel="0" collapsed="false">
      <c r="A713" s="3" t="n">
        <v>46168.816412037</v>
      </c>
      <c r="B713" s="1" t="s">
        <v>4</v>
      </c>
      <c r="C713" s="1" t="n">
        <v>2192</v>
      </c>
      <c r="D713" s="1" t="n">
        <v>40</v>
      </c>
    </row>
    <row r="714" customFormat="false" ht="15" hidden="false" customHeight="true" outlineLevel="0" collapsed="false">
      <c r="A714" s="3" t="n">
        <v>46168.8164236111</v>
      </c>
      <c r="B714" s="1" t="s">
        <v>7</v>
      </c>
      <c r="C714" s="1" t="n">
        <v>2799</v>
      </c>
      <c r="D714" s="1" t="n">
        <v>0</v>
      </c>
    </row>
    <row r="715" customFormat="false" ht="15" hidden="false" customHeight="true" outlineLevel="0" collapsed="false">
      <c r="A715" s="3" t="n">
        <v>46168.8164236111</v>
      </c>
      <c r="B715" s="1" t="s">
        <v>8</v>
      </c>
      <c r="C715" s="1" t="n">
        <v>2816</v>
      </c>
      <c r="D715" s="1" t="n">
        <v>0</v>
      </c>
    </row>
    <row r="716" customFormat="false" ht="15" hidden="false" customHeight="true" outlineLevel="0" collapsed="false">
      <c r="A716" s="3" t="n">
        <v>46168.8164236111</v>
      </c>
      <c r="B716" s="1" t="s">
        <v>9</v>
      </c>
      <c r="C716" s="1" t="n">
        <v>2804</v>
      </c>
      <c r="D716" s="1" t="n">
        <v>0</v>
      </c>
    </row>
    <row r="717" customFormat="false" ht="15" hidden="false" customHeight="true" outlineLevel="0" collapsed="false">
      <c r="A717" s="3" t="n">
        <v>46168.8167592593</v>
      </c>
      <c r="B717" s="1" t="s">
        <v>6</v>
      </c>
      <c r="C717" s="1" t="n">
        <v>2265</v>
      </c>
      <c r="D717" s="1" t="n">
        <v>30</v>
      </c>
    </row>
    <row r="718" customFormat="false" ht="15" hidden="false" customHeight="true" outlineLevel="0" collapsed="false">
      <c r="A718" s="3" t="n">
        <v>46168.8167592593</v>
      </c>
      <c r="B718" s="1" t="s">
        <v>7</v>
      </c>
      <c r="C718" s="1" t="n">
        <v>2771</v>
      </c>
      <c r="D718" s="1" t="n">
        <v>1</v>
      </c>
    </row>
    <row r="719" customFormat="false" ht="15" hidden="false" customHeight="true" outlineLevel="0" collapsed="false">
      <c r="A719" s="3" t="n">
        <v>46168.8167592593</v>
      </c>
      <c r="B719" s="1" t="s">
        <v>4</v>
      </c>
      <c r="C719" s="1" t="n">
        <v>2194</v>
      </c>
      <c r="D719" s="1" t="n">
        <v>40</v>
      </c>
    </row>
    <row r="720" customFormat="false" ht="15" hidden="false" customHeight="true" outlineLevel="0" collapsed="false">
      <c r="A720" s="3" t="n">
        <v>46168.8167592593</v>
      </c>
      <c r="B720" s="1" t="s">
        <v>5</v>
      </c>
      <c r="D720" s="1" t="n">
        <v>8.2</v>
      </c>
    </row>
    <row r="721" customFormat="false" ht="15" hidden="false" customHeight="true" outlineLevel="0" collapsed="false">
      <c r="A721" s="3" t="n">
        <v>46168.8167708333</v>
      </c>
      <c r="B721" s="1" t="s">
        <v>8</v>
      </c>
      <c r="C721" s="1" t="n">
        <v>2822</v>
      </c>
      <c r="D721" s="1" t="n">
        <v>0</v>
      </c>
    </row>
    <row r="722" customFormat="false" ht="15" hidden="false" customHeight="true" outlineLevel="0" collapsed="false">
      <c r="A722" s="3" t="n">
        <v>46168.8167708333</v>
      </c>
      <c r="B722" s="1" t="s">
        <v>9</v>
      </c>
      <c r="C722" s="1" t="n">
        <v>2802</v>
      </c>
      <c r="D722" s="1" t="n">
        <v>0</v>
      </c>
    </row>
    <row r="723" customFormat="false" ht="15" hidden="false" customHeight="true" outlineLevel="0" collapsed="false">
      <c r="A723" s="3" t="n">
        <v>46168.8171064815</v>
      </c>
      <c r="B723" s="1" t="s">
        <v>6</v>
      </c>
      <c r="C723" s="1" t="n">
        <v>2178</v>
      </c>
      <c r="D723" s="1" t="n">
        <v>36</v>
      </c>
    </row>
    <row r="724" customFormat="false" ht="15" hidden="false" customHeight="true" outlineLevel="0" collapsed="false">
      <c r="A724" s="3" t="n">
        <v>46168.8171064815</v>
      </c>
      <c r="B724" s="1" t="s">
        <v>7</v>
      </c>
      <c r="C724" s="1" t="n">
        <v>2784</v>
      </c>
      <c r="D724" s="1" t="n">
        <v>0</v>
      </c>
    </row>
    <row r="725" customFormat="false" ht="15" hidden="false" customHeight="true" outlineLevel="0" collapsed="false">
      <c r="A725" s="3" t="n">
        <v>46168.8171064815</v>
      </c>
      <c r="B725" s="1" t="s">
        <v>4</v>
      </c>
      <c r="C725" s="1" t="n">
        <v>2207</v>
      </c>
      <c r="D725" s="1" t="n">
        <v>39</v>
      </c>
    </row>
    <row r="726" customFormat="false" ht="15" hidden="false" customHeight="true" outlineLevel="0" collapsed="false">
      <c r="A726" s="3" t="n">
        <v>46168.8171064815</v>
      </c>
      <c r="B726" s="1" t="s">
        <v>5</v>
      </c>
      <c r="D726" s="1" t="n">
        <v>8.4</v>
      </c>
    </row>
    <row r="727" customFormat="false" ht="15" hidden="false" customHeight="true" outlineLevel="0" collapsed="false">
      <c r="A727" s="3" t="n">
        <v>46168.8171180556</v>
      </c>
      <c r="B727" s="1" t="s">
        <v>8</v>
      </c>
      <c r="C727" s="1" t="n">
        <v>2823</v>
      </c>
      <c r="D727" s="1" t="n">
        <v>0</v>
      </c>
    </row>
    <row r="728" customFormat="false" ht="15" hidden="false" customHeight="true" outlineLevel="0" collapsed="false">
      <c r="A728" s="3" t="n">
        <v>46168.8171180556</v>
      </c>
      <c r="B728" s="1" t="s">
        <v>9</v>
      </c>
      <c r="C728" s="1" t="n">
        <v>2797</v>
      </c>
      <c r="D728" s="1" t="n">
        <v>0</v>
      </c>
    </row>
    <row r="729" customFormat="false" ht="15" hidden="false" customHeight="true" outlineLevel="0" collapsed="false">
      <c r="A729" s="3" t="n">
        <v>46168.8174537037</v>
      </c>
      <c r="B729" s="1" t="s">
        <v>6</v>
      </c>
      <c r="C729" s="1" t="n">
        <v>2178</v>
      </c>
      <c r="D729" s="1" t="n">
        <v>36</v>
      </c>
    </row>
    <row r="730" customFormat="false" ht="15" hidden="false" customHeight="true" outlineLevel="0" collapsed="false">
      <c r="A730" s="3" t="n">
        <v>46168.8174537037</v>
      </c>
      <c r="B730" s="1" t="s">
        <v>4</v>
      </c>
      <c r="C730" s="1" t="n">
        <v>2193</v>
      </c>
      <c r="D730" s="1" t="n">
        <v>40</v>
      </c>
    </row>
    <row r="731" customFormat="false" ht="15" hidden="false" customHeight="true" outlineLevel="0" collapsed="false">
      <c r="A731" s="3" t="n">
        <v>46168.8174537037</v>
      </c>
      <c r="B731" s="1" t="s">
        <v>5</v>
      </c>
      <c r="D731" s="1" t="n">
        <v>8.2</v>
      </c>
    </row>
    <row r="732" customFormat="false" ht="15" hidden="false" customHeight="true" outlineLevel="0" collapsed="false">
      <c r="A732" s="3" t="n">
        <v>46168.8174652778</v>
      </c>
      <c r="B732" s="1" t="s">
        <v>7</v>
      </c>
      <c r="C732" s="1" t="n">
        <v>2783</v>
      </c>
      <c r="D732" s="1" t="n">
        <v>0</v>
      </c>
    </row>
    <row r="733" customFormat="false" ht="15" hidden="false" customHeight="true" outlineLevel="0" collapsed="false">
      <c r="A733" s="3" t="n">
        <v>46168.8174652778</v>
      </c>
      <c r="B733" s="1" t="s">
        <v>8</v>
      </c>
      <c r="C733" s="1" t="n">
        <v>2827</v>
      </c>
      <c r="D733" s="1" t="n">
        <v>0</v>
      </c>
    </row>
    <row r="734" customFormat="false" ht="15" hidden="false" customHeight="true" outlineLevel="0" collapsed="false">
      <c r="A734" s="3" t="n">
        <v>46168.8174652778</v>
      </c>
      <c r="B734" s="1" t="s">
        <v>9</v>
      </c>
      <c r="C734" s="1" t="n">
        <v>2812</v>
      </c>
      <c r="D734" s="1" t="n">
        <v>0</v>
      </c>
    </row>
    <row r="735" customFormat="false" ht="15" hidden="false" customHeight="true" outlineLevel="0" collapsed="false">
      <c r="A735" s="3" t="n">
        <v>46168.8178009259</v>
      </c>
      <c r="B735" s="1" t="s">
        <v>6</v>
      </c>
      <c r="C735" s="1" t="n">
        <v>2180</v>
      </c>
      <c r="D735" s="1" t="n">
        <v>36</v>
      </c>
    </row>
    <row r="736" customFormat="false" ht="15" hidden="false" customHeight="true" outlineLevel="0" collapsed="false">
      <c r="A736" s="3" t="n">
        <v>46168.8178009259</v>
      </c>
      <c r="B736" s="1" t="s">
        <v>4</v>
      </c>
      <c r="C736" s="1" t="n">
        <v>2167</v>
      </c>
      <c r="D736" s="1" t="n">
        <v>42</v>
      </c>
    </row>
    <row r="737" customFormat="false" ht="15" hidden="false" customHeight="true" outlineLevel="0" collapsed="false">
      <c r="A737" s="3" t="n">
        <v>46168.8178009259</v>
      </c>
      <c r="B737" s="1" t="s">
        <v>5</v>
      </c>
      <c r="D737" s="1" t="n">
        <v>8.2</v>
      </c>
    </row>
    <row r="738" customFormat="false" ht="15" hidden="false" customHeight="true" outlineLevel="0" collapsed="false">
      <c r="A738" s="3" t="n">
        <v>46168.8178125</v>
      </c>
      <c r="B738" s="1" t="s">
        <v>7</v>
      </c>
      <c r="C738" s="1" t="n">
        <v>2785</v>
      </c>
      <c r="D738" s="1" t="n">
        <v>0</v>
      </c>
    </row>
    <row r="739" customFormat="false" ht="15" hidden="false" customHeight="true" outlineLevel="0" collapsed="false">
      <c r="A739" s="3" t="n">
        <v>46168.8178125</v>
      </c>
      <c r="B739" s="1" t="s">
        <v>8</v>
      </c>
      <c r="C739" s="1" t="n">
        <v>2826</v>
      </c>
      <c r="D739" s="1" t="n">
        <v>0</v>
      </c>
    </row>
    <row r="740" customFormat="false" ht="15" hidden="false" customHeight="true" outlineLevel="0" collapsed="false">
      <c r="A740" s="3" t="n">
        <v>46168.8178240741</v>
      </c>
      <c r="B740" s="1" t="s">
        <v>9</v>
      </c>
      <c r="C740" s="1" t="n">
        <v>2811</v>
      </c>
      <c r="D740" s="1" t="n">
        <v>0</v>
      </c>
    </row>
    <row r="741" customFormat="false" ht="15" hidden="false" customHeight="true" outlineLevel="0" collapsed="false">
      <c r="A741" s="3" t="n">
        <v>46168.8181481482</v>
      </c>
      <c r="B741" s="1" t="s">
        <v>4</v>
      </c>
      <c r="C741" s="1" t="n">
        <v>2191</v>
      </c>
      <c r="D741" s="1" t="n">
        <v>40</v>
      </c>
    </row>
    <row r="742" customFormat="false" ht="15" hidden="false" customHeight="true" outlineLevel="0" collapsed="false">
      <c r="A742" s="3" t="n">
        <v>46168.8181481482</v>
      </c>
      <c r="B742" s="1" t="s">
        <v>5</v>
      </c>
      <c r="D742" s="1" t="n">
        <v>8.2</v>
      </c>
    </row>
    <row r="743" customFormat="false" ht="15" hidden="false" customHeight="true" outlineLevel="0" collapsed="false">
      <c r="A743" s="3" t="n">
        <v>46168.8181597222</v>
      </c>
      <c r="B743" s="1" t="s">
        <v>6</v>
      </c>
      <c r="C743" s="1" t="n">
        <v>2133</v>
      </c>
      <c r="D743" s="1" t="n">
        <v>39</v>
      </c>
    </row>
    <row r="744" customFormat="false" ht="15" hidden="false" customHeight="true" outlineLevel="0" collapsed="false">
      <c r="A744" s="3" t="n">
        <v>46168.8181597222</v>
      </c>
      <c r="B744" s="1" t="s">
        <v>7</v>
      </c>
      <c r="C744" s="1" t="n">
        <v>2784</v>
      </c>
      <c r="D744" s="1" t="n">
        <v>0</v>
      </c>
    </row>
    <row r="745" customFormat="false" ht="15" hidden="false" customHeight="true" outlineLevel="0" collapsed="false">
      <c r="A745" s="3" t="n">
        <v>46168.8181597222</v>
      </c>
      <c r="B745" s="1" t="s">
        <v>8</v>
      </c>
      <c r="C745" s="1" t="n">
        <v>2832</v>
      </c>
      <c r="D745" s="1" t="n">
        <v>0</v>
      </c>
    </row>
    <row r="746" customFormat="false" ht="15" hidden="false" customHeight="true" outlineLevel="0" collapsed="false">
      <c r="A746" s="3" t="n">
        <v>46168.8181712963</v>
      </c>
      <c r="B746" s="1" t="s">
        <v>9</v>
      </c>
      <c r="C746" s="1" t="n">
        <v>2813</v>
      </c>
      <c r="D746" s="1" t="n">
        <v>0</v>
      </c>
    </row>
    <row r="747" customFormat="false" ht="15" hidden="false" customHeight="true" outlineLevel="0" collapsed="false">
      <c r="A747" s="3" t="n">
        <v>46168.8184953704</v>
      </c>
      <c r="B747" s="1" t="s">
        <v>5</v>
      </c>
      <c r="D747" s="1" t="n">
        <v>8.2</v>
      </c>
    </row>
    <row r="748" customFormat="false" ht="15" hidden="false" customHeight="true" outlineLevel="0" collapsed="false">
      <c r="A748" s="3" t="n">
        <v>46168.8185069444</v>
      </c>
      <c r="B748" s="1" t="s">
        <v>6</v>
      </c>
      <c r="C748" s="1" t="n">
        <v>2181</v>
      </c>
      <c r="D748" s="1" t="n">
        <v>36</v>
      </c>
    </row>
    <row r="749" customFormat="false" ht="15" hidden="false" customHeight="true" outlineLevel="0" collapsed="false">
      <c r="A749" s="3" t="n">
        <v>46168.8185069444</v>
      </c>
      <c r="B749" s="1" t="s">
        <v>4</v>
      </c>
      <c r="C749" s="1" t="n">
        <v>2191</v>
      </c>
      <c r="D749" s="1" t="n">
        <v>40</v>
      </c>
    </row>
    <row r="750" customFormat="false" ht="15" hidden="false" customHeight="true" outlineLevel="0" collapsed="false">
      <c r="A750" s="3" t="n">
        <v>46168.8185185185</v>
      </c>
      <c r="B750" s="1" t="s">
        <v>7</v>
      </c>
      <c r="C750" s="1" t="n">
        <v>2788</v>
      </c>
      <c r="D750" s="1" t="n">
        <v>0</v>
      </c>
    </row>
    <row r="751" customFormat="false" ht="15" hidden="false" customHeight="true" outlineLevel="0" collapsed="false">
      <c r="A751" s="3" t="n">
        <v>46168.8185185185</v>
      </c>
      <c r="B751" s="1" t="s">
        <v>8</v>
      </c>
      <c r="C751" s="1" t="n">
        <v>2830</v>
      </c>
      <c r="D751" s="1" t="n">
        <v>0</v>
      </c>
    </row>
    <row r="752" customFormat="false" ht="15" hidden="false" customHeight="true" outlineLevel="0" collapsed="false">
      <c r="A752" s="3" t="n">
        <v>46168.8185185185</v>
      </c>
      <c r="B752" s="1" t="s">
        <v>9</v>
      </c>
      <c r="C752" s="1" t="n">
        <v>2825</v>
      </c>
      <c r="D752" s="1" t="n">
        <v>0</v>
      </c>
    </row>
    <row r="753" customFormat="false" ht="15" hidden="false" customHeight="true" outlineLevel="0" collapsed="false">
      <c r="A753" s="3" t="n">
        <v>46168.8188541667</v>
      </c>
      <c r="B753" s="1" t="s">
        <v>4</v>
      </c>
      <c r="C753" s="1" t="n">
        <v>2193</v>
      </c>
      <c r="D753" s="1" t="n">
        <v>40</v>
      </c>
    </row>
    <row r="754" customFormat="false" ht="15" hidden="false" customHeight="true" outlineLevel="0" collapsed="false">
      <c r="A754" s="3" t="n">
        <v>46168.8188541667</v>
      </c>
      <c r="B754" s="1" t="s">
        <v>5</v>
      </c>
      <c r="D754" s="1" t="n">
        <v>8.2</v>
      </c>
    </row>
    <row r="755" customFormat="false" ht="15" hidden="false" customHeight="true" outlineLevel="0" collapsed="false">
      <c r="A755" s="3" t="n">
        <v>46168.8188657407</v>
      </c>
      <c r="B755" s="1" t="s">
        <v>6</v>
      </c>
      <c r="C755" s="1" t="n">
        <v>2178</v>
      </c>
      <c r="D755" s="1" t="n">
        <v>36</v>
      </c>
    </row>
    <row r="756" customFormat="false" ht="15" hidden="false" customHeight="true" outlineLevel="0" collapsed="false">
      <c r="A756" s="3" t="n">
        <v>46168.8188657407</v>
      </c>
      <c r="B756" s="1" t="s">
        <v>7</v>
      </c>
      <c r="C756" s="1" t="n">
        <v>2785</v>
      </c>
      <c r="D756" s="1" t="n">
        <v>0</v>
      </c>
    </row>
    <row r="757" customFormat="false" ht="15" hidden="false" customHeight="true" outlineLevel="0" collapsed="false">
      <c r="A757" s="3" t="n">
        <v>46168.8188657407</v>
      </c>
      <c r="B757" s="1" t="s">
        <v>8</v>
      </c>
      <c r="C757" s="1" t="n">
        <v>2838</v>
      </c>
      <c r="D757" s="1" t="n">
        <v>0</v>
      </c>
    </row>
    <row r="758" customFormat="false" ht="15" hidden="false" customHeight="true" outlineLevel="0" collapsed="false">
      <c r="A758" s="3" t="n">
        <v>46168.8188657407</v>
      </c>
      <c r="B758" s="1" t="s">
        <v>9</v>
      </c>
      <c r="C758" s="1" t="n">
        <v>2821</v>
      </c>
      <c r="D758" s="1" t="n">
        <v>0</v>
      </c>
    </row>
    <row r="759" customFormat="false" ht="15" hidden="false" customHeight="true" outlineLevel="0" collapsed="false">
      <c r="A759" s="3" t="n">
        <v>46168.8192013889</v>
      </c>
      <c r="B759" s="1" t="s">
        <v>5</v>
      </c>
      <c r="D759" s="1" t="n">
        <v>8.2</v>
      </c>
    </row>
    <row r="760" customFormat="false" ht="15" hidden="false" customHeight="true" outlineLevel="0" collapsed="false">
      <c r="A760" s="3" t="n">
        <v>46168.819212963</v>
      </c>
      <c r="B760" s="1" t="s">
        <v>6</v>
      </c>
      <c r="C760" s="1" t="n">
        <v>2178</v>
      </c>
      <c r="D760" s="1" t="n">
        <v>36</v>
      </c>
    </row>
    <row r="761" customFormat="false" ht="15" hidden="false" customHeight="true" outlineLevel="0" collapsed="false">
      <c r="A761" s="3" t="n">
        <v>46168.819212963</v>
      </c>
      <c r="B761" s="1" t="s">
        <v>7</v>
      </c>
      <c r="C761" s="1" t="n">
        <v>2791</v>
      </c>
      <c r="D761" s="1" t="n">
        <v>0</v>
      </c>
    </row>
    <row r="762" customFormat="false" ht="15" hidden="false" customHeight="true" outlineLevel="0" collapsed="false">
      <c r="A762" s="3" t="n">
        <v>46168.819212963</v>
      </c>
      <c r="B762" s="1" t="s">
        <v>4</v>
      </c>
      <c r="C762" s="1" t="n">
        <v>2346</v>
      </c>
      <c r="D762" s="1" t="n">
        <v>30</v>
      </c>
    </row>
    <row r="763" customFormat="false" ht="15" hidden="false" customHeight="true" outlineLevel="0" collapsed="false">
      <c r="A763" s="3" t="n">
        <v>46168.819224537</v>
      </c>
      <c r="B763" s="1" t="s">
        <v>8</v>
      </c>
      <c r="C763" s="1" t="n">
        <v>2837</v>
      </c>
      <c r="D763" s="1" t="n">
        <v>0</v>
      </c>
    </row>
    <row r="764" customFormat="false" ht="15" hidden="false" customHeight="true" outlineLevel="0" collapsed="false">
      <c r="A764" s="3" t="n">
        <v>46168.819224537</v>
      </c>
      <c r="B764" s="1" t="s">
        <v>9</v>
      </c>
      <c r="C764" s="1" t="n">
        <v>2820</v>
      </c>
      <c r="D764" s="1" t="n">
        <v>0</v>
      </c>
    </row>
    <row r="765" customFormat="false" ht="15" hidden="false" customHeight="true" outlineLevel="0" collapsed="false">
      <c r="A765" s="3" t="n">
        <v>46168.8195601852</v>
      </c>
      <c r="B765" s="1" t="s">
        <v>4</v>
      </c>
      <c r="C765" s="1" t="n">
        <v>2189</v>
      </c>
      <c r="D765" s="1" t="n">
        <v>41</v>
      </c>
    </row>
    <row r="766" customFormat="false" ht="15" hidden="false" customHeight="true" outlineLevel="0" collapsed="false">
      <c r="A766" s="3" t="n">
        <v>46168.8195601852</v>
      </c>
      <c r="B766" s="1" t="s">
        <v>5</v>
      </c>
      <c r="D766" s="1" t="n">
        <v>8.2</v>
      </c>
    </row>
    <row r="767" customFormat="false" ht="15" hidden="false" customHeight="true" outlineLevel="0" collapsed="false">
      <c r="A767" s="3" t="n">
        <v>46168.8195717593</v>
      </c>
      <c r="B767" s="1" t="s">
        <v>6</v>
      </c>
      <c r="C767" s="1" t="n">
        <v>2192</v>
      </c>
      <c r="D767" s="1" t="n">
        <v>35</v>
      </c>
    </row>
    <row r="768" customFormat="false" ht="15" hidden="false" customHeight="true" outlineLevel="0" collapsed="false">
      <c r="A768" s="3" t="n">
        <v>46168.8195717593</v>
      </c>
      <c r="B768" s="1" t="s">
        <v>7</v>
      </c>
      <c r="C768" s="1" t="n">
        <v>2797</v>
      </c>
      <c r="D768" s="1" t="n">
        <v>0</v>
      </c>
    </row>
    <row r="769" customFormat="false" ht="15" hidden="false" customHeight="true" outlineLevel="0" collapsed="false">
      <c r="A769" s="3" t="n">
        <v>46168.8195717593</v>
      </c>
      <c r="B769" s="1" t="s">
        <v>8</v>
      </c>
      <c r="C769" s="1" t="n">
        <v>2838</v>
      </c>
      <c r="D769" s="1" t="n">
        <v>0</v>
      </c>
    </row>
    <row r="770" customFormat="false" ht="15" hidden="false" customHeight="true" outlineLevel="0" collapsed="false">
      <c r="A770" s="3" t="n">
        <v>46168.8195833333</v>
      </c>
      <c r="B770" s="1" t="s">
        <v>9</v>
      </c>
      <c r="C770" s="1" t="n">
        <v>2822</v>
      </c>
      <c r="D770" s="1" t="n">
        <v>0</v>
      </c>
    </row>
    <row r="771" customFormat="false" ht="15" hidden="false" customHeight="true" outlineLevel="0" collapsed="false">
      <c r="A771" s="3" t="n">
        <v>46168.8199074074</v>
      </c>
      <c r="B771" s="1" t="s">
        <v>5</v>
      </c>
      <c r="D771" s="1" t="n">
        <v>8.2</v>
      </c>
    </row>
    <row r="772" customFormat="false" ht="15" hidden="false" customHeight="true" outlineLevel="0" collapsed="false">
      <c r="A772" s="3" t="n">
        <v>46168.8199189815</v>
      </c>
      <c r="B772" s="1" t="s">
        <v>6</v>
      </c>
      <c r="C772" s="1" t="n">
        <v>2178</v>
      </c>
      <c r="D772" s="1" t="n">
        <v>36</v>
      </c>
    </row>
    <row r="773" customFormat="false" ht="15" hidden="false" customHeight="true" outlineLevel="0" collapsed="false">
      <c r="A773" s="3" t="n">
        <v>46168.8199189815</v>
      </c>
      <c r="B773" s="1" t="s">
        <v>7</v>
      </c>
      <c r="C773" s="1" t="n">
        <v>2793</v>
      </c>
      <c r="D773" s="1" t="n">
        <v>0</v>
      </c>
    </row>
    <row r="774" customFormat="false" ht="15" hidden="false" customHeight="true" outlineLevel="0" collapsed="false">
      <c r="A774" s="3" t="n">
        <v>46168.8199189815</v>
      </c>
      <c r="B774" s="1" t="s">
        <v>4</v>
      </c>
      <c r="C774" s="1" t="n">
        <v>2194</v>
      </c>
      <c r="D774" s="1" t="n">
        <v>40</v>
      </c>
    </row>
    <row r="775" customFormat="false" ht="15" hidden="false" customHeight="true" outlineLevel="0" collapsed="false">
      <c r="A775" s="3" t="n">
        <v>46168.8199189815</v>
      </c>
      <c r="B775" s="1" t="s">
        <v>8</v>
      </c>
      <c r="C775" s="1" t="n">
        <v>2835</v>
      </c>
      <c r="D775" s="1" t="n">
        <v>0</v>
      </c>
    </row>
    <row r="776" customFormat="false" ht="15" hidden="false" customHeight="true" outlineLevel="0" collapsed="false">
      <c r="A776" s="3" t="n">
        <v>46168.8199305556</v>
      </c>
      <c r="B776" s="1" t="s">
        <v>9</v>
      </c>
      <c r="C776" s="1" t="n">
        <v>2831</v>
      </c>
      <c r="D776" s="1" t="n">
        <v>0</v>
      </c>
    </row>
    <row r="777" customFormat="false" ht="15" hidden="false" customHeight="true" outlineLevel="0" collapsed="false">
      <c r="A777" s="3" t="n">
        <v>46168.8202662037</v>
      </c>
      <c r="B777" s="1" t="s">
        <v>6</v>
      </c>
      <c r="C777" s="1" t="n">
        <v>2190</v>
      </c>
      <c r="D777" s="1" t="n">
        <v>35</v>
      </c>
    </row>
    <row r="778" customFormat="false" ht="15" hidden="false" customHeight="true" outlineLevel="0" collapsed="false">
      <c r="A778" s="3" t="n">
        <v>46168.8202662037</v>
      </c>
      <c r="B778" s="1" t="s">
        <v>7</v>
      </c>
      <c r="C778" s="1" t="n">
        <v>2797</v>
      </c>
      <c r="D778" s="1" t="n">
        <v>0</v>
      </c>
    </row>
    <row r="779" customFormat="false" ht="15" hidden="false" customHeight="true" outlineLevel="0" collapsed="false">
      <c r="A779" s="3" t="n">
        <v>46168.8202662037</v>
      </c>
      <c r="B779" s="1" t="s">
        <v>4</v>
      </c>
      <c r="C779" s="1" t="n">
        <v>2191</v>
      </c>
      <c r="D779" s="1" t="n">
        <v>40</v>
      </c>
    </row>
    <row r="780" customFormat="false" ht="15" hidden="false" customHeight="true" outlineLevel="0" collapsed="false">
      <c r="A780" s="3" t="n">
        <v>46168.8202662037</v>
      </c>
      <c r="B780" s="1" t="s">
        <v>5</v>
      </c>
      <c r="D780" s="1" t="n">
        <v>8.2</v>
      </c>
    </row>
    <row r="781" customFormat="false" ht="15" hidden="false" customHeight="true" outlineLevel="0" collapsed="false">
      <c r="A781" s="3" t="n">
        <v>46168.8202777778</v>
      </c>
      <c r="B781" s="1" t="s">
        <v>8</v>
      </c>
      <c r="C781" s="1" t="n">
        <v>2848</v>
      </c>
      <c r="D781" s="1" t="n">
        <v>0</v>
      </c>
    </row>
    <row r="782" customFormat="false" ht="15" hidden="false" customHeight="true" outlineLevel="0" collapsed="false">
      <c r="A782" s="3" t="n">
        <v>46168.8202777778</v>
      </c>
      <c r="B782" s="1" t="s">
        <v>9</v>
      </c>
      <c r="C782" s="1" t="n">
        <v>2811</v>
      </c>
      <c r="D782" s="1" t="n">
        <v>0</v>
      </c>
    </row>
    <row r="783" customFormat="false" ht="15" hidden="false" customHeight="true" outlineLevel="0" collapsed="false">
      <c r="A783" s="3" t="n">
        <v>46168.8206134259</v>
      </c>
      <c r="B783" s="1" t="s">
        <v>4</v>
      </c>
      <c r="C783" s="1" t="n">
        <v>2221</v>
      </c>
      <c r="D783" s="1" t="n">
        <v>38</v>
      </c>
    </row>
    <row r="784" customFormat="false" ht="15" hidden="false" customHeight="true" outlineLevel="0" collapsed="false">
      <c r="A784" s="3" t="n">
        <v>46168.8206134259</v>
      </c>
      <c r="B784" s="1" t="s">
        <v>5</v>
      </c>
      <c r="D784" s="1" t="n">
        <v>8.2</v>
      </c>
    </row>
    <row r="785" customFormat="false" ht="15" hidden="false" customHeight="true" outlineLevel="0" collapsed="false">
      <c r="A785" s="3" t="n">
        <v>46168.820625</v>
      </c>
      <c r="B785" s="1" t="s">
        <v>6</v>
      </c>
      <c r="C785" s="1" t="n">
        <v>2179</v>
      </c>
      <c r="D785" s="1" t="n">
        <v>36</v>
      </c>
    </row>
    <row r="786" customFormat="false" ht="15" hidden="false" customHeight="true" outlineLevel="0" collapsed="false">
      <c r="A786" s="3" t="n">
        <v>46168.820625</v>
      </c>
      <c r="B786" s="1" t="s">
        <v>7</v>
      </c>
      <c r="C786" s="1" t="n">
        <v>2781</v>
      </c>
      <c r="D786" s="1" t="n">
        <v>0</v>
      </c>
    </row>
    <row r="787" customFormat="false" ht="15" hidden="false" customHeight="true" outlineLevel="0" collapsed="false">
      <c r="A787" s="3" t="n">
        <v>46168.820625</v>
      </c>
      <c r="B787" s="1" t="s">
        <v>8</v>
      </c>
      <c r="C787" s="1" t="n">
        <v>2837</v>
      </c>
      <c r="D787" s="1" t="n">
        <v>0</v>
      </c>
    </row>
    <row r="788" customFormat="false" ht="15" hidden="false" customHeight="true" outlineLevel="0" collapsed="false">
      <c r="A788" s="3" t="n">
        <v>46168.820625</v>
      </c>
      <c r="B788" s="1" t="s">
        <v>9</v>
      </c>
      <c r="C788" s="1" t="n">
        <v>2827</v>
      </c>
      <c r="D788" s="1" t="n">
        <v>0</v>
      </c>
    </row>
    <row r="789" customFormat="false" ht="15" hidden="false" customHeight="true" outlineLevel="0" collapsed="false">
      <c r="A789" s="3" t="n">
        <v>46168.8209606482</v>
      </c>
      <c r="B789" s="1" t="s">
        <v>5</v>
      </c>
      <c r="D789" s="1" t="n">
        <v>8.2</v>
      </c>
    </row>
    <row r="790" customFormat="false" ht="15" hidden="false" customHeight="true" outlineLevel="0" collapsed="false">
      <c r="A790" s="3" t="n">
        <v>46168.8209722222</v>
      </c>
      <c r="B790" s="1" t="s">
        <v>6</v>
      </c>
      <c r="C790" s="1" t="n">
        <v>2201</v>
      </c>
      <c r="D790" s="1" t="n">
        <v>34</v>
      </c>
    </row>
    <row r="791" customFormat="false" ht="15" hidden="false" customHeight="true" outlineLevel="0" collapsed="false">
      <c r="A791" s="3" t="n">
        <v>46168.8209722222</v>
      </c>
      <c r="B791" s="1" t="s">
        <v>7</v>
      </c>
      <c r="C791" s="1" t="n">
        <v>2799</v>
      </c>
      <c r="D791" s="1" t="n">
        <v>0</v>
      </c>
    </row>
    <row r="792" customFormat="false" ht="15" hidden="false" customHeight="true" outlineLevel="0" collapsed="false">
      <c r="A792" s="3" t="n">
        <v>46168.8209722222</v>
      </c>
      <c r="B792" s="1" t="s">
        <v>4</v>
      </c>
      <c r="C792" s="1" t="n">
        <v>2183</v>
      </c>
      <c r="D792" s="1" t="n">
        <v>41</v>
      </c>
    </row>
    <row r="793" customFormat="false" ht="15" hidden="false" customHeight="true" outlineLevel="0" collapsed="false">
      <c r="A793" s="3" t="n">
        <v>46168.8209837963</v>
      </c>
      <c r="B793" s="1" t="s">
        <v>8</v>
      </c>
      <c r="C793" s="1" t="n">
        <v>2839</v>
      </c>
      <c r="D793" s="1" t="n">
        <v>0</v>
      </c>
    </row>
    <row r="794" customFormat="false" ht="15" hidden="false" customHeight="true" outlineLevel="0" collapsed="false">
      <c r="A794" s="3" t="n">
        <v>46168.8209837963</v>
      </c>
      <c r="B794" s="1" t="s">
        <v>9</v>
      </c>
      <c r="C794" s="1" t="n">
        <v>2835</v>
      </c>
      <c r="D794" s="1" t="n">
        <v>0</v>
      </c>
    </row>
    <row r="795" customFormat="false" ht="15" hidden="false" customHeight="true" outlineLevel="0" collapsed="false">
      <c r="A795" s="3" t="n">
        <v>46168.8213078704</v>
      </c>
      <c r="B795" s="1" t="s">
        <v>5</v>
      </c>
      <c r="D795" s="1" t="n">
        <v>8.2</v>
      </c>
    </row>
    <row r="796" customFormat="false" ht="15" hidden="false" customHeight="true" outlineLevel="0" collapsed="false">
      <c r="A796" s="3" t="n">
        <v>46168.8213425926</v>
      </c>
      <c r="B796" s="1" t="s">
        <v>4</v>
      </c>
      <c r="C796" s="1" t="n">
        <v>2183</v>
      </c>
      <c r="D796" s="1" t="n">
        <v>41</v>
      </c>
    </row>
    <row r="797" customFormat="false" ht="15" hidden="false" customHeight="true" outlineLevel="0" collapsed="false">
      <c r="A797" s="3" t="n">
        <v>46168.8213541667</v>
      </c>
      <c r="B797" s="1" t="s">
        <v>6</v>
      </c>
      <c r="C797" s="1" t="n">
        <v>2165</v>
      </c>
      <c r="D797" s="1" t="n">
        <v>37</v>
      </c>
    </row>
    <row r="798" customFormat="false" ht="15" hidden="false" customHeight="true" outlineLevel="0" collapsed="false">
      <c r="A798" s="3" t="n">
        <v>46168.8213541667</v>
      </c>
      <c r="B798" s="1" t="s">
        <v>7</v>
      </c>
      <c r="C798" s="1" t="n">
        <v>2803</v>
      </c>
      <c r="D798" s="1" t="n">
        <v>0</v>
      </c>
    </row>
    <row r="799" customFormat="false" ht="15" hidden="false" customHeight="true" outlineLevel="0" collapsed="false">
      <c r="A799" s="3" t="n">
        <v>46168.8213541667</v>
      </c>
      <c r="B799" s="1" t="s">
        <v>8</v>
      </c>
      <c r="C799" s="1" t="n">
        <v>2844</v>
      </c>
      <c r="D799" s="1" t="n">
        <v>0</v>
      </c>
    </row>
    <row r="800" customFormat="false" ht="15" hidden="false" customHeight="true" outlineLevel="0" collapsed="false">
      <c r="A800" s="3" t="n">
        <v>46168.8213657407</v>
      </c>
      <c r="B800" s="1" t="s">
        <v>9</v>
      </c>
      <c r="C800" s="1" t="n">
        <v>2831</v>
      </c>
      <c r="D800" s="1" t="n">
        <v>0</v>
      </c>
    </row>
    <row r="801" customFormat="false" ht="15" hidden="false" customHeight="true" outlineLevel="0" collapsed="false">
      <c r="A801" s="3" t="n">
        <v>46168.8216666667</v>
      </c>
      <c r="B801" s="1" t="s">
        <v>6</v>
      </c>
      <c r="C801" s="1" t="n">
        <v>2131</v>
      </c>
      <c r="D801" s="1" t="n">
        <v>39</v>
      </c>
    </row>
    <row r="802" customFormat="false" ht="15" hidden="false" customHeight="true" outlineLevel="0" collapsed="false">
      <c r="A802" s="3" t="n">
        <v>46168.8216666667</v>
      </c>
      <c r="B802" s="1" t="s">
        <v>4</v>
      </c>
      <c r="C802" s="1" t="n">
        <v>2169</v>
      </c>
      <c r="D802" s="1" t="n">
        <v>42</v>
      </c>
    </row>
    <row r="803" customFormat="false" ht="15" hidden="false" customHeight="true" outlineLevel="0" collapsed="false">
      <c r="A803" s="3" t="n">
        <v>46168.8216666667</v>
      </c>
      <c r="B803" s="1" t="s">
        <v>5</v>
      </c>
      <c r="D803" s="1" t="n">
        <v>8.2</v>
      </c>
    </row>
    <row r="804" customFormat="false" ht="15" hidden="false" customHeight="true" outlineLevel="0" collapsed="false">
      <c r="A804" s="3" t="n">
        <v>46168.8216782407</v>
      </c>
      <c r="B804" s="1" t="s">
        <v>7</v>
      </c>
      <c r="C804" s="1" t="n">
        <v>2797</v>
      </c>
      <c r="D804" s="1" t="n">
        <v>0</v>
      </c>
    </row>
    <row r="805" customFormat="false" ht="15" hidden="false" customHeight="true" outlineLevel="0" collapsed="false">
      <c r="A805" s="3" t="n">
        <v>46168.8216782407</v>
      </c>
      <c r="B805" s="1" t="s">
        <v>8</v>
      </c>
      <c r="C805" s="1" t="n">
        <v>2846</v>
      </c>
      <c r="D805" s="1" t="n">
        <v>0</v>
      </c>
    </row>
    <row r="806" customFormat="false" ht="15" hidden="false" customHeight="true" outlineLevel="0" collapsed="false">
      <c r="A806" s="3" t="n">
        <v>46168.8216898148</v>
      </c>
      <c r="B806" s="1" t="s">
        <v>9</v>
      </c>
      <c r="C806" s="1" t="n">
        <v>2828</v>
      </c>
      <c r="D806" s="1" t="n">
        <v>0</v>
      </c>
    </row>
    <row r="807" customFormat="false" ht="15" hidden="false" customHeight="true" outlineLevel="0" collapsed="false">
      <c r="A807" s="3" t="n">
        <v>46168.8220138889</v>
      </c>
      <c r="B807" s="1" t="s">
        <v>4</v>
      </c>
      <c r="C807" s="1" t="n">
        <v>2195</v>
      </c>
      <c r="D807" s="1" t="n">
        <v>40</v>
      </c>
    </row>
    <row r="808" customFormat="false" ht="15" hidden="false" customHeight="true" outlineLevel="0" collapsed="false">
      <c r="A808" s="3" t="n">
        <v>46168.8220138889</v>
      </c>
      <c r="B808" s="1" t="s">
        <v>5</v>
      </c>
      <c r="D808" s="1" t="n">
        <v>8.2</v>
      </c>
    </row>
    <row r="809" customFormat="false" ht="15" hidden="false" customHeight="true" outlineLevel="0" collapsed="false">
      <c r="A809" s="3" t="n">
        <v>46168.822025463</v>
      </c>
      <c r="B809" s="1" t="s">
        <v>6</v>
      </c>
      <c r="C809" s="1" t="n">
        <v>2179</v>
      </c>
      <c r="D809" s="1" t="n">
        <v>36</v>
      </c>
    </row>
    <row r="810" customFormat="false" ht="15" hidden="false" customHeight="true" outlineLevel="0" collapsed="false">
      <c r="A810" s="3" t="n">
        <v>46168.822025463</v>
      </c>
      <c r="B810" s="1" t="s">
        <v>7</v>
      </c>
      <c r="C810" s="1" t="n">
        <v>2800</v>
      </c>
      <c r="D810" s="1" t="n">
        <v>0</v>
      </c>
    </row>
    <row r="811" customFormat="false" ht="15" hidden="false" customHeight="true" outlineLevel="0" collapsed="false">
      <c r="A811" s="3" t="n">
        <v>46168.822025463</v>
      </c>
      <c r="B811" s="1" t="s">
        <v>8</v>
      </c>
      <c r="C811" s="1" t="n">
        <v>2842</v>
      </c>
      <c r="D811" s="1" t="n">
        <v>0</v>
      </c>
    </row>
    <row r="812" customFormat="false" ht="15" hidden="false" customHeight="true" outlineLevel="0" collapsed="false">
      <c r="A812" s="3" t="n">
        <v>46168.822025463</v>
      </c>
      <c r="B812" s="1" t="s">
        <v>9</v>
      </c>
      <c r="C812" s="1" t="n">
        <v>2827</v>
      </c>
      <c r="D812" s="1" t="n">
        <v>0</v>
      </c>
    </row>
    <row r="813" customFormat="false" ht="15" hidden="false" customHeight="true" outlineLevel="0" collapsed="false">
      <c r="A813" s="3" t="n">
        <v>46168.8223611111</v>
      </c>
      <c r="B813" s="1" t="s">
        <v>5</v>
      </c>
      <c r="D813" s="1" t="n">
        <v>8.2</v>
      </c>
    </row>
    <row r="814" customFormat="false" ht="15" hidden="false" customHeight="true" outlineLevel="0" collapsed="false">
      <c r="A814" s="3" t="n">
        <v>46168.8223726852</v>
      </c>
      <c r="B814" s="1" t="s">
        <v>6</v>
      </c>
      <c r="C814" s="1" t="n">
        <v>2177</v>
      </c>
      <c r="D814" s="1" t="n">
        <v>36</v>
      </c>
    </row>
    <row r="815" customFormat="false" ht="15" hidden="false" customHeight="true" outlineLevel="0" collapsed="false">
      <c r="A815" s="3" t="n">
        <v>46168.8223726852</v>
      </c>
      <c r="B815" s="1" t="s">
        <v>7</v>
      </c>
      <c r="C815" s="1" t="n">
        <v>2798</v>
      </c>
      <c r="D815" s="1" t="n">
        <v>0</v>
      </c>
    </row>
    <row r="816" customFormat="false" ht="15" hidden="false" customHeight="true" outlineLevel="0" collapsed="false">
      <c r="A816" s="3" t="n">
        <v>46168.8223726852</v>
      </c>
      <c r="B816" s="1" t="s">
        <v>4</v>
      </c>
      <c r="C816" s="1" t="n">
        <v>2192</v>
      </c>
      <c r="D816" s="1" t="n">
        <v>40</v>
      </c>
    </row>
    <row r="817" customFormat="false" ht="15" hidden="false" customHeight="true" outlineLevel="0" collapsed="false">
      <c r="A817" s="3" t="n">
        <v>46168.8223842593</v>
      </c>
      <c r="B817" s="1" t="s">
        <v>8</v>
      </c>
      <c r="C817" s="1" t="n">
        <v>2849</v>
      </c>
      <c r="D817" s="1" t="n">
        <v>0</v>
      </c>
    </row>
    <row r="818" customFormat="false" ht="15" hidden="false" customHeight="true" outlineLevel="0" collapsed="false">
      <c r="A818" s="3" t="n">
        <v>46168.8223842593</v>
      </c>
      <c r="B818" s="1" t="s">
        <v>9</v>
      </c>
      <c r="C818" s="1" t="n">
        <v>2826</v>
      </c>
      <c r="D818" s="1" t="n">
        <v>0</v>
      </c>
    </row>
    <row r="819" customFormat="false" ht="15" hidden="false" customHeight="true" outlineLevel="0" collapsed="false">
      <c r="A819" s="3" t="n">
        <v>46168.8227199074</v>
      </c>
      <c r="B819" s="1" t="s">
        <v>6</v>
      </c>
      <c r="C819" s="1" t="n">
        <v>2209</v>
      </c>
      <c r="D819" s="1" t="n">
        <v>34</v>
      </c>
    </row>
    <row r="820" customFormat="false" ht="15" hidden="false" customHeight="true" outlineLevel="0" collapsed="false">
      <c r="A820" s="3" t="n">
        <v>46168.8227199074</v>
      </c>
      <c r="B820" s="1" t="s">
        <v>4</v>
      </c>
      <c r="C820" s="1" t="n">
        <v>2186</v>
      </c>
      <c r="D820" s="1" t="n">
        <v>41</v>
      </c>
    </row>
    <row r="821" customFormat="false" ht="15" hidden="false" customHeight="true" outlineLevel="0" collapsed="false">
      <c r="A821" s="3" t="n">
        <v>46168.8227199074</v>
      </c>
      <c r="B821" s="1" t="s">
        <v>5</v>
      </c>
      <c r="D821" s="1" t="n">
        <v>8.2</v>
      </c>
    </row>
    <row r="822" customFormat="false" ht="15" hidden="false" customHeight="true" outlineLevel="0" collapsed="false">
      <c r="A822" s="3" t="n">
        <v>46168.8227314815</v>
      </c>
      <c r="B822" s="1" t="s">
        <v>7</v>
      </c>
      <c r="C822" s="1" t="n">
        <v>2800</v>
      </c>
      <c r="D822" s="1" t="n">
        <v>0</v>
      </c>
    </row>
    <row r="823" customFormat="false" ht="15" hidden="false" customHeight="true" outlineLevel="0" collapsed="false">
      <c r="A823" s="3" t="n">
        <v>46168.8227314815</v>
      </c>
      <c r="B823" s="1" t="s">
        <v>8</v>
      </c>
      <c r="C823" s="1" t="n">
        <v>2842</v>
      </c>
      <c r="D823" s="1" t="n">
        <v>0</v>
      </c>
    </row>
    <row r="824" customFormat="false" ht="15" hidden="false" customHeight="true" outlineLevel="0" collapsed="false">
      <c r="A824" s="3" t="n">
        <v>46168.8227314815</v>
      </c>
      <c r="B824" s="1" t="s">
        <v>9</v>
      </c>
      <c r="C824" s="1" t="n">
        <v>2825</v>
      </c>
      <c r="D824" s="1" t="n">
        <v>0</v>
      </c>
    </row>
    <row r="825" customFormat="false" ht="15" hidden="false" customHeight="true" outlineLevel="0" collapsed="false">
      <c r="A825" s="3" t="n">
        <v>46168.8230671296</v>
      </c>
      <c r="B825" s="1" t="s">
        <v>5</v>
      </c>
      <c r="D825" s="1" t="n">
        <v>8.2</v>
      </c>
    </row>
    <row r="826" customFormat="false" ht="15" hidden="false" customHeight="true" outlineLevel="0" collapsed="false">
      <c r="A826" s="3" t="n">
        <v>46168.8230787037</v>
      </c>
      <c r="B826" s="1" t="s">
        <v>6</v>
      </c>
      <c r="C826" s="1" t="n">
        <v>2240</v>
      </c>
      <c r="D826" s="1" t="n">
        <v>32</v>
      </c>
    </row>
    <row r="827" customFormat="false" ht="15" hidden="false" customHeight="true" outlineLevel="0" collapsed="false">
      <c r="A827" s="3" t="n">
        <v>46168.8230787037</v>
      </c>
      <c r="B827" s="1" t="s">
        <v>7</v>
      </c>
      <c r="C827" s="1" t="n">
        <v>2802</v>
      </c>
      <c r="D827" s="1" t="n">
        <v>0</v>
      </c>
    </row>
    <row r="828" customFormat="false" ht="15" hidden="false" customHeight="true" outlineLevel="0" collapsed="false">
      <c r="A828" s="3" t="n">
        <v>46168.8230787037</v>
      </c>
      <c r="B828" s="1" t="s">
        <v>4</v>
      </c>
      <c r="C828" s="1" t="n">
        <v>2203</v>
      </c>
      <c r="D828" s="1" t="n">
        <v>40</v>
      </c>
    </row>
    <row r="829" customFormat="false" ht="15" hidden="false" customHeight="true" outlineLevel="0" collapsed="false">
      <c r="A829" s="3" t="n">
        <v>46168.8230787037</v>
      </c>
      <c r="B829" s="1" t="s">
        <v>8</v>
      </c>
      <c r="C829" s="1" t="n">
        <v>2849</v>
      </c>
      <c r="D829" s="1" t="n">
        <v>0</v>
      </c>
    </row>
    <row r="830" customFormat="false" ht="15" hidden="false" customHeight="true" outlineLevel="0" collapsed="false">
      <c r="A830" s="3" t="n">
        <v>46168.8230902778</v>
      </c>
      <c r="B830" s="1" t="s">
        <v>9</v>
      </c>
      <c r="C830" s="1" t="n">
        <v>2827</v>
      </c>
      <c r="D830" s="1" t="n">
        <v>0</v>
      </c>
    </row>
    <row r="831" customFormat="false" ht="15" hidden="false" customHeight="true" outlineLevel="0" collapsed="false">
      <c r="A831" s="3" t="n">
        <v>46168.8234143519</v>
      </c>
      <c r="B831" s="1" t="s">
        <v>5</v>
      </c>
      <c r="D831" s="1" t="n">
        <v>8.2</v>
      </c>
    </row>
    <row r="832" customFormat="false" ht="15" hidden="false" customHeight="true" outlineLevel="0" collapsed="false">
      <c r="A832" s="3" t="n">
        <v>46168.8234259259</v>
      </c>
      <c r="B832" s="1" t="s">
        <v>6</v>
      </c>
      <c r="C832" s="1" t="n">
        <v>2213</v>
      </c>
      <c r="D832" s="1" t="n">
        <v>34</v>
      </c>
    </row>
    <row r="833" customFormat="false" ht="15" hidden="false" customHeight="true" outlineLevel="0" collapsed="false">
      <c r="A833" s="3" t="n">
        <v>46168.8234259259</v>
      </c>
      <c r="B833" s="1" t="s">
        <v>7</v>
      </c>
      <c r="C833" s="1" t="n">
        <v>2803</v>
      </c>
      <c r="D833" s="1" t="n">
        <v>0</v>
      </c>
    </row>
    <row r="834" customFormat="false" ht="15" hidden="false" customHeight="true" outlineLevel="0" collapsed="false">
      <c r="A834" s="3" t="n">
        <v>46168.8234259259</v>
      </c>
      <c r="B834" s="1" t="s">
        <v>4</v>
      </c>
      <c r="C834" s="1" t="n">
        <v>2178</v>
      </c>
      <c r="D834" s="1" t="n">
        <v>41</v>
      </c>
    </row>
    <row r="835" customFormat="false" ht="15" hidden="false" customHeight="true" outlineLevel="0" collapsed="false">
      <c r="A835" s="3" t="n">
        <v>46168.8234259259</v>
      </c>
      <c r="B835" s="1" t="s">
        <v>8</v>
      </c>
      <c r="C835" s="1" t="n">
        <v>2860</v>
      </c>
      <c r="D835" s="1" t="n">
        <v>0</v>
      </c>
    </row>
    <row r="836" customFormat="false" ht="15" hidden="false" customHeight="true" outlineLevel="0" collapsed="false">
      <c r="A836" s="3" t="n">
        <v>46168.8234375</v>
      </c>
      <c r="B836" s="1" t="s">
        <v>9</v>
      </c>
      <c r="C836" s="1" t="n">
        <v>2831</v>
      </c>
      <c r="D836" s="1" t="n">
        <v>0</v>
      </c>
    </row>
    <row r="837" customFormat="false" ht="15" hidden="false" customHeight="true" outlineLevel="0" collapsed="false">
      <c r="A837" s="3" t="n">
        <v>46168.8237615741</v>
      </c>
      <c r="B837" s="1" t="s">
        <v>5</v>
      </c>
      <c r="D837" s="1" t="n">
        <v>8.2</v>
      </c>
    </row>
    <row r="838" customFormat="false" ht="15" hidden="false" customHeight="true" outlineLevel="0" collapsed="false">
      <c r="A838" s="3" t="n">
        <v>46168.8237731482</v>
      </c>
      <c r="B838" s="1" t="s">
        <v>6</v>
      </c>
      <c r="C838" s="1" t="n">
        <v>2179</v>
      </c>
      <c r="D838" s="1" t="n">
        <v>36</v>
      </c>
    </row>
    <row r="839" customFormat="false" ht="15" hidden="false" customHeight="true" outlineLevel="0" collapsed="false">
      <c r="A839" s="3" t="n">
        <v>46168.8237731482</v>
      </c>
      <c r="B839" s="1" t="s">
        <v>4</v>
      </c>
      <c r="C839" s="1" t="n">
        <v>2214</v>
      </c>
      <c r="D839" s="1" t="n">
        <v>39</v>
      </c>
    </row>
    <row r="840" customFormat="false" ht="15" hidden="false" customHeight="true" outlineLevel="0" collapsed="false">
      <c r="A840" s="3" t="n">
        <v>46168.8237847222</v>
      </c>
      <c r="B840" s="1" t="s">
        <v>7</v>
      </c>
      <c r="C840" s="1" t="n">
        <v>2799</v>
      </c>
      <c r="D840" s="1" t="n">
        <v>0</v>
      </c>
    </row>
    <row r="841" customFormat="false" ht="15" hidden="false" customHeight="true" outlineLevel="0" collapsed="false">
      <c r="A841" s="3" t="n">
        <v>46168.8237847222</v>
      </c>
      <c r="B841" s="1" t="s">
        <v>8</v>
      </c>
      <c r="C841" s="1" t="n">
        <v>2855</v>
      </c>
      <c r="D841" s="1" t="n">
        <v>0</v>
      </c>
    </row>
    <row r="842" customFormat="false" ht="15" hidden="false" customHeight="true" outlineLevel="0" collapsed="false">
      <c r="A842" s="3" t="n">
        <v>46168.8237847222</v>
      </c>
      <c r="B842" s="1" t="s">
        <v>9</v>
      </c>
      <c r="C842" s="1" t="n">
        <v>2840</v>
      </c>
      <c r="D842" s="1" t="n">
        <v>0</v>
      </c>
    </row>
    <row r="843" customFormat="false" ht="15" hidden="false" customHeight="true" outlineLevel="0" collapsed="false">
      <c r="A843" s="3" t="n">
        <v>46168.8241203704</v>
      </c>
      <c r="B843" s="1" t="s">
        <v>5</v>
      </c>
      <c r="D843" s="1" t="n">
        <v>8.2</v>
      </c>
    </row>
    <row r="844" customFormat="false" ht="15" hidden="false" customHeight="true" outlineLevel="0" collapsed="false">
      <c r="A844" s="3" t="n">
        <v>46168.8241319444</v>
      </c>
      <c r="B844" s="1" t="s">
        <v>6</v>
      </c>
      <c r="C844" s="1" t="n">
        <v>2180</v>
      </c>
      <c r="D844" s="1" t="n">
        <v>36</v>
      </c>
    </row>
    <row r="845" customFormat="false" ht="15" hidden="false" customHeight="true" outlineLevel="0" collapsed="false">
      <c r="A845" s="3" t="n">
        <v>46168.8241319444</v>
      </c>
      <c r="B845" s="1" t="s">
        <v>4</v>
      </c>
      <c r="C845" s="1" t="n">
        <v>2195</v>
      </c>
      <c r="D845" s="1" t="n">
        <v>40</v>
      </c>
    </row>
    <row r="846" customFormat="false" ht="15" hidden="false" customHeight="true" outlineLevel="0" collapsed="false">
      <c r="A846" s="3" t="n">
        <v>46168.8241435185</v>
      </c>
      <c r="B846" s="1" t="s">
        <v>7</v>
      </c>
      <c r="C846" s="1" t="n">
        <v>2802</v>
      </c>
      <c r="D846" s="1" t="n">
        <v>0</v>
      </c>
    </row>
    <row r="847" customFormat="false" ht="15" hidden="false" customHeight="true" outlineLevel="0" collapsed="false">
      <c r="A847" s="3" t="n">
        <v>46168.8241435185</v>
      </c>
      <c r="B847" s="1" t="s">
        <v>8</v>
      </c>
      <c r="C847" s="1" t="n">
        <v>2859</v>
      </c>
      <c r="D847" s="1" t="n">
        <v>0</v>
      </c>
    </row>
    <row r="848" customFormat="false" ht="15" hidden="false" customHeight="true" outlineLevel="0" collapsed="false">
      <c r="A848" s="3" t="n">
        <v>46168.8241435185</v>
      </c>
      <c r="B848" s="1" t="s">
        <v>9</v>
      </c>
      <c r="C848" s="1" t="n">
        <v>2832</v>
      </c>
      <c r="D848" s="1" t="n">
        <v>0</v>
      </c>
    </row>
    <row r="849" customFormat="false" ht="15" hidden="false" customHeight="true" outlineLevel="0" collapsed="false">
      <c r="A849" s="3" t="n">
        <v>46168.8244791667</v>
      </c>
      <c r="B849" s="1" t="s">
        <v>4</v>
      </c>
      <c r="C849" s="1" t="n">
        <v>2195</v>
      </c>
      <c r="D849" s="1" t="n">
        <v>40</v>
      </c>
    </row>
    <row r="850" customFormat="false" ht="15" hidden="false" customHeight="true" outlineLevel="0" collapsed="false">
      <c r="A850" s="3" t="n">
        <v>46168.8244791667</v>
      </c>
      <c r="B850" s="1" t="s">
        <v>5</v>
      </c>
      <c r="D850" s="1" t="n">
        <v>8.2</v>
      </c>
    </row>
    <row r="851" customFormat="false" ht="15" hidden="false" customHeight="true" outlineLevel="0" collapsed="false">
      <c r="A851" s="3" t="n">
        <v>46168.8244907407</v>
      </c>
      <c r="B851" s="1" t="s">
        <v>6</v>
      </c>
      <c r="C851" s="1" t="n">
        <v>2189</v>
      </c>
      <c r="D851" s="1" t="n">
        <v>35</v>
      </c>
    </row>
    <row r="852" customFormat="false" ht="15" hidden="false" customHeight="true" outlineLevel="0" collapsed="false">
      <c r="A852" s="3" t="n">
        <v>46168.8244907407</v>
      </c>
      <c r="B852" s="1" t="s">
        <v>7</v>
      </c>
      <c r="C852" s="1" t="n">
        <v>2806</v>
      </c>
      <c r="D852" s="1" t="n">
        <v>0</v>
      </c>
    </row>
    <row r="853" customFormat="false" ht="15" hidden="false" customHeight="true" outlineLevel="0" collapsed="false">
      <c r="A853" s="3" t="n">
        <v>46168.8245023148</v>
      </c>
      <c r="B853" s="1" t="s">
        <v>8</v>
      </c>
      <c r="C853" s="1" t="n">
        <v>2849</v>
      </c>
      <c r="D853" s="1" t="n">
        <v>0</v>
      </c>
    </row>
    <row r="854" customFormat="false" ht="15" hidden="false" customHeight="true" outlineLevel="0" collapsed="false">
      <c r="A854" s="3" t="n">
        <v>46168.8245023148</v>
      </c>
      <c r="B854" s="1" t="s">
        <v>9</v>
      </c>
      <c r="C854" s="1" t="n">
        <v>2848</v>
      </c>
      <c r="D854" s="1" t="n">
        <v>0</v>
      </c>
    </row>
    <row r="855" customFormat="false" ht="15" hidden="false" customHeight="true" outlineLevel="0" collapsed="false">
      <c r="A855" s="3" t="n">
        <v>46168.824837963</v>
      </c>
      <c r="B855" s="1" t="s">
        <v>6</v>
      </c>
      <c r="C855" s="1" t="n">
        <v>2140</v>
      </c>
      <c r="D855" s="1" t="n">
        <v>38</v>
      </c>
    </row>
    <row r="856" customFormat="false" ht="15" hidden="false" customHeight="true" outlineLevel="0" collapsed="false">
      <c r="A856" s="3" t="n">
        <v>46168.824837963</v>
      </c>
      <c r="B856" s="1" t="s">
        <v>4</v>
      </c>
      <c r="C856" s="1" t="n">
        <v>2096</v>
      </c>
      <c r="D856" s="1" t="n">
        <v>47</v>
      </c>
    </row>
    <row r="857" customFormat="false" ht="15" hidden="false" customHeight="true" outlineLevel="0" collapsed="false">
      <c r="A857" s="3" t="n">
        <v>46168.824837963</v>
      </c>
      <c r="B857" s="1" t="s">
        <v>5</v>
      </c>
      <c r="D857" s="1" t="n">
        <v>8.2</v>
      </c>
    </row>
    <row r="858" customFormat="false" ht="15" hidden="false" customHeight="true" outlineLevel="0" collapsed="false">
      <c r="A858" s="3" t="n">
        <v>46168.824849537</v>
      </c>
      <c r="B858" s="1" t="s">
        <v>7</v>
      </c>
      <c r="C858" s="1" t="n">
        <v>2805</v>
      </c>
      <c r="D858" s="1" t="n">
        <v>0</v>
      </c>
    </row>
    <row r="859" customFormat="false" ht="15" hidden="false" customHeight="true" outlineLevel="0" collapsed="false">
      <c r="A859" s="3" t="n">
        <v>46168.824849537</v>
      </c>
      <c r="B859" s="1" t="s">
        <v>8</v>
      </c>
      <c r="C859" s="1" t="n">
        <v>2859</v>
      </c>
      <c r="D859" s="1" t="n">
        <v>0</v>
      </c>
    </row>
    <row r="860" customFormat="false" ht="15" hidden="false" customHeight="true" outlineLevel="0" collapsed="false">
      <c r="A860" s="3" t="n">
        <v>46168.824849537</v>
      </c>
      <c r="B860" s="1" t="s">
        <v>9</v>
      </c>
      <c r="C860" s="1" t="n">
        <v>2827</v>
      </c>
      <c r="D860" s="1" t="n">
        <v>0</v>
      </c>
    </row>
    <row r="861" customFormat="false" ht="15" hidden="false" customHeight="true" outlineLevel="0" collapsed="false">
      <c r="A861" s="3" t="n">
        <v>46168.8251851852</v>
      </c>
      <c r="B861" s="1" t="s">
        <v>4</v>
      </c>
      <c r="C861" s="1" t="n">
        <v>2163</v>
      </c>
      <c r="D861" s="1" t="n">
        <v>42</v>
      </c>
    </row>
    <row r="862" customFormat="false" ht="15" hidden="false" customHeight="true" outlineLevel="0" collapsed="false">
      <c r="A862" s="3" t="n">
        <v>46168.8251851852</v>
      </c>
      <c r="B862" s="1" t="s">
        <v>5</v>
      </c>
      <c r="D862" s="1" t="n">
        <v>8.2</v>
      </c>
    </row>
    <row r="863" customFormat="false" ht="15" hidden="false" customHeight="true" outlineLevel="0" collapsed="false">
      <c r="A863" s="3" t="n">
        <v>46168.8251967593</v>
      </c>
      <c r="B863" s="1" t="s">
        <v>6</v>
      </c>
      <c r="C863" s="1" t="n">
        <v>2192</v>
      </c>
      <c r="D863" s="1" t="n">
        <v>35</v>
      </c>
    </row>
    <row r="864" customFormat="false" ht="15" hidden="false" customHeight="true" outlineLevel="0" collapsed="false">
      <c r="A864" s="3" t="n">
        <v>46168.8251967593</v>
      </c>
      <c r="B864" s="1" t="s">
        <v>7</v>
      </c>
      <c r="C864" s="1" t="n">
        <v>2809</v>
      </c>
      <c r="D864" s="1" t="n">
        <v>0</v>
      </c>
    </row>
    <row r="865" customFormat="false" ht="15" hidden="false" customHeight="true" outlineLevel="0" collapsed="false">
      <c r="A865" s="3" t="n">
        <v>46168.8251967593</v>
      </c>
      <c r="B865" s="1" t="s">
        <v>8</v>
      </c>
      <c r="C865" s="1" t="n">
        <v>2859</v>
      </c>
      <c r="D865" s="1" t="n">
        <v>0</v>
      </c>
    </row>
    <row r="866" customFormat="false" ht="15" hidden="false" customHeight="true" outlineLevel="0" collapsed="false">
      <c r="A866" s="3" t="n">
        <v>46168.8252083333</v>
      </c>
      <c r="B866" s="1" t="s">
        <v>9</v>
      </c>
      <c r="C866" s="1" t="n">
        <v>2838</v>
      </c>
      <c r="D866" s="1" t="n">
        <v>0</v>
      </c>
    </row>
    <row r="867" customFormat="false" ht="15" hidden="false" customHeight="true" outlineLevel="0" collapsed="false">
      <c r="A867" s="3" t="n">
        <v>46168.8255439815</v>
      </c>
      <c r="B867" s="1" t="s">
        <v>6</v>
      </c>
      <c r="C867" s="1" t="n">
        <v>2183</v>
      </c>
      <c r="D867" s="1" t="n">
        <v>36</v>
      </c>
    </row>
    <row r="868" customFormat="false" ht="15" hidden="false" customHeight="true" outlineLevel="0" collapsed="false">
      <c r="A868" s="3" t="n">
        <v>46168.8255439815</v>
      </c>
      <c r="B868" s="1" t="s">
        <v>4</v>
      </c>
      <c r="C868" s="1" t="n">
        <v>2171</v>
      </c>
      <c r="D868" s="1" t="n">
        <v>42</v>
      </c>
    </row>
    <row r="869" customFormat="false" ht="15" hidden="false" customHeight="true" outlineLevel="0" collapsed="false">
      <c r="A869" s="3" t="n">
        <v>46168.8255439815</v>
      </c>
      <c r="B869" s="1" t="s">
        <v>5</v>
      </c>
      <c r="D869" s="1" t="n">
        <v>8.2</v>
      </c>
    </row>
    <row r="870" customFormat="false" ht="15" hidden="false" customHeight="true" outlineLevel="0" collapsed="false">
      <c r="A870" s="3" t="n">
        <v>46168.8255555556</v>
      </c>
      <c r="B870" s="1" t="s">
        <v>7</v>
      </c>
      <c r="C870" s="1" t="n">
        <v>2810</v>
      </c>
      <c r="D870" s="1" t="n">
        <v>0</v>
      </c>
    </row>
    <row r="871" customFormat="false" ht="15" hidden="false" customHeight="true" outlineLevel="0" collapsed="false">
      <c r="A871" s="3" t="n">
        <v>46168.8255555556</v>
      </c>
      <c r="B871" s="1" t="s">
        <v>8</v>
      </c>
      <c r="C871" s="1" t="n">
        <v>2861</v>
      </c>
      <c r="D871" s="1" t="n">
        <v>0</v>
      </c>
    </row>
    <row r="872" customFormat="false" ht="15" hidden="false" customHeight="true" outlineLevel="0" collapsed="false">
      <c r="A872" s="3" t="n">
        <v>46168.8255555556</v>
      </c>
      <c r="B872" s="1" t="s">
        <v>9</v>
      </c>
      <c r="C872" s="1" t="n">
        <v>2844</v>
      </c>
      <c r="D872" s="1" t="n">
        <v>0</v>
      </c>
    </row>
    <row r="873" customFormat="false" ht="15" hidden="false" customHeight="true" outlineLevel="0" collapsed="false">
      <c r="A873" s="3" t="n">
        <v>46168.8258912037</v>
      </c>
      <c r="B873" s="1" t="s">
        <v>5</v>
      </c>
      <c r="D873" s="1" t="n">
        <v>8.2</v>
      </c>
    </row>
    <row r="874" customFormat="false" ht="15" hidden="false" customHeight="true" outlineLevel="0" collapsed="false">
      <c r="A874" s="3" t="n">
        <v>46168.8259027778</v>
      </c>
      <c r="B874" s="1" t="s">
        <v>6</v>
      </c>
      <c r="C874" s="1" t="n">
        <v>2178</v>
      </c>
      <c r="D874" s="1" t="n">
        <v>36</v>
      </c>
    </row>
    <row r="875" customFormat="false" ht="15" hidden="false" customHeight="true" outlineLevel="0" collapsed="false">
      <c r="A875" s="3" t="n">
        <v>46168.8259027778</v>
      </c>
      <c r="B875" s="1" t="s">
        <v>7</v>
      </c>
      <c r="C875" s="1" t="n">
        <v>2815</v>
      </c>
      <c r="D875" s="1" t="n">
        <v>0</v>
      </c>
    </row>
    <row r="876" customFormat="false" ht="15" hidden="false" customHeight="true" outlineLevel="0" collapsed="false">
      <c r="A876" s="3" t="n">
        <v>46168.8259027778</v>
      </c>
      <c r="B876" s="1" t="s">
        <v>4</v>
      </c>
      <c r="C876" s="1" t="n">
        <v>2193</v>
      </c>
      <c r="D876" s="1" t="n">
        <v>40</v>
      </c>
    </row>
    <row r="877" customFormat="false" ht="15" hidden="false" customHeight="true" outlineLevel="0" collapsed="false">
      <c r="A877" s="3" t="n">
        <v>46168.8259143519</v>
      </c>
      <c r="B877" s="1" t="s">
        <v>8</v>
      </c>
      <c r="C877" s="1" t="n">
        <v>2875</v>
      </c>
      <c r="D877" s="1" t="n">
        <v>0</v>
      </c>
    </row>
    <row r="878" customFormat="false" ht="15" hidden="false" customHeight="true" outlineLevel="0" collapsed="false">
      <c r="A878" s="3" t="n">
        <v>46168.8259143519</v>
      </c>
      <c r="B878" s="1" t="s">
        <v>9</v>
      </c>
      <c r="C878" s="1" t="n">
        <v>2843</v>
      </c>
      <c r="D878" s="1" t="n">
        <v>0</v>
      </c>
    </row>
    <row r="879" customFormat="false" ht="15" hidden="false" customHeight="true" outlineLevel="0" collapsed="false">
      <c r="A879" s="3" t="n">
        <v>46168.82625</v>
      </c>
      <c r="B879" s="1" t="s">
        <v>6</v>
      </c>
      <c r="C879" s="1" t="n">
        <v>2182</v>
      </c>
      <c r="D879" s="1" t="n">
        <v>36</v>
      </c>
    </row>
    <row r="880" customFormat="false" ht="15" hidden="false" customHeight="true" outlineLevel="0" collapsed="false">
      <c r="A880" s="3" t="n">
        <v>46168.82625</v>
      </c>
      <c r="B880" s="1" t="s">
        <v>4</v>
      </c>
      <c r="C880" s="1" t="n">
        <v>2172</v>
      </c>
      <c r="D880" s="1" t="n">
        <v>42</v>
      </c>
    </row>
    <row r="881" customFormat="false" ht="15" hidden="false" customHeight="true" outlineLevel="0" collapsed="false">
      <c r="A881" s="3" t="n">
        <v>46168.82625</v>
      </c>
      <c r="B881" s="1" t="s">
        <v>5</v>
      </c>
      <c r="D881" s="1" t="n">
        <v>8.2</v>
      </c>
    </row>
    <row r="882" customFormat="false" ht="15" hidden="false" customHeight="true" outlineLevel="0" collapsed="false">
      <c r="A882" s="3" t="n">
        <v>46168.8262615741</v>
      </c>
      <c r="B882" s="1" t="s">
        <v>7</v>
      </c>
      <c r="C882" s="1" t="n">
        <v>2832</v>
      </c>
      <c r="D882" s="1" t="n">
        <v>0</v>
      </c>
    </row>
    <row r="883" customFormat="false" ht="15" hidden="false" customHeight="true" outlineLevel="0" collapsed="false">
      <c r="A883" s="3" t="n">
        <v>46168.8262615741</v>
      </c>
      <c r="B883" s="1" t="s">
        <v>8</v>
      </c>
      <c r="C883" s="1" t="n">
        <v>2861</v>
      </c>
      <c r="D883" s="1" t="n">
        <v>0</v>
      </c>
    </row>
    <row r="884" customFormat="false" ht="15" hidden="false" customHeight="true" outlineLevel="0" collapsed="false">
      <c r="A884" s="3" t="n">
        <v>46168.8262615741</v>
      </c>
      <c r="B884" s="1" t="s">
        <v>9</v>
      </c>
      <c r="C884" s="1" t="n">
        <v>2847</v>
      </c>
      <c r="D884" s="1" t="n">
        <v>0</v>
      </c>
    </row>
    <row r="885" customFormat="false" ht="15" hidden="false" customHeight="true" outlineLevel="0" collapsed="false">
      <c r="A885" s="3" t="n">
        <v>46168.8265972222</v>
      </c>
      <c r="B885" s="1" t="s">
        <v>4</v>
      </c>
      <c r="C885" s="1" t="n">
        <v>2228</v>
      </c>
      <c r="D885" s="1" t="n">
        <v>38</v>
      </c>
    </row>
    <row r="886" customFormat="false" ht="15" hidden="false" customHeight="true" outlineLevel="0" collapsed="false">
      <c r="A886" s="3" t="n">
        <v>46168.8265972222</v>
      </c>
      <c r="B886" s="1" t="s">
        <v>5</v>
      </c>
      <c r="D886" s="1" t="n">
        <v>8.2</v>
      </c>
    </row>
    <row r="887" customFormat="false" ht="15" hidden="false" customHeight="true" outlineLevel="0" collapsed="false">
      <c r="A887" s="3" t="n">
        <v>46168.8266087963</v>
      </c>
      <c r="B887" s="1" t="s">
        <v>6</v>
      </c>
      <c r="C887" s="1" t="n">
        <v>2187</v>
      </c>
      <c r="D887" s="1" t="n">
        <v>35</v>
      </c>
    </row>
    <row r="888" customFormat="false" ht="15" hidden="false" customHeight="true" outlineLevel="0" collapsed="false">
      <c r="A888" s="3" t="n">
        <v>46168.8266087963</v>
      </c>
      <c r="B888" s="1" t="s">
        <v>7</v>
      </c>
      <c r="C888" s="1" t="n">
        <v>2816</v>
      </c>
      <c r="D888" s="1" t="n">
        <v>0</v>
      </c>
    </row>
    <row r="889" customFormat="false" ht="15" hidden="false" customHeight="true" outlineLevel="0" collapsed="false">
      <c r="A889" s="3" t="n">
        <v>46168.8266203704</v>
      </c>
      <c r="B889" s="1" t="s">
        <v>8</v>
      </c>
      <c r="C889" s="1" t="n">
        <v>2863</v>
      </c>
      <c r="D889" s="1" t="n">
        <v>0</v>
      </c>
    </row>
    <row r="890" customFormat="false" ht="15" hidden="false" customHeight="true" outlineLevel="0" collapsed="false">
      <c r="A890" s="3" t="n">
        <v>46168.8266203704</v>
      </c>
      <c r="B890" s="1" t="s">
        <v>9</v>
      </c>
      <c r="C890" s="1" t="n">
        <v>2838</v>
      </c>
      <c r="D890" s="1" t="n">
        <v>0</v>
      </c>
    </row>
    <row r="891" customFormat="false" ht="15" hidden="false" customHeight="true" outlineLevel="0" collapsed="false">
      <c r="A891" s="3" t="n">
        <v>46168.8269444444</v>
      </c>
      <c r="B891" s="1" t="s">
        <v>5</v>
      </c>
      <c r="D891" s="1" t="n">
        <v>8.2</v>
      </c>
    </row>
    <row r="892" customFormat="false" ht="15" hidden="false" customHeight="true" outlineLevel="0" collapsed="false">
      <c r="A892" s="3" t="n">
        <v>46168.8269560185</v>
      </c>
      <c r="B892" s="1" t="s">
        <v>6</v>
      </c>
      <c r="C892" s="1" t="n">
        <v>2179</v>
      </c>
      <c r="D892" s="1" t="n">
        <v>36</v>
      </c>
    </row>
    <row r="893" customFormat="false" ht="15" hidden="false" customHeight="true" outlineLevel="0" collapsed="false">
      <c r="A893" s="3" t="n">
        <v>46168.8269560185</v>
      </c>
      <c r="B893" s="1" t="s">
        <v>7</v>
      </c>
      <c r="C893" s="1" t="n">
        <v>2815</v>
      </c>
      <c r="D893" s="1" t="n">
        <v>0</v>
      </c>
    </row>
    <row r="894" customFormat="false" ht="15" hidden="false" customHeight="true" outlineLevel="0" collapsed="false">
      <c r="A894" s="3" t="n">
        <v>46168.8269560185</v>
      </c>
      <c r="B894" s="1" t="s">
        <v>4</v>
      </c>
      <c r="C894" s="1" t="n">
        <v>2192</v>
      </c>
      <c r="D894" s="1" t="n">
        <v>40</v>
      </c>
    </row>
    <row r="895" customFormat="false" ht="15" hidden="false" customHeight="true" outlineLevel="0" collapsed="false">
      <c r="A895" s="3" t="n">
        <v>46168.8269675926</v>
      </c>
      <c r="B895" s="1" t="s">
        <v>8</v>
      </c>
      <c r="C895" s="1" t="n">
        <v>2863</v>
      </c>
      <c r="D895" s="1" t="n">
        <v>0</v>
      </c>
    </row>
    <row r="896" customFormat="false" ht="15" hidden="false" customHeight="true" outlineLevel="0" collapsed="false">
      <c r="A896" s="3" t="n">
        <v>46168.8269675926</v>
      </c>
      <c r="B896" s="1" t="s">
        <v>9</v>
      </c>
      <c r="C896" s="1" t="n">
        <v>2835</v>
      </c>
      <c r="D896" s="1" t="n">
        <v>0</v>
      </c>
    </row>
    <row r="897" customFormat="false" ht="15" hidden="false" customHeight="true" outlineLevel="0" collapsed="false">
      <c r="A897" s="3" t="n">
        <v>46168.8272916667</v>
      </c>
      <c r="B897" s="1" t="s">
        <v>5</v>
      </c>
      <c r="D897" s="1" t="n">
        <v>8.2</v>
      </c>
    </row>
    <row r="898" customFormat="false" ht="15" hidden="false" customHeight="true" outlineLevel="0" collapsed="false">
      <c r="A898" s="3" t="n">
        <v>46168.8273032407</v>
      </c>
      <c r="B898" s="1" t="s">
        <v>6</v>
      </c>
      <c r="C898" s="1" t="n">
        <v>2224</v>
      </c>
      <c r="D898" s="1" t="n">
        <v>33</v>
      </c>
    </row>
    <row r="899" customFormat="false" ht="15" hidden="false" customHeight="true" outlineLevel="0" collapsed="false">
      <c r="A899" s="3" t="n">
        <v>46168.8273032407</v>
      </c>
      <c r="B899" s="1" t="s">
        <v>4</v>
      </c>
      <c r="C899" s="1" t="n">
        <v>2222</v>
      </c>
      <c r="D899" s="1" t="n">
        <v>38</v>
      </c>
    </row>
    <row r="900" customFormat="false" ht="15" hidden="false" customHeight="true" outlineLevel="0" collapsed="false">
      <c r="A900" s="3" t="n">
        <v>46168.8273148148</v>
      </c>
      <c r="B900" s="1" t="s">
        <v>7</v>
      </c>
      <c r="C900" s="1" t="n">
        <v>2814</v>
      </c>
      <c r="D900" s="1" t="n">
        <v>0</v>
      </c>
    </row>
    <row r="901" customFormat="false" ht="15" hidden="false" customHeight="true" outlineLevel="0" collapsed="false">
      <c r="A901" s="3" t="n">
        <v>46168.8273148148</v>
      </c>
      <c r="B901" s="1" t="s">
        <v>8</v>
      </c>
      <c r="C901" s="1" t="n">
        <v>2864</v>
      </c>
      <c r="D901" s="1" t="n">
        <v>0</v>
      </c>
    </row>
    <row r="902" customFormat="false" ht="15" hidden="false" customHeight="true" outlineLevel="0" collapsed="false">
      <c r="A902" s="3" t="n">
        <v>46168.8273148148</v>
      </c>
      <c r="B902" s="1" t="s">
        <v>9</v>
      </c>
      <c r="C902" s="1" t="n">
        <v>2851</v>
      </c>
      <c r="D902" s="1" t="n">
        <v>0</v>
      </c>
    </row>
    <row r="903" customFormat="false" ht="15" hidden="false" customHeight="true" outlineLevel="0" collapsed="false">
      <c r="A903" s="3" t="n">
        <v>46168.827650463</v>
      </c>
      <c r="B903" s="1" t="s">
        <v>4</v>
      </c>
      <c r="C903" s="1" t="n">
        <v>2174</v>
      </c>
      <c r="D903" s="1" t="n">
        <v>42</v>
      </c>
    </row>
    <row r="904" customFormat="false" ht="15" hidden="false" customHeight="true" outlineLevel="0" collapsed="false">
      <c r="A904" s="3" t="n">
        <v>46168.827650463</v>
      </c>
      <c r="B904" s="1" t="s">
        <v>5</v>
      </c>
      <c r="D904" s="1" t="n">
        <v>8.2</v>
      </c>
    </row>
    <row r="905" customFormat="false" ht="15" hidden="false" customHeight="true" outlineLevel="0" collapsed="false">
      <c r="A905" s="3" t="n">
        <v>46168.827662037</v>
      </c>
      <c r="B905" s="1" t="s">
        <v>6</v>
      </c>
      <c r="C905" s="1" t="n">
        <v>2179</v>
      </c>
      <c r="D905" s="1" t="n">
        <v>36</v>
      </c>
    </row>
    <row r="906" customFormat="false" ht="15" hidden="false" customHeight="true" outlineLevel="0" collapsed="false">
      <c r="A906" s="3" t="n">
        <v>46168.827662037</v>
      </c>
      <c r="B906" s="1" t="s">
        <v>7</v>
      </c>
      <c r="C906" s="1" t="n">
        <v>2815</v>
      </c>
      <c r="D906" s="1" t="n">
        <v>0</v>
      </c>
    </row>
    <row r="907" customFormat="false" ht="15" hidden="false" customHeight="true" outlineLevel="0" collapsed="false">
      <c r="A907" s="3" t="n">
        <v>46168.827662037</v>
      </c>
      <c r="B907" s="1" t="s">
        <v>8</v>
      </c>
      <c r="C907" s="1" t="n">
        <v>2858</v>
      </c>
      <c r="D907" s="1" t="n">
        <v>0</v>
      </c>
    </row>
    <row r="908" customFormat="false" ht="15" hidden="false" customHeight="true" outlineLevel="0" collapsed="false">
      <c r="A908" s="3" t="n">
        <v>46168.8276736111</v>
      </c>
      <c r="B908" s="1" t="s">
        <v>9</v>
      </c>
      <c r="C908" s="1" t="n">
        <v>2846</v>
      </c>
      <c r="D908" s="1" t="n">
        <v>0</v>
      </c>
    </row>
    <row r="909" customFormat="false" ht="15" hidden="false" customHeight="true" outlineLevel="0" collapsed="false">
      <c r="A909" s="3" t="n">
        <v>46168.8279976852</v>
      </c>
      <c r="B909" s="1" t="s">
        <v>5</v>
      </c>
      <c r="D909" s="1" t="n">
        <v>8.2</v>
      </c>
    </row>
    <row r="910" customFormat="false" ht="15" hidden="false" customHeight="true" outlineLevel="0" collapsed="false">
      <c r="A910" s="3" t="n">
        <v>46168.8280324074</v>
      </c>
      <c r="B910" s="1" t="s">
        <v>4</v>
      </c>
      <c r="C910" s="1" t="n">
        <v>2192</v>
      </c>
      <c r="D910" s="1" t="n">
        <v>40</v>
      </c>
    </row>
    <row r="911" customFormat="false" ht="15" hidden="false" customHeight="true" outlineLevel="0" collapsed="false">
      <c r="A911" s="3" t="n">
        <v>46168.8280439815</v>
      </c>
      <c r="B911" s="1" t="s">
        <v>6</v>
      </c>
      <c r="C911" s="1" t="n">
        <v>2176</v>
      </c>
      <c r="D911" s="1" t="n">
        <v>36</v>
      </c>
    </row>
    <row r="912" customFormat="false" ht="15" hidden="false" customHeight="true" outlineLevel="0" collapsed="false">
      <c r="A912" s="3" t="n">
        <v>46168.8280439815</v>
      </c>
      <c r="B912" s="1" t="s">
        <v>7</v>
      </c>
      <c r="C912" s="1" t="n">
        <v>2815</v>
      </c>
      <c r="D912" s="1" t="n">
        <v>0</v>
      </c>
    </row>
    <row r="913" customFormat="false" ht="15" hidden="false" customHeight="true" outlineLevel="0" collapsed="false">
      <c r="A913" s="3" t="n">
        <v>46168.8280555556</v>
      </c>
      <c r="B913" s="1" t="s">
        <v>8</v>
      </c>
      <c r="C913" s="1" t="n">
        <v>2857</v>
      </c>
      <c r="D913" s="1" t="n">
        <v>0</v>
      </c>
    </row>
    <row r="914" customFormat="false" ht="15" hidden="false" customHeight="true" outlineLevel="0" collapsed="false">
      <c r="A914" s="3" t="n">
        <v>46168.8280555556</v>
      </c>
      <c r="B914" s="1" t="s">
        <v>9</v>
      </c>
      <c r="C914" s="1" t="n">
        <v>2846</v>
      </c>
      <c r="D914" s="1" t="n">
        <v>0</v>
      </c>
    </row>
    <row r="915" customFormat="false" ht="15" hidden="false" customHeight="true" outlineLevel="0" collapsed="false">
      <c r="A915" s="3" t="n">
        <v>46168.8283564815</v>
      </c>
      <c r="B915" s="1" t="s">
        <v>4</v>
      </c>
      <c r="C915" s="1" t="n">
        <v>2194</v>
      </c>
      <c r="D915" s="1" t="n">
        <v>40</v>
      </c>
    </row>
    <row r="916" customFormat="false" ht="15" hidden="false" customHeight="true" outlineLevel="0" collapsed="false">
      <c r="A916" s="3" t="n">
        <v>46168.8283564815</v>
      </c>
      <c r="B916" s="1" t="s">
        <v>5</v>
      </c>
      <c r="D916" s="1" t="n">
        <v>8.2</v>
      </c>
    </row>
    <row r="917" customFormat="false" ht="15" hidden="false" customHeight="true" outlineLevel="0" collapsed="false">
      <c r="A917" s="3" t="n">
        <v>46168.8283680556</v>
      </c>
      <c r="B917" s="1" t="s">
        <v>6</v>
      </c>
      <c r="C917" s="1" t="n">
        <v>2179</v>
      </c>
      <c r="D917" s="1" t="n">
        <v>36</v>
      </c>
    </row>
    <row r="918" customFormat="false" ht="15" hidden="false" customHeight="true" outlineLevel="0" collapsed="false">
      <c r="A918" s="3" t="n">
        <v>46168.8283680556</v>
      </c>
      <c r="B918" s="1" t="s">
        <v>7</v>
      </c>
      <c r="C918" s="1" t="n">
        <v>2816</v>
      </c>
      <c r="D918" s="1" t="n">
        <v>0</v>
      </c>
    </row>
    <row r="919" customFormat="false" ht="15" hidden="false" customHeight="true" outlineLevel="0" collapsed="false">
      <c r="A919" s="3" t="n">
        <v>46168.8283680556</v>
      </c>
      <c r="B919" s="1" t="s">
        <v>8</v>
      </c>
      <c r="C919" s="1" t="n">
        <v>2864</v>
      </c>
      <c r="D919" s="1" t="n">
        <v>0</v>
      </c>
    </row>
    <row r="920" customFormat="false" ht="15" hidden="false" customHeight="true" outlineLevel="0" collapsed="false">
      <c r="A920" s="3" t="n">
        <v>46168.8283796296</v>
      </c>
      <c r="B920" s="1" t="s">
        <v>9</v>
      </c>
      <c r="C920" s="1" t="n">
        <v>2859</v>
      </c>
      <c r="D920" s="1" t="n">
        <v>0</v>
      </c>
    </row>
    <row r="921" customFormat="false" ht="15" hidden="false" customHeight="true" outlineLevel="0" collapsed="false">
      <c r="A921" s="3" t="n">
        <v>46168.8287037037</v>
      </c>
      <c r="B921" s="1" t="s">
        <v>5</v>
      </c>
      <c r="D921" s="1" t="n">
        <v>0</v>
      </c>
    </row>
    <row r="922" customFormat="false" ht="15" hidden="false" customHeight="true" outlineLevel="0" collapsed="false">
      <c r="A922" s="3" t="n">
        <v>46168.8287152778</v>
      </c>
      <c r="B922" s="1" t="s">
        <v>6</v>
      </c>
      <c r="C922" s="1" t="n">
        <v>2640</v>
      </c>
      <c r="D922" s="1" t="n">
        <v>5</v>
      </c>
    </row>
    <row r="923" customFormat="false" ht="15" hidden="false" customHeight="true" outlineLevel="0" collapsed="false">
      <c r="A923" s="3" t="n">
        <v>46168.8287152778</v>
      </c>
      <c r="B923" s="1" t="s">
        <v>7</v>
      </c>
      <c r="C923" s="1" t="n">
        <v>4095</v>
      </c>
      <c r="D923" s="1" t="n">
        <v>0</v>
      </c>
    </row>
    <row r="924" customFormat="false" ht="15" hidden="false" customHeight="true" outlineLevel="0" collapsed="false">
      <c r="A924" s="3" t="n">
        <v>46168.8287152778</v>
      </c>
      <c r="B924" s="1" t="s">
        <v>4</v>
      </c>
      <c r="C924" s="1" t="n">
        <v>2513</v>
      </c>
      <c r="D924" s="1" t="n">
        <v>19</v>
      </c>
    </row>
    <row r="925" customFormat="false" ht="15" hidden="false" customHeight="true" outlineLevel="0" collapsed="false">
      <c r="A925" s="3" t="n">
        <v>46168.8287152778</v>
      </c>
      <c r="B925" s="1" t="s">
        <v>8</v>
      </c>
      <c r="C925" s="1" t="n">
        <v>4095</v>
      </c>
      <c r="D925" s="1" t="n">
        <v>0</v>
      </c>
    </row>
    <row r="926" customFormat="false" ht="15" hidden="false" customHeight="true" outlineLevel="0" collapsed="false">
      <c r="A926" s="3" t="n">
        <v>46168.8287268519</v>
      </c>
      <c r="B926" s="1" t="s">
        <v>9</v>
      </c>
      <c r="C926" s="1" t="n">
        <v>4095</v>
      </c>
      <c r="D926" s="1" t="n">
        <v>0</v>
      </c>
    </row>
    <row r="927" customFormat="false" ht="15" hidden="false" customHeight="true" outlineLevel="0" collapsed="false">
      <c r="A927" s="3" t="n">
        <v>46168.8290509259</v>
      </c>
      <c r="B927" s="1" t="s">
        <v>5</v>
      </c>
      <c r="D927" s="1" t="n">
        <v>0</v>
      </c>
    </row>
    <row r="928" customFormat="false" ht="15" hidden="false" customHeight="true" outlineLevel="0" collapsed="false">
      <c r="A928" s="3" t="n">
        <v>46168.8290625</v>
      </c>
      <c r="B928" s="1" t="s">
        <v>6</v>
      </c>
      <c r="C928" s="1" t="n">
        <v>2642</v>
      </c>
      <c r="D928" s="1" t="n">
        <v>5</v>
      </c>
    </row>
    <row r="929" customFormat="false" ht="15" hidden="false" customHeight="true" outlineLevel="0" collapsed="false">
      <c r="A929" s="3" t="n">
        <v>46168.8290625</v>
      </c>
      <c r="B929" s="1" t="s">
        <v>7</v>
      </c>
      <c r="C929" s="1" t="n">
        <v>4095</v>
      </c>
      <c r="D929" s="1" t="n">
        <v>0</v>
      </c>
    </row>
    <row r="930" customFormat="false" ht="15" hidden="false" customHeight="true" outlineLevel="0" collapsed="false">
      <c r="A930" s="3" t="n">
        <v>46168.8290625</v>
      </c>
      <c r="B930" s="1" t="s">
        <v>4</v>
      </c>
      <c r="C930" s="1" t="n">
        <v>2545</v>
      </c>
      <c r="D930" s="1" t="n">
        <v>17</v>
      </c>
    </row>
    <row r="931" customFormat="false" ht="15" hidden="false" customHeight="true" outlineLevel="0" collapsed="false">
      <c r="A931" s="3" t="n">
        <v>46168.8290625</v>
      </c>
      <c r="B931" s="1" t="s">
        <v>8</v>
      </c>
      <c r="C931" s="1" t="n">
        <v>4095</v>
      </c>
      <c r="D931" s="1" t="n">
        <v>0</v>
      </c>
    </row>
    <row r="932" customFormat="false" ht="15" hidden="false" customHeight="true" outlineLevel="0" collapsed="false">
      <c r="A932" s="3" t="n">
        <v>46168.8290740741</v>
      </c>
      <c r="B932" s="1" t="s">
        <v>9</v>
      </c>
      <c r="C932" s="1" t="n">
        <v>4095</v>
      </c>
      <c r="D932" s="1" t="n">
        <v>0</v>
      </c>
    </row>
    <row r="933" customFormat="false" ht="15" hidden="false" customHeight="true" outlineLevel="0" collapsed="false">
      <c r="A933" s="3" t="n">
        <v>46168.8294097222</v>
      </c>
      <c r="B933" s="1" t="s">
        <v>4</v>
      </c>
      <c r="C933" s="1" t="n">
        <v>2559</v>
      </c>
      <c r="D933" s="1" t="n">
        <v>16</v>
      </c>
    </row>
    <row r="934" customFormat="false" ht="15" hidden="false" customHeight="true" outlineLevel="0" collapsed="false">
      <c r="A934" s="3" t="n">
        <v>46168.8294097222</v>
      </c>
      <c r="B934" s="1" t="s">
        <v>5</v>
      </c>
      <c r="D934" s="1" t="n">
        <v>25.4</v>
      </c>
    </row>
    <row r="935" customFormat="false" ht="15" hidden="false" customHeight="true" outlineLevel="0" collapsed="false">
      <c r="A935" s="3" t="n">
        <v>46168.8294212963</v>
      </c>
      <c r="B935" s="1" t="s">
        <v>6</v>
      </c>
      <c r="C935" s="1" t="n">
        <v>2728</v>
      </c>
      <c r="D935" s="1" t="n">
        <v>0</v>
      </c>
    </row>
    <row r="936" customFormat="false" ht="15" hidden="false" customHeight="true" outlineLevel="0" collapsed="false">
      <c r="A936" s="3" t="n">
        <v>46168.8294212963</v>
      </c>
      <c r="B936" s="1" t="s">
        <v>7</v>
      </c>
      <c r="C936" s="1" t="n">
        <v>4095</v>
      </c>
      <c r="D936" s="1" t="n">
        <v>0</v>
      </c>
    </row>
    <row r="937" customFormat="false" ht="15" hidden="false" customHeight="true" outlineLevel="0" collapsed="false">
      <c r="A937" s="3" t="n">
        <v>46168.8294212963</v>
      </c>
      <c r="B937" s="1" t="s">
        <v>8</v>
      </c>
      <c r="C937" s="1" t="n">
        <v>4095</v>
      </c>
      <c r="D937" s="1" t="n">
        <v>0</v>
      </c>
    </row>
    <row r="938" customFormat="false" ht="15" hidden="false" customHeight="true" outlineLevel="0" collapsed="false">
      <c r="A938" s="3" t="n">
        <v>46168.8294328704</v>
      </c>
      <c r="B938" s="1" t="s">
        <v>9</v>
      </c>
      <c r="C938" s="1" t="n">
        <v>4095</v>
      </c>
      <c r="D938" s="1" t="n">
        <v>0</v>
      </c>
    </row>
    <row r="939" customFormat="false" ht="15" hidden="false" customHeight="true" outlineLevel="0" collapsed="false">
      <c r="A939" s="3" t="n">
        <v>46168.8297569445</v>
      </c>
      <c r="B939" s="1" t="s">
        <v>4</v>
      </c>
      <c r="C939" s="1" t="n">
        <v>2559</v>
      </c>
      <c r="D939" s="1" t="n">
        <v>16</v>
      </c>
    </row>
    <row r="940" customFormat="false" ht="15" hidden="false" customHeight="true" outlineLevel="0" collapsed="false">
      <c r="A940" s="3" t="n">
        <v>46168.8297569445</v>
      </c>
      <c r="B940" s="1" t="s">
        <v>5</v>
      </c>
      <c r="D940" s="1" t="n">
        <v>25.4</v>
      </c>
    </row>
    <row r="941" customFormat="false" ht="15" hidden="false" customHeight="true" outlineLevel="0" collapsed="false">
      <c r="A941" s="3" t="n">
        <v>46168.8297685185</v>
      </c>
      <c r="B941" s="1" t="s">
        <v>6</v>
      </c>
      <c r="C941" s="1" t="n">
        <v>2645</v>
      </c>
      <c r="D941" s="1" t="n">
        <v>5</v>
      </c>
    </row>
    <row r="942" customFormat="false" ht="15" hidden="false" customHeight="true" outlineLevel="0" collapsed="false">
      <c r="A942" s="3" t="n">
        <v>46168.8297685185</v>
      </c>
      <c r="B942" s="1" t="s">
        <v>7</v>
      </c>
      <c r="C942" s="1" t="n">
        <v>4095</v>
      </c>
      <c r="D942" s="1" t="n">
        <v>0</v>
      </c>
    </row>
    <row r="943" customFormat="false" ht="15" hidden="false" customHeight="true" outlineLevel="0" collapsed="false">
      <c r="A943" s="3" t="n">
        <v>46168.8297685185</v>
      </c>
      <c r="B943" s="1" t="s">
        <v>8</v>
      </c>
      <c r="C943" s="1" t="n">
        <v>4095</v>
      </c>
      <c r="D943" s="1" t="n">
        <v>0</v>
      </c>
    </row>
    <row r="944" customFormat="false" ht="15" hidden="false" customHeight="true" outlineLevel="0" collapsed="false">
      <c r="A944" s="3" t="n">
        <v>46168.8297800926</v>
      </c>
      <c r="B944" s="1" t="s">
        <v>9</v>
      </c>
      <c r="C944" s="1" t="n">
        <v>4095</v>
      </c>
      <c r="D944" s="1" t="n">
        <v>0</v>
      </c>
    </row>
    <row r="945" customFormat="false" ht="15" hidden="false" customHeight="true" outlineLevel="0" collapsed="false">
      <c r="A945" s="3" t="n">
        <v>46168.8301041667</v>
      </c>
      <c r="B945" s="1" t="s">
        <v>5</v>
      </c>
      <c r="D945" s="1" t="n">
        <v>25.4</v>
      </c>
    </row>
    <row r="946" customFormat="false" ht="15" hidden="false" customHeight="true" outlineLevel="0" collapsed="false">
      <c r="A946" s="3" t="n">
        <v>46168.8301157407</v>
      </c>
      <c r="B946" s="1" t="s">
        <v>6</v>
      </c>
      <c r="C946" s="1" t="n">
        <v>2646</v>
      </c>
      <c r="D946" s="1" t="n">
        <v>5</v>
      </c>
    </row>
    <row r="947" customFormat="false" ht="15" hidden="false" customHeight="true" outlineLevel="0" collapsed="false">
      <c r="A947" s="3" t="n">
        <v>46168.8301157407</v>
      </c>
      <c r="B947" s="1" t="s">
        <v>4</v>
      </c>
      <c r="C947" s="1" t="n">
        <v>2540</v>
      </c>
      <c r="D947" s="1" t="n">
        <v>17</v>
      </c>
    </row>
    <row r="948" customFormat="false" ht="15" hidden="false" customHeight="true" outlineLevel="0" collapsed="false">
      <c r="A948" s="3" t="n">
        <v>46168.8301273148</v>
      </c>
      <c r="B948" s="1" t="s">
        <v>7</v>
      </c>
      <c r="C948" s="1" t="n">
        <v>4095</v>
      </c>
      <c r="D948" s="1" t="n">
        <v>0</v>
      </c>
    </row>
    <row r="949" customFormat="false" ht="15" hidden="false" customHeight="true" outlineLevel="0" collapsed="false">
      <c r="A949" s="3" t="n">
        <v>46168.8301273148</v>
      </c>
      <c r="B949" s="1" t="s">
        <v>8</v>
      </c>
      <c r="C949" s="1" t="n">
        <v>4095</v>
      </c>
      <c r="D949" s="1" t="n">
        <v>0</v>
      </c>
    </row>
    <row r="950" customFormat="false" ht="15" hidden="false" customHeight="true" outlineLevel="0" collapsed="false">
      <c r="A950" s="3" t="n">
        <v>46168.8301388889</v>
      </c>
      <c r="B950" s="1" t="s">
        <v>9</v>
      </c>
      <c r="C950" s="1" t="n">
        <v>4095</v>
      </c>
      <c r="D950" s="1" t="n">
        <v>0</v>
      </c>
    </row>
    <row r="951" customFormat="false" ht="15" hidden="false" customHeight="true" outlineLevel="0" collapsed="false">
      <c r="A951" s="3" t="n">
        <v>46168.830462963</v>
      </c>
      <c r="B951" s="1" t="s">
        <v>5</v>
      </c>
      <c r="D951" s="1" t="n">
        <v>25.4</v>
      </c>
    </row>
    <row r="952" customFormat="false" ht="15" hidden="false" customHeight="true" outlineLevel="0" collapsed="false">
      <c r="A952" s="3" t="n">
        <v>46168.830474537</v>
      </c>
      <c r="B952" s="1" t="s">
        <v>6</v>
      </c>
      <c r="C952" s="1" t="n">
        <v>2596</v>
      </c>
      <c r="D952" s="1" t="n">
        <v>8</v>
      </c>
    </row>
    <row r="953" customFormat="false" ht="15" hidden="false" customHeight="true" outlineLevel="0" collapsed="false">
      <c r="A953" s="3" t="n">
        <v>46168.830474537</v>
      </c>
      <c r="B953" s="1" t="s">
        <v>4</v>
      </c>
      <c r="C953" s="1" t="n">
        <v>2548</v>
      </c>
      <c r="D953" s="1" t="n">
        <v>17</v>
      </c>
    </row>
    <row r="954" customFormat="false" ht="15" hidden="false" customHeight="true" outlineLevel="0" collapsed="false">
      <c r="A954" s="3" t="n">
        <v>46168.8304976852</v>
      </c>
      <c r="B954" s="1" t="s">
        <v>7</v>
      </c>
      <c r="C954" s="1" t="n">
        <v>4095</v>
      </c>
      <c r="D954" s="1" t="n">
        <v>0</v>
      </c>
    </row>
    <row r="955" customFormat="false" ht="15" hidden="false" customHeight="true" outlineLevel="0" collapsed="false">
      <c r="A955" s="3" t="n">
        <v>46168.8304976852</v>
      </c>
      <c r="B955" s="1" t="s">
        <v>8</v>
      </c>
      <c r="C955" s="1" t="n">
        <v>4095</v>
      </c>
      <c r="D955" s="1" t="n">
        <v>0</v>
      </c>
    </row>
    <row r="956" customFormat="false" ht="15" hidden="false" customHeight="true" outlineLevel="0" collapsed="false">
      <c r="A956" s="3" t="n">
        <v>46168.8304976852</v>
      </c>
      <c r="B956" s="1" t="s">
        <v>9</v>
      </c>
      <c r="C956" s="1" t="n">
        <v>4095</v>
      </c>
      <c r="D956" s="1" t="n">
        <v>0</v>
      </c>
    </row>
    <row r="957" customFormat="false" ht="15" hidden="false" customHeight="true" outlineLevel="0" collapsed="false">
      <c r="A957" s="3" t="n">
        <v>46168.8308101852</v>
      </c>
      <c r="B957" s="1" t="s">
        <v>5</v>
      </c>
      <c r="D957" s="1" t="n">
        <v>25.4</v>
      </c>
    </row>
    <row r="958" customFormat="false" ht="15" hidden="false" customHeight="true" outlineLevel="0" collapsed="false">
      <c r="A958" s="3" t="n">
        <v>46168.8308217593</v>
      </c>
      <c r="B958" s="1" t="s">
        <v>6</v>
      </c>
      <c r="C958" s="1" t="n">
        <v>2653</v>
      </c>
      <c r="D958" s="1" t="n">
        <v>5</v>
      </c>
    </row>
    <row r="959" customFormat="false" ht="15" hidden="false" customHeight="true" outlineLevel="0" collapsed="false">
      <c r="A959" s="3" t="n">
        <v>46168.8308217593</v>
      </c>
      <c r="B959" s="1" t="s">
        <v>7</v>
      </c>
      <c r="C959" s="1" t="n">
        <v>4095</v>
      </c>
      <c r="D959" s="1" t="n">
        <v>0</v>
      </c>
    </row>
    <row r="960" customFormat="false" ht="15" hidden="false" customHeight="true" outlineLevel="0" collapsed="false">
      <c r="A960" s="3" t="n">
        <v>46168.8308217593</v>
      </c>
      <c r="B960" s="1" t="s">
        <v>4</v>
      </c>
      <c r="C960" s="1" t="n">
        <v>2549</v>
      </c>
      <c r="D960" s="1" t="n">
        <v>17</v>
      </c>
    </row>
    <row r="961" customFormat="false" ht="15" hidden="false" customHeight="true" outlineLevel="0" collapsed="false">
      <c r="A961" s="3" t="n">
        <v>46168.8308217593</v>
      </c>
      <c r="B961" s="1" t="s">
        <v>8</v>
      </c>
      <c r="C961" s="1" t="n">
        <v>4095</v>
      </c>
      <c r="D961" s="1" t="n">
        <v>0</v>
      </c>
    </row>
    <row r="962" customFormat="false" ht="15" hidden="false" customHeight="true" outlineLevel="0" collapsed="false">
      <c r="A962" s="3" t="n">
        <v>46168.8308333333</v>
      </c>
      <c r="B962" s="1" t="s">
        <v>9</v>
      </c>
      <c r="C962" s="1" t="n">
        <v>4095</v>
      </c>
      <c r="D962" s="1" t="n">
        <v>0</v>
      </c>
    </row>
    <row r="963" customFormat="false" ht="15" hidden="false" customHeight="true" outlineLevel="0" collapsed="false">
      <c r="A963" s="3" t="n">
        <v>46168.8311574074</v>
      </c>
      <c r="B963" s="1" t="s">
        <v>5</v>
      </c>
      <c r="D963" s="1" t="n">
        <v>25.4</v>
      </c>
    </row>
    <row r="964" customFormat="false" ht="15" hidden="false" customHeight="true" outlineLevel="0" collapsed="false">
      <c r="A964" s="3" t="n">
        <v>46168.8311689815</v>
      </c>
      <c r="B964" s="1" t="s">
        <v>6</v>
      </c>
      <c r="C964" s="1" t="n">
        <v>2646</v>
      </c>
      <c r="D964" s="1" t="n">
        <v>5</v>
      </c>
    </row>
    <row r="965" customFormat="false" ht="15" hidden="false" customHeight="true" outlineLevel="0" collapsed="false">
      <c r="A965" s="3" t="n">
        <v>46168.8311689815</v>
      </c>
      <c r="B965" s="1" t="s">
        <v>7</v>
      </c>
      <c r="C965" s="1" t="n">
        <v>4095</v>
      </c>
      <c r="D965" s="1" t="n">
        <v>0</v>
      </c>
    </row>
    <row r="966" customFormat="false" ht="15" hidden="false" customHeight="true" outlineLevel="0" collapsed="false">
      <c r="A966" s="3" t="n">
        <v>46168.8311689815</v>
      </c>
      <c r="B966" s="1" t="s">
        <v>4</v>
      </c>
      <c r="C966" s="1" t="n">
        <v>2548</v>
      </c>
      <c r="D966" s="1" t="n">
        <v>17</v>
      </c>
    </row>
    <row r="967" customFormat="false" ht="15" hidden="false" customHeight="true" outlineLevel="0" collapsed="false">
      <c r="A967" s="3" t="n">
        <v>46168.8311805556</v>
      </c>
      <c r="B967" s="1" t="s">
        <v>8</v>
      </c>
      <c r="C967" s="1" t="n">
        <v>4095</v>
      </c>
      <c r="D967" s="1" t="n">
        <v>0</v>
      </c>
    </row>
    <row r="968" customFormat="false" ht="15" hidden="false" customHeight="true" outlineLevel="0" collapsed="false">
      <c r="A968" s="3" t="n">
        <v>46168.8311805556</v>
      </c>
      <c r="B968" s="1" t="s">
        <v>9</v>
      </c>
      <c r="C968" s="1" t="n">
        <v>4095</v>
      </c>
      <c r="D968" s="1" t="n">
        <v>0</v>
      </c>
    </row>
    <row r="969" customFormat="false" ht="15" hidden="false" customHeight="true" outlineLevel="0" collapsed="false">
      <c r="A969" s="3" t="n">
        <v>46168.8315162037</v>
      </c>
      <c r="B969" s="1" t="s">
        <v>4</v>
      </c>
      <c r="C969" s="1" t="n">
        <v>2541</v>
      </c>
      <c r="D969" s="1" t="n">
        <v>17</v>
      </c>
    </row>
    <row r="970" customFormat="false" ht="15" hidden="false" customHeight="true" outlineLevel="0" collapsed="false">
      <c r="A970" s="3" t="n">
        <v>46168.8315162037</v>
      </c>
      <c r="B970" s="1" t="s">
        <v>5</v>
      </c>
      <c r="D970" s="1" t="n">
        <v>25.4</v>
      </c>
    </row>
    <row r="971" customFormat="false" ht="15" hidden="false" customHeight="true" outlineLevel="0" collapsed="false">
      <c r="A971" s="3" t="n">
        <v>46168.8315277778</v>
      </c>
      <c r="B971" s="1" t="s">
        <v>6</v>
      </c>
      <c r="C971" s="1" t="n">
        <v>2608</v>
      </c>
      <c r="D971" s="1" t="n">
        <v>8</v>
      </c>
    </row>
    <row r="972" customFormat="false" ht="15" hidden="false" customHeight="true" outlineLevel="0" collapsed="false">
      <c r="A972" s="3" t="n">
        <v>46168.8315277778</v>
      </c>
      <c r="B972" s="1" t="s">
        <v>7</v>
      </c>
      <c r="C972" s="1" t="n">
        <v>4095</v>
      </c>
      <c r="D972" s="1" t="n">
        <v>0</v>
      </c>
    </row>
    <row r="973" customFormat="false" ht="15" hidden="false" customHeight="true" outlineLevel="0" collapsed="false">
      <c r="A973" s="3" t="n">
        <v>46168.8315277778</v>
      </c>
      <c r="B973" s="1" t="s">
        <v>8</v>
      </c>
      <c r="C973" s="1" t="n">
        <v>4095</v>
      </c>
      <c r="D973" s="1" t="n">
        <v>0</v>
      </c>
    </row>
    <row r="974" customFormat="false" ht="15" hidden="false" customHeight="true" outlineLevel="0" collapsed="false">
      <c r="A974" s="3" t="n">
        <v>46168.8315393519</v>
      </c>
      <c r="B974" s="1" t="s">
        <v>9</v>
      </c>
      <c r="C974" s="1" t="n">
        <v>4095</v>
      </c>
      <c r="D974" s="1" t="n">
        <v>0</v>
      </c>
    </row>
    <row r="975" customFormat="false" ht="15" hidden="false" customHeight="true" outlineLevel="0" collapsed="false">
      <c r="A975" s="3" t="n">
        <v>46168.831875</v>
      </c>
      <c r="B975" s="1" t="s">
        <v>6</v>
      </c>
      <c r="C975" s="1" t="n">
        <v>2655</v>
      </c>
      <c r="D975" s="1" t="n">
        <v>5</v>
      </c>
    </row>
    <row r="976" customFormat="false" ht="15" hidden="false" customHeight="true" outlineLevel="0" collapsed="false">
      <c r="A976" s="3" t="n">
        <v>46168.831875</v>
      </c>
      <c r="B976" s="1" t="s">
        <v>7</v>
      </c>
      <c r="C976" s="1" t="n">
        <v>4095</v>
      </c>
      <c r="D976" s="1" t="n">
        <v>0</v>
      </c>
    </row>
    <row r="977" customFormat="false" ht="15" hidden="false" customHeight="true" outlineLevel="0" collapsed="false">
      <c r="A977" s="3" t="n">
        <v>46168.831875</v>
      </c>
      <c r="B977" s="1" t="s">
        <v>4</v>
      </c>
      <c r="C977" s="1" t="n">
        <v>2546</v>
      </c>
      <c r="D977" s="1" t="n">
        <v>17</v>
      </c>
    </row>
    <row r="978" customFormat="false" ht="15" hidden="false" customHeight="true" outlineLevel="0" collapsed="false">
      <c r="A978" s="3" t="n">
        <v>46168.831875</v>
      </c>
      <c r="B978" s="1" t="s">
        <v>5</v>
      </c>
      <c r="D978" s="1" t="n">
        <v>0</v>
      </c>
    </row>
    <row r="979" customFormat="false" ht="15" hidden="false" customHeight="true" outlineLevel="0" collapsed="false">
      <c r="A979" s="3" t="n">
        <v>46168.8318865741</v>
      </c>
      <c r="B979" s="1" t="s">
        <v>8</v>
      </c>
      <c r="C979" s="1" t="n">
        <v>4095</v>
      </c>
      <c r="D979" s="1" t="n">
        <v>0</v>
      </c>
    </row>
    <row r="980" customFormat="false" ht="15" hidden="false" customHeight="true" outlineLevel="0" collapsed="false">
      <c r="A980" s="3" t="n">
        <v>46168.8318865741</v>
      </c>
      <c r="B980" s="1" t="s">
        <v>9</v>
      </c>
      <c r="C980" s="1" t="n">
        <v>4095</v>
      </c>
      <c r="D980" s="1" t="n">
        <v>0</v>
      </c>
    </row>
    <row r="981" customFormat="false" ht="15" hidden="false" customHeight="true" outlineLevel="0" collapsed="false">
      <c r="A981" s="3" t="n">
        <v>46168.8322222222</v>
      </c>
      <c r="B981" s="1" t="s">
        <v>5</v>
      </c>
      <c r="D981" s="1" t="n">
        <v>0</v>
      </c>
    </row>
    <row r="982" customFormat="false" ht="15" hidden="false" customHeight="true" outlineLevel="0" collapsed="false">
      <c r="A982" s="3" t="n">
        <v>46168.8322337963</v>
      </c>
      <c r="B982" s="1" t="s">
        <v>6</v>
      </c>
      <c r="C982" s="1" t="n">
        <v>2686</v>
      </c>
      <c r="D982" s="1" t="n">
        <v>2</v>
      </c>
    </row>
    <row r="983" customFormat="false" ht="15" hidden="false" customHeight="true" outlineLevel="0" collapsed="false">
      <c r="A983" s="3" t="n">
        <v>46168.8322337963</v>
      </c>
      <c r="B983" s="1" t="s">
        <v>4</v>
      </c>
      <c r="C983" s="1" t="n">
        <v>2530</v>
      </c>
      <c r="D983" s="1" t="n">
        <v>18</v>
      </c>
    </row>
    <row r="984" customFormat="false" ht="15" hidden="false" customHeight="true" outlineLevel="0" collapsed="false">
      <c r="A984" s="3" t="n">
        <v>46168.8322453704</v>
      </c>
      <c r="B984" s="1" t="s">
        <v>7</v>
      </c>
      <c r="C984" s="1" t="n">
        <v>4095</v>
      </c>
      <c r="D984" s="1" t="n">
        <v>0</v>
      </c>
    </row>
    <row r="985" customFormat="false" ht="15" hidden="false" customHeight="true" outlineLevel="0" collapsed="false">
      <c r="A985" s="3" t="n">
        <v>46168.8322453704</v>
      </c>
      <c r="B985" s="1" t="s">
        <v>8</v>
      </c>
      <c r="C985" s="1" t="n">
        <v>4095</v>
      </c>
      <c r="D985" s="1" t="n">
        <v>0</v>
      </c>
    </row>
    <row r="986" customFormat="false" ht="15" hidden="false" customHeight="true" outlineLevel="0" collapsed="false">
      <c r="A986" s="3" t="n">
        <v>46168.8322453704</v>
      </c>
      <c r="B986" s="1" t="s">
        <v>9</v>
      </c>
      <c r="C986" s="1" t="n">
        <v>4095</v>
      </c>
      <c r="D986" s="1" t="n">
        <v>0</v>
      </c>
    </row>
    <row r="987" customFormat="false" ht="15" hidden="false" customHeight="true" outlineLevel="0" collapsed="false">
      <c r="A987" s="3" t="n">
        <v>46168.8325810185</v>
      </c>
      <c r="B987" s="1" t="s">
        <v>6</v>
      </c>
      <c r="C987" s="1" t="n">
        <v>2603</v>
      </c>
      <c r="D987" s="1" t="n">
        <v>8</v>
      </c>
    </row>
    <row r="988" customFormat="false" ht="15" hidden="false" customHeight="true" outlineLevel="0" collapsed="false">
      <c r="A988" s="3" t="n">
        <v>46168.8325810185</v>
      </c>
      <c r="B988" s="1" t="s">
        <v>4</v>
      </c>
      <c r="C988" s="1" t="n">
        <v>2544</v>
      </c>
      <c r="D988" s="1" t="n">
        <v>17</v>
      </c>
    </row>
    <row r="989" customFormat="false" ht="15" hidden="false" customHeight="true" outlineLevel="0" collapsed="false">
      <c r="A989" s="3" t="n">
        <v>46168.8325810185</v>
      </c>
      <c r="B989" s="1" t="s">
        <v>5</v>
      </c>
      <c r="D989" s="1" t="n">
        <v>0</v>
      </c>
    </row>
    <row r="990" customFormat="false" ht="15" hidden="false" customHeight="true" outlineLevel="0" collapsed="false">
      <c r="A990" s="3" t="n">
        <v>46168.8325925926</v>
      </c>
      <c r="B990" s="1" t="s">
        <v>7</v>
      </c>
      <c r="C990" s="1" t="n">
        <v>4095</v>
      </c>
      <c r="D990" s="1" t="n">
        <v>0</v>
      </c>
    </row>
    <row r="991" customFormat="false" ht="15" hidden="false" customHeight="true" outlineLevel="0" collapsed="false">
      <c r="A991" s="3" t="n">
        <v>46168.8325925926</v>
      </c>
      <c r="B991" s="1" t="s">
        <v>8</v>
      </c>
      <c r="C991" s="1" t="n">
        <v>4095</v>
      </c>
      <c r="D991" s="1" t="n">
        <v>0</v>
      </c>
    </row>
    <row r="992" customFormat="false" ht="15" hidden="false" customHeight="true" outlineLevel="0" collapsed="false">
      <c r="A992" s="3" t="n">
        <v>46168.8325925926</v>
      </c>
      <c r="B992" s="1" t="s">
        <v>9</v>
      </c>
      <c r="C992" s="1" t="n">
        <v>4095</v>
      </c>
      <c r="D992" s="1" t="n">
        <v>0</v>
      </c>
    </row>
    <row r="993" customFormat="false" ht="15" hidden="false" customHeight="true" outlineLevel="0" collapsed="false">
      <c r="A993" s="3" t="n">
        <v>46168.8329282407</v>
      </c>
      <c r="B993" s="1" t="s">
        <v>4</v>
      </c>
      <c r="C993" s="1" t="n">
        <v>2555</v>
      </c>
      <c r="D993" s="1" t="n">
        <v>16</v>
      </c>
    </row>
    <row r="994" customFormat="false" ht="15" hidden="false" customHeight="true" outlineLevel="0" collapsed="false">
      <c r="A994" s="3" t="n">
        <v>46168.8329282407</v>
      </c>
      <c r="B994" s="1" t="s">
        <v>5</v>
      </c>
      <c r="D994" s="1" t="n">
        <v>100</v>
      </c>
    </row>
    <row r="995" customFormat="false" ht="15" hidden="false" customHeight="true" outlineLevel="0" collapsed="false">
      <c r="A995" s="3" t="n">
        <v>46168.8329398148</v>
      </c>
      <c r="B995" s="1" t="s">
        <v>6</v>
      </c>
      <c r="C995" s="1" t="n">
        <v>2657</v>
      </c>
      <c r="D995" s="1" t="n">
        <v>4</v>
      </c>
    </row>
    <row r="996" customFormat="false" ht="15" hidden="false" customHeight="true" outlineLevel="0" collapsed="false">
      <c r="A996" s="3" t="n">
        <v>46168.8329398148</v>
      </c>
      <c r="B996" s="1" t="s">
        <v>7</v>
      </c>
      <c r="C996" s="1" t="n">
        <v>4095</v>
      </c>
      <c r="D996" s="1" t="n">
        <v>0</v>
      </c>
    </row>
    <row r="997" customFormat="false" ht="15" hidden="false" customHeight="true" outlineLevel="0" collapsed="false">
      <c r="A997" s="3" t="n">
        <v>46168.8329398148</v>
      </c>
      <c r="B997" s="1" t="s">
        <v>8</v>
      </c>
      <c r="C997" s="1" t="n">
        <v>4095</v>
      </c>
      <c r="D997" s="1" t="n">
        <v>0</v>
      </c>
    </row>
    <row r="998" customFormat="false" ht="15" hidden="false" customHeight="true" outlineLevel="0" collapsed="false">
      <c r="A998" s="3" t="n">
        <v>46168.8329398148</v>
      </c>
      <c r="B998" s="1" t="s">
        <v>9</v>
      </c>
      <c r="C998" s="1" t="n">
        <v>4095</v>
      </c>
      <c r="D998" s="1" t="n">
        <v>0</v>
      </c>
    </row>
    <row r="999" customFormat="false" ht="15" hidden="false" customHeight="true" outlineLevel="0" collapsed="false">
      <c r="A999" s="3" t="n">
        <v>46168.833275463</v>
      </c>
      <c r="B999" s="1" t="s">
        <v>4</v>
      </c>
      <c r="C999" s="1" t="n">
        <v>2559</v>
      </c>
      <c r="D999" s="1" t="n">
        <v>16</v>
      </c>
    </row>
    <row r="1000" customFormat="false" ht="15" hidden="false" customHeight="true" outlineLevel="0" collapsed="false">
      <c r="A1000" s="3" t="n">
        <v>46168.833275463</v>
      </c>
      <c r="B1000" s="1" t="s">
        <v>5</v>
      </c>
      <c r="D1000" s="1" t="n">
        <v>100</v>
      </c>
    </row>
    <row r="1001" customFormat="false" ht="15" hidden="false" customHeight="true" outlineLevel="0" collapsed="false">
      <c r="A1001" s="3" t="n">
        <v>46168.833287037</v>
      </c>
      <c r="B1001" s="1" t="s">
        <v>6</v>
      </c>
      <c r="C1001" s="1" t="n">
        <v>2653</v>
      </c>
      <c r="D1001" s="1" t="n">
        <v>5</v>
      </c>
    </row>
    <row r="1002" customFormat="false" ht="15" hidden="false" customHeight="true" outlineLevel="0" collapsed="false">
      <c r="A1002" s="3" t="n">
        <v>46168.833287037</v>
      </c>
      <c r="B1002" s="1" t="s">
        <v>7</v>
      </c>
      <c r="C1002" s="1" t="n">
        <v>4095</v>
      </c>
      <c r="D1002" s="1" t="n">
        <v>0</v>
      </c>
    </row>
    <row r="1003" customFormat="false" ht="15" hidden="false" customHeight="true" outlineLevel="0" collapsed="false">
      <c r="A1003" s="3" t="n">
        <v>46168.833287037</v>
      </c>
      <c r="B1003" s="1" t="s">
        <v>8</v>
      </c>
      <c r="C1003" s="1" t="n">
        <v>4095</v>
      </c>
      <c r="D1003" s="1" t="n">
        <v>0</v>
      </c>
    </row>
    <row r="1004" customFormat="false" ht="15" hidden="false" customHeight="true" outlineLevel="0" collapsed="false">
      <c r="A1004" s="3" t="n">
        <v>46168.8332986111</v>
      </c>
      <c r="B1004" s="1" t="s">
        <v>9</v>
      </c>
      <c r="C1004" s="1" t="n">
        <v>4095</v>
      </c>
      <c r="D1004" s="1" t="n">
        <v>0</v>
      </c>
    </row>
    <row r="1005" customFormat="false" ht="15" hidden="false" customHeight="true" outlineLevel="0" collapsed="false">
      <c r="A1005" s="3" t="n">
        <v>46168.8336226852</v>
      </c>
      <c r="B1005" s="1" t="s">
        <v>5</v>
      </c>
      <c r="D1005" s="1" t="n">
        <v>100</v>
      </c>
    </row>
    <row r="1006" customFormat="false" ht="15" hidden="false" customHeight="true" outlineLevel="0" collapsed="false">
      <c r="A1006" s="3" t="n">
        <v>46168.8336342593</v>
      </c>
      <c r="B1006" s="1" t="s">
        <v>6</v>
      </c>
      <c r="C1006" s="1" t="n">
        <v>2658</v>
      </c>
      <c r="D1006" s="1" t="n">
        <v>4</v>
      </c>
    </row>
    <row r="1007" customFormat="false" ht="15" hidden="false" customHeight="true" outlineLevel="0" collapsed="false">
      <c r="A1007" s="3" t="n">
        <v>46168.8336342593</v>
      </c>
      <c r="B1007" s="1" t="s">
        <v>7</v>
      </c>
      <c r="C1007" s="1" t="n">
        <v>4095</v>
      </c>
      <c r="D1007" s="1" t="n">
        <v>0</v>
      </c>
    </row>
    <row r="1008" customFormat="false" ht="15" hidden="false" customHeight="true" outlineLevel="0" collapsed="false">
      <c r="A1008" s="3" t="n">
        <v>46168.8336342593</v>
      </c>
      <c r="B1008" s="1" t="s">
        <v>4</v>
      </c>
      <c r="C1008" s="1" t="n">
        <v>2559</v>
      </c>
      <c r="D1008" s="1" t="n">
        <v>16</v>
      </c>
    </row>
    <row r="1009" customFormat="false" ht="15" hidden="false" customHeight="true" outlineLevel="0" collapsed="false">
      <c r="A1009" s="3" t="n">
        <v>46168.8336458333</v>
      </c>
      <c r="B1009" s="1" t="s">
        <v>8</v>
      </c>
      <c r="C1009" s="1" t="n">
        <v>4095</v>
      </c>
      <c r="D1009" s="1" t="n">
        <v>0</v>
      </c>
    </row>
    <row r="1010" customFormat="false" ht="15" hidden="false" customHeight="true" outlineLevel="0" collapsed="false">
      <c r="A1010" s="3" t="n">
        <v>46168.8336458333</v>
      </c>
      <c r="B1010" s="1" t="s">
        <v>9</v>
      </c>
      <c r="C1010" s="1" t="n">
        <v>4095</v>
      </c>
      <c r="D1010" s="1" t="n">
        <v>0</v>
      </c>
    </row>
    <row r="1011" customFormat="false" ht="15" hidden="false" customHeight="true" outlineLevel="0" collapsed="false">
      <c r="A1011" s="3" t="n">
        <v>46168.8339814815</v>
      </c>
      <c r="B1011" s="1" t="s">
        <v>6</v>
      </c>
      <c r="C1011" s="1" t="n">
        <v>2657</v>
      </c>
      <c r="D1011" s="1" t="n">
        <v>4</v>
      </c>
    </row>
    <row r="1012" customFormat="false" ht="15" hidden="false" customHeight="true" outlineLevel="0" collapsed="false">
      <c r="A1012" s="3" t="n">
        <v>46168.8339814815</v>
      </c>
      <c r="B1012" s="1" t="s">
        <v>4</v>
      </c>
      <c r="C1012" s="1" t="n">
        <v>2540</v>
      </c>
      <c r="D1012" s="1" t="n">
        <v>17</v>
      </c>
    </row>
    <row r="1013" customFormat="false" ht="15" hidden="false" customHeight="true" outlineLevel="0" collapsed="false">
      <c r="A1013" s="3" t="n">
        <v>46168.8339814815</v>
      </c>
      <c r="B1013" s="1" t="s">
        <v>5</v>
      </c>
      <c r="D1013" s="1" t="n">
        <v>100</v>
      </c>
    </row>
    <row r="1014" customFormat="false" ht="15" hidden="false" customHeight="true" outlineLevel="0" collapsed="false">
      <c r="A1014" s="3" t="n">
        <v>46168.8339930556</v>
      </c>
      <c r="B1014" s="1" t="s">
        <v>7</v>
      </c>
      <c r="C1014" s="1" t="n">
        <v>4095</v>
      </c>
      <c r="D1014" s="1" t="n">
        <v>0</v>
      </c>
    </row>
    <row r="1015" customFormat="false" ht="15" hidden="false" customHeight="true" outlineLevel="0" collapsed="false">
      <c r="A1015" s="3" t="n">
        <v>46168.8339930556</v>
      </c>
      <c r="B1015" s="1" t="s">
        <v>8</v>
      </c>
      <c r="C1015" s="1" t="n">
        <v>4095</v>
      </c>
      <c r="D1015" s="1" t="n">
        <v>0</v>
      </c>
    </row>
    <row r="1016" customFormat="false" ht="15" hidden="false" customHeight="true" outlineLevel="0" collapsed="false">
      <c r="A1016" s="3" t="n">
        <v>46168.8339930556</v>
      </c>
      <c r="B1016" s="1" t="s">
        <v>9</v>
      </c>
      <c r="C1016" s="1" t="n">
        <v>4095</v>
      </c>
      <c r="D1016" s="1" t="n">
        <v>0</v>
      </c>
    </row>
    <row r="1017" customFormat="false" ht="15" hidden="false" customHeight="true" outlineLevel="0" collapsed="false">
      <c r="A1017" s="3" t="n">
        <v>46168.8343287037</v>
      </c>
      <c r="B1017" s="1" t="s">
        <v>6</v>
      </c>
      <c r="C1017" s="1" t="n">
        <v>2657</v>
      </c>
      <c r="D1017" s="1" t="n">
        <v>4</v>
      </c>
    </row>
    <row r="1018" customFormat="false" ht="15" hidden="false" customHeight="true" outlineLevel="0" collapsed="false">
      <c r="A1018" s="3" t="n">
        <v>46168.8343287037</v>
      </c>
      <c r="B1018" s="1" t="s">
        <v>4</v>
      </c>
      <c r="C1018" s="1" t="n">
        <v>2547</v>
      </c>
      <c r="D1018" s="1" t="n">
        <v>17</v>
      </c>
    </row>
    <row r="1019" customFormat="false" ht="15" hidden="false" customHeight="true" outlineLevel="0" collapsed="false">
      <c r="A1019" s="3" t="n">
        <v>46168.8343287037</v>
      </c>
      <c r="B1019" s="1" t="s">
        <v>5</v>
      </c>
      <c r="D1019" s="1" t="n">
        <v>0</v>
      </c>
    </row>
    <row r="1020" customFormat="false" ht="15" hidden="false" customHeight="true" outlineLevel="0" collapsed="false">
      <c r="A1020" s="3" t="n">
        <v>46168.8343402778</v>
      </c>
      <c r="B1020" s="1" t="s">
        <v>7</v>
      </c>
      <c r="C1020" s="1" t="n">
        <v>4095</v>
      </c>
      <c r="D1020" s="1" t="n">
        <v>0</v>
      </c>
    </row>
    <row r="1021" customFormat="false" ht="15" hidden="false" customHeight="true" outlineLevel="0" collapsed="false">
      <c r="A1021" s="3" t="n">
        <v>46168.8343402778</v>
      </c>
      <c r="B1021" s="1" t="s">
        <v>8</v>
      </c>
      <c r="C1021" s="1" t="n">
        <v>4095</v>
      </c>
      <c r="D1021" s="1" t="n">
        <v>0</v>
      </c>
    </row>
    <row r="1022" customFormat="false" ht="15" hidden="false" customHeight="true" outlineLevel="0" collapsed="false">
      <c r="A1022" s="3" t="n">
        <v>46168.8343402778</v>
      </c>
      <c r="B1022" s="1" t="s">
        <v>9</v>
      </c>
      <c r="C1022" s="1" t="n">
        <v>4095</v>
      </c>
      <c r="D1022" s="1" t="n">
        <v>0</v>
      </c>
    </row>
    <row r="1023" customFormat="false" ht="15" hidden="false" customHeight="true" outlineLevel="0" collapsed="false">
      <c r="A1023" s="3" t="n">
        <v>46168.8346759259</v>
      </c>
      <c r="B1023" s="1" t="s">
        <v>5</v>
      </c>
      <c r="D1023" s="1" t="n">
        <v>0</v>
      </c>
    </row>
    <row r="1024" customFormat="false" ht="15" hidden="false" customHeight="true" outlineLevel="0" collapsed="false">
      <c r="A1024" s="3" t="n">
        <v>46168.8346875</v>
      </c>
      <c r="B1024" s="1" t="s">
        <v>4</v>
      </c>
      <c r="C1024" s="1" t="n">
        <v>2546</v>
      </c>
      <c r="D1024" s="1" t="n">
        <v>17</v>
      </c>
    </row>
    <row r="1025" customFormat="false" ht="15" hidden="false" customHeight="true" outlineLevel="0" collapsed="false">
      <c r="A1025" s="3" t="n">
        <v>46168.8346990741</v>
      </c>
      <c r="B1025" s="1" t="s">
        <v>6</v>
      </c>
      <c r="C1025" s="1" t="n">
        <v>2613</v>
      </c>
      <c r="D1025" s="1" t="n">
        <v>7</v>
      </c>
    </row>
    <row r="1026" customFormat="false" ht="15" hidden="false" customHeight="true" outlineLevel="0" collapsed="false">
      <c r="A1026" s="3" t="n">
        <v>46168.8346990741</v>
      </c>
      <c r="B1026" s="1" t="s">
        <v>7</v>
      </c>
      <c r="C1026" s="1" t="n">
        <v>4095</v>
      </c>
      <c r="D1026" s="1" t="n">
        <v>0</v>
      </c>
    </row>
    <row r="1027" customFormat="false" ht="15" hidden="false" customHeight="true" outlineLevel="0" collapsed="false">
      <c r="A1027" s="3" t="n">
        <v>46168.8347106482</v>
      </c>
      <c r="B1027" s="1" t="s">
        <v>8</v>
      </c>
      <c r="C1027" s="1" t="n">
        <v>4095</v>
      </c>
      <c r="D1027" s="1" t="n">
        <v>0</v>
      </c>
    </row>
    <row r="1028" customFormat="false" ht="15" hidden="false" customHeight="true" outlineLevel="0" collapsed="false">
      <c r="A1028" s="3" t="n">
        <v>46168.8347106482</v>
      </c>
      <c r="B1028" s="1" t="s">
        <v>9</v>
      </c>
      <c r="C1028" s="1" t="n">
        <v>4095</v>
      </c>
      <c r="D1028" s="1" t="n">
        <v>0</v>
      </c>
    </row>
    <row r="1029" customFormat="false" ht="15" hidden="false" customHeight="true" outlineLevel="0" collapsed="false">
      <c r="A1029" s="3" t="n">
        <v>46168.8350231482</v>
      </c>
      <c r="B1029" s="1" t="s">
        <v>6</v>
      </c>
      <c r="C1029" s="1" t="n">
        <v>2656</v>
      </c>
      <c r="D1029" s="1" t="n">
        <v>4</v>
      </c>
    </row>
    <row r="1030" customFormat="false" ht="15" hidden="false" customHeight="true" outlineLevel="0" collapsed="false">
      <c r="A1030" s="3" t="n">
        <v>46168.8350231482</v>
      </c>
      <c r="B1030" s="1" t="s">
        <v>7</v>
      </c>
      <c r="C1030" s="1" t="n">
        <v>4095</v>
      </c>
      <c r="D1030" s="1" t="n">
        <v>0</v>
      </c>
    </row>
    <row r="1031" customFormat="false" ht="15" hidden="false" customHeight="true" outlineLevel="0" collapsed="false">
      <c r="A1031" s="3" t="n">
        <v>46168.8350231482</v>
      </c>
      <c r="B1031" s="1" t="s">
        <v>4</v>
      </c>
      <c r="C1031" s="1" t="n">
        <v>2559</v>
      </c>
      <c r="D1031" s="1" t="n">
        <v>16</v>
      </c>
    </row>
    <row r="1032" customFormat="false" ht="15" hidden="false" customHeight="true" outlineLevel="0" collapsed="false">
      <c r="A1032" s="3" t="n">
        <v>46168.8350231482</v>
      </c>
      <c r="B1032" s="1" t="s">
        <v>5</v>
      </c>
      <c r="D1032" s="1" t="n">
        <v>66.5</v>
      </c>
    </row>
    <row r="1033" customFormat="false" ht="15" hidden="false" customHeight="true" outlineLevel="0" collapsed="false">
      <c r="A1033" s="3" t="n">
        <v>46168.8350347222</v>
      </c>
      <c r="B1033" s="1" t="s">
        <v>8</v>
      </c>
      <c r="C1033" s="1" t="n">
        <v>4095</v>
      </c>
      <c r="D1033" s="1" t="n">
        <v>0</v>
      </c>
    </row>
    <row r="1034" customFormat="false" ht="15" hidden="false" customHeight="true" outlineLevel="0" collapsed="false">
      <c r="A1034" s="3" t="n">
        <v>46168.8350347222</v>
      </c>
      <c r="B1034" s="1" t="s">
        <v>9</v>
      </c>
      <c r="C1034" s="1" t="n">
        <v>4095</v>
      </c>
      <c r="D1034" s="1" t="n">
        <v>0</v>
      </c>
    </row>
    <row r="1035" customFormat="false" ht="15" hidden="false" customHeight="true" outlineLevel="0" collapsed="false">
      <c r="A1035" s="3" t="n">
        <v>46168.8353703704</v>
      </c>
      <c r="B1035" s="1" t="s">
        <v>6</v>
      </c>
      <c r="C1035" s="1" t="n">
        <v>2657</v>
      </c>
      <c r="D1035" s="1" t="n">
        <v>4</v>
      </c>
    </row>
    <row r="1036" customFormat="false" ht="15" hidden="false" customHeight="true" outlineLevel="0" collapsed="false">
      <c r="A1036" s="3" t="n">
        <v>46168.8353703704</v>
      </c>
      <c r="B1036" s="1" t="s">
        <v>7</v>
      </c>
      <c r="C1036" s="1" t="n">
        <v>4095</v>
      </c>
      <c r="D1036" s="1" t="n">
        <v>0</v>
      </c>
    </row>
    <row r="1037" customFormat="false" ht="15" hidden="false" customHeight="true" outlineLevel="0" collapsed="false">
      <c r="A1037" s="3" t="n">
        <v>46168.8353703704</v>
      </c>
      <c r="B1037" s="1" t="s">
        <v>4</v>
      </c>
      <c r="C1037" s="1" t="n">
        <v>2533</v>
      </c>
      <c r="D1037" s="1" t="n">
        <v>18</v>
      </c>
    </row>
    <row r="1038" customFormat="false" ht="15" hidden="false" customHeight="true" outlineLevel="0" collapsed="false">
      <c r="A1038" s="3" t="n">
        <v>46168.8353703704</v>
      </c>
      <c r="B1038" s="1" t="s">
        <v>5</v>
      </c>
      <c r="D1038" s="1" t="n">
        <v>66.3</v>
      </c>
    </row>
    <row r="1039" customFormat="false" ht="15" hidden="false" customHeight="true" outlineLevel="0" collapsed="false">
      <c r="A1039" s="3" t="n">
        <v>46168.8353819445</v>
      </c>
      <c r="B1039" s="1" t="s">
        <v>8</v>
      </c>
      <c r="C1039" s="1" t="n">
        <v>4095</v>
      </c>
      <c r="D1039" s="1" t="n">
        <v>0</v>
      </c>
    </row>
    <row r="1040" customFormat="false" ht="15" hidden="false" customHeight="true" outlineLevel="0" collapsed="false">
      <c r="A1040" s="3" t="n">
        <v>46168.8353819445</v>
      </c>
      <c r="B1040" s="1" t="s">
        <v>9</v>
      </c>
      <c r="C1040" s="1" t="n">
        <v>4095</v>
      </c>
      <c r="D1040" s="1" t="n">
        <v>0</v>
      </c>
    </row>
    <row r="1041" customFormat="false" ht="15" hidden="false" customHeight="true" outlineLevel="0" collapsed="false">
      <c r="A1041" s="3" t="n">
        <v>46168.8357175926</v>
      </c>
      <c r="B1041" s="1" t="s">
        <v>4</v>
      </c>
      <c r="C1041" s="1" t="n">
        <v>2547</v>
      </c>
      <c r="D1041" s="1" t="n">
        <v>17</v>
      </c>
    </row>
    <row r="1042" customFormat="false" ht="15" hidden="false" customHeight="true" outlineLevel="0" collapsed="false">
      <c r="A1042" s="3" t="n">
        <v>46168.8357175926</v>
      </c>
      <c r="B1042" s="1" t="s">
        <v>5</v>
      </c>
      <c r="D1042" s="1" t="n">
        <v>66.1</v>
      </c>
    </row>
    <row r="1043" customFormat="false" ht="15" hidden="false" customHeight="true" outlineLevel="0" collapsed="false">
      <c r="A1043" s="3" t="n">
        <v>46168.8357291667</v>
      </c>
      <c r="B1043" s="1" t="s">
        <v>6</v>
      </c>
      <c r="C1043" s="1" t="n">
        <v>2667</v>
      </c>
      <c r="D1043" s="1" t="n">
        <v>4</v>
      </c>
    </row>
    <row r="1044" customFormat="false" ht="15" hidden="false" customHeight="true" outlineLevel="0" collapsed="false">
      <c r="A1044" s="3" t="n">
        <v>46168.8357291667</v>
      </c>
      <c r="B1044" s="1" t="s">
        <v>7</v>
      </c>
      <c r="C1044" s="1" t="n">
        <v>4095</v>
      </c>
      <c r="D1044" s="1" t="n">
        <v>0</v>
      </c>
    </row>
    <row r="1045" customFormat="false" ht="15" hidden="false" customHeight="true" outlineLevel="0" collapsed="false">
      <c r="A1045" s="3" t="n">
        <v>46168.8357407407</v>
      </c>
      <c r="B1045" s="1" t="s">
        <v>8</v>
      </c>
      <c r="C1045" s="1" t="n">
        <v>4095</v>
      </c>
      <c r="D1045" s="1" t="n">
        <v>0</v>
      </c>
    </row>
    <row r="1046" customFormat="false" ht="15" hidden="false" customHeight="true" outlineLevel="0" collapsed="false">
      <c r="A1046" s="3" t="n">
        <v>46168.8357407407</v>
      </c>
      <c r="B1046" s="1" t="s">
        <v>9</v>
      </c>
      <c r="C1046" s="1" t="n">
        <v>4095</v>
      </c>
      <c r="D1046" s="1" t="n">
        <v>0</v>
      </c>
    </row>
    <row r="1047" customFormat="false" ht="15" hidden="false" customHeight="true" outlineLevel="0" collapsed="false">
      <c r="A1047" s="3" t="n">
        <v>46168.8360763889</v>
      </c>
      <c r="B1047" s="1" t="s">
        <v>4</v>
      </c>
      <c r="C1047" s="1" t="n">
        <v>2559</v>
      </c>
      <c r="D1047" s="1" t="n">
        <v>16</v>
      </c>
    </row>
    <row r="1048" customFormat="false" ht="15" hidden="false" customHeight="true" outlineLevel="0" collapsed="false">
      <c r="A1048" s="3" t="n">
        <v>46168.8360763889</v>
      </c>
      <c r="B1048" s="1" t="s">
        <v>5</v>
      </c>
      <c r="D1048" s="1" t="n">
        <v>66.1</v>
      </c>
    </row>
    <row r="1049" customFormat="false" ht="15" hidden="false" customHeight="true" outlineLevel="0" collapsed="false">
      <c r="A1049" s="3" t="n">
        <v>46168.836087963</v>
      </c>
      <c r="B1049" s="1" t="s">
        <v>6</v>
      </c>
      <c r="C1049" s="1" t="n">
        <v>2658</v>
      </c>
      <c r="D1049" s="1" t="n">
        <v>4</v>
      </c>
    </row>
    <row r="1050" customFormat="false" ht="15" hidden="false" customHeight="true" outlineLevel="0" collapsed="false">
      <c r="A1050" s="3" t="n">
        <v>46168.836087963</v>
      </c>
      <c r="B1050" s="1" t="s">
        <v>7</v>
      </c>
      <c r="C1050" s="1" t="n">
        <v>4095</v>
      </c>
      <c r="D1050" s="1" t="n">
        <v>0</v>
      </c>
    </row>
    <row r="1051" customFormat="false" ht="15" hidden="false" customHeight="true" outlineLevel="0" collapsed="false">
      <c r="A1051" s="3" t="n">
        <v>46168.836099537</v>
      </c>
      <c r="B1051" s="1" t="s">
        <v>8</v>
      </c>
      <c r="C1051" s="1" t="n">
        <v>4095</v>
      </c>
      <c r="D1051" s="1" t="n">
        <v>0</v>
      </c>
    </row>
    <row r="1052" customFormat="false" ht="15" hidden="false" customHeight="true" outlineLevel="0" collapsed="false">
      <c r="A1052" s="3" t="n">
        <v>46168.836099537</v>
      </c>
      <c r="B1052" s="1" t="s">
        <v>9</v>
      </c>
      <c r="C1052" s="1" t="n">
        <v>4095</v>
      </c>
      <c r="D1052" s="1" t="n">
        <v>0</v>
      </c>
    </row>
    <row r="1053" customFormat="false" ht="15" hidden="false" customHeight="true" outlineLevel="0" collapsed="false">
      <c r="A1053" s="3" t="n">
        <v>46168.8364351852</v>
      </c>
      <c r="B1053" s="1" t="s">
        <v>4</v>
      </c>
      <c r="C1053" s="1" t="n">
        <v>2539</v>
      </c>
      <c r="D1053" s="1" t="n">
        <v>17</v>
      </c>
    </row>
    <row r="1054" customFormat="false" ht="15" hidden="false" customHeight="true" outlineLevel="0" collapsed="false">
      <c r="A1054" s="3" t="n">
        <v>46168.8364351852</v>
      </c>
      <c r="B1054" s="1" t="s">
        <v>5</v>
      </c>
      <c r="D1054" s="1" t="n">
        <v>66.1</v>
      </c>
    </row>
    <row r="1055" customFormat="false" ht="15" hidden="false" customHeight="true" outlineLevel="0" collapsed="false">
      <c r="A1055" s="3" t="n">
        <v>46168.8364467593</v>
      </c>
      <c r="B1055" s="1" t="s">
        <v>6</v>
      </c>
      <c r="C1055" s="1" t="n">
        <v>2658</v>
      </c>
      <c r="D1055" s="1" t="n">
        <v>4</v>
      </c>
    </row>
    <row r="1056" customFormat="false" ht="15" hidden="false" customHeight="true" outlineLevel="0" collapsed="false">
      <c r="A1056" s="3" t="n">
        <v>46168.8364467593</v>
      </c>
      <c r="B1056" s="1" t="s">
        <v>7</v>
      </c>
      <c r="C1056" s="1" t="n">
        <v>4095</v>
      </c>
      <c r="D1056" s="1" t="n">
        <v>0</v>
      </c>
    </row>
    <row r="1057" customFormat="false" ht="15" hidden="false" customHeight="true" outlineLevel="0" collapsed="false">
      <c r="A1057" s="3" t="n">
        <v>46168.8364467593</v>
      </c>
      <c r="B1057" s="1" t="s">
        <v>8</v>
      </c>
      <c r="C1057" s="1" t="n">
        <v>4095</v>
      </c>
      <c r="D1057" s="1" t="n">
        <v>0</v>
      </c>
    </row>
    <row r="1058" customFormat="false" ht="15" hidden="false" customHeight="true" outlineLevel="0" collapsed="false">
      <c r="A1058" s="3" t="n">
        <v>46168.8364583333</v>
      </c>
      <c r="B1058" s="1" t="s">
        <v>9</v>
      </c>
      <c r="C1058" s="1" t="n">
        <v>4095</v>
      </c>
      <c r="D1058" s="1" t="n">
        <v>0</v>
      </c>
    </row>
    <row r="1059" customFormat="false" ht="15" hidden="false" customHeight="true" outlineLevel="0" collapsed="false">
      <c r="A1059" s="3" t="n">
        <v>46168.8367824074</v>
      </c>
      <c r="B1059" s="1" t="s">
        <v>5</v>
      </c>
      <c r="D1059" s="1" t="n">
        <v>58.8</v>
      </c>
    </row>
    <row r="1060" customFormat="false" ht="15" hidden="false" customHeight="true" outlineLevel="0" collapsed="false">
      <c r="A1060" s="3" t="n">
        <v>46168.8367939815</v>
      </c>
      <c r="B1060" s="1" t="s">
        <v>4</v>
      </c>
      <c r="C1060" s="1" t="n">
        <v>1513</v>
      </c>
      <c r="D1060" s="1" t="n">
        <v>85</v>
      </c>
    </row>
    <row r="1061" customFormat="false" ht="15" hidden="false" customHeight="true" outlineLevel="0" collapsed="false">
      <c r="A1061" s="3" t="n">
        <v>46168.8368055556</v>
      </c>
      <c r="B1061" s="1" t="s">
        <v>6</v>
      </c>
      <c r="C1061" s="1" t="n">
        <v>1415</v>
      </c>
      <c r="D1061" s="1" t="n">
        <v>86</v>
      </c>
    </row>
    <row r="1062" customFormat="false" ht="15" hidden="false" customHeight="true" outlineLevel="0" collapsed="false">
      <c r="A1062" s="3" t="n">
        <v>46168.8368171296</v>
      </c>
      <c r="B1062" s="1" t="s">
        <v>7</v>
      </c>
      <c r="C1062" s="1" t="n">
        <v>1605</v>
      </c>
      <c r="D1062" s="1" t="n">
        <v>100</v>
      </c>
    </row>
    <row r="1063" customFormat="false" ht="15" hidden="false" customHeight="true" outlineLevel="0" collapsed="false">
      <c r="A1063" s="3" t="n">
        <v>46168.8368171296</v>
      </c>
      <c r="B1063" s="1" t="s">
        <v>8</v>
      </c>
      <c r="C1063" s="1" t="n">
        <v>1712</v>
      </c>
      <c r="D1063" s="1" t="n">
        <v>100</v>
      </c>
    </row>
    <row r="1064" customFormat="false" ht="15" hidden="false" customHeight="true" outlineLevel="0" collapsed="false">
      <c r="A1064" s="3" t="n">
        <v>46168.8368287037</v>
      </c>
      <c r="B1064" s="1" t="s">
        <v>9</v>
      </c>
      <c r="C1064" s="1" t="n">
        <v>4095</v>
      </c>
      <c r="D1064" s="1" t="n">
        <v>0</v>
      </c>
    </row>
    <row r="1065" customFormat="false" ht="15" hidden="false" customHeight="true" outlineLevel="0" collapsed="false">
      <c r="A1065" s="3" t="n">
        <v>46168.8371296296</v>
      </c>
      <c r="B1065" s="1" t="s">
        <v>4</v>
      </c>
      <c r="C1065" s="1" t="n">
        <v>1535</v>
      </c>
      <c r="D1065" s="1" t="n">
        <v>84</v>
      </c>
    </row>
    <row r="1066" customFormat="false" ht="15" hidden="false" customHeight="true" outlineLevel="0" collapsed="false">
      <c r="A1066" s="3" t="n">
        <v>46168.8371296296</v>
      </c>
      <c r="B1066" s="1" t="s">
        <v>5</v>
      </c>
      <c r="D1066" s="1" t="n">
        <v>58.6</v>
      </c>
    </row>
    <row r="1067" customFormat="false" ht="15" hidden="false" customHeight="true" outlineLevel="0" collapsed="false">
      <c r="A1067" s="3" t="n">
        <v>46168.8371412037</v>
      </c>
      <c r="B1067" s="1" t="s">
        <v>6</v>
      </c>
      <c r="C1067" s="1" t="n">
        <v>1382</v>
      </c>
      <c r="D1067" s="1" t="n">
        <v>88</v>
      </c>
    </row>
    <row r="1068" customFormat="false" ht="15" hidden="false" customHeight="true" outlineLevel="0" collapsed="false">
      <c r="A1068" s="3" t="n">
        <v>46168.8371527778</v>
      </c>
      <c r="B1068" s="1" t="s">
        <v>7</v>
      </c>
      <c r="C1068" s="1" t="n">
        <v>1796</v>
      </c>
      <c r="D1068" s="1" t="n">
        <v>94</v>
      </c>
    </row>
    <row r="1069" customFormat="false" ht="15" hidden="false" customHeight="true" outlineLevel="0" collapsed="false">
      <c r="A1069" s="3" t="n">
        <v>46168.8371527778</v>
      </c>
      <c r="B1069" s="1" t="s">
        <v>8</v>
      </c>
      <c r="C1069" s="1" t="n">
        <v>1968</v>
      </c>
      <c r="D1069" s="1" t="n">
        <v>89</v>
      </c>
    </row>
    <row r="1070" customFormat="false" ht="15" hidden="false" customHeight="true" outlineLevel="0" collapsed="false">
      <c r="A1070" s="3" t="n">
        <v>46168.8371643519</v>
      </c>
      <c r="B1070" s="1" t="s">
        <v>9</v>
      </c>
      <c r="C1070" s="1" t="n">
        <v>1815</v>
      </c>
      <c r="D1070" s="1" t="n">
        <v>100</v>
      </c>
    </row>
    <row r="1071" customFormat="false" ht="15" hidden="false" customHeight="true" outlineLevel="0" collapsed="false">
      <c r="A1071" s="3" t="n">
        <v>46168.8374768519</v>
      </c>
      <c r="B1071" s="1" t="s">
        <v>5</v>
      </c>
      <c r="D1071" s="1" t="n">
        <v>58.6</v>
      </c>
    </row>
    <row r="1072" customFormat="false" ht="15" hidden="false" customHeight="true" outlineLevel="0" collapsed="false">
      <c r="A1072" s="3" t="n">
        <v>46168.8374884259</v>
      </c>
      <c r="B1072" s="1" t="s">
        <v>6</v>
      </c>
      <c r="C1072" s="1" t="n">
        <v>1376</v>
      </c>
      <c r="D1072" s="1" t="n">
        <v>89</v>
      </c>
    </row>
    <row r="1073" customFormat="false" ht="15" hidden="false" customHeight="true" outlineLevel="0" collapsed="false">
      <c r="A1073" s="3" t="n">
        <v>46168.8374884259</v>
      </c>
      <c r="B1073" s="1" t="s">
        <v>7</v>
      </c>
      <c r="C1073" s="1" t="n">
        <v>1887</v>
      </c>
      <c r="D1073" s="1" t="n">
        <v>85</v>
      </c>
    </row>
    <row r="1074" customFormat="false" ht="15" hidden="false" customHeight="true" outlineLevel="0" collapsed="false">
      <c r="A1074" s="3" t="n">
        <v>46168.8374884259</v>
      </c>
      <c r="B1074" s="1" t="s">
        <v>4</v>
      </c>
      <c r="C1074" s="1" t="n">
        <v>1584</v>
      </c>
      <c r="D1074" s="1" t="n">
        <v>81</v>
      </c>
    </row>
    <row r="1075" customFormat="false" ht="15" hidden="false" customHeight="true" outlineLevel="0" collapsed="false">
      <c r="A1075" s="3" t="n">
        <v>46168.8375</v>
      </c>
      <c r="B1075" s="1" t="s">
        <v>8</v>
      </c>
      <c r="C1075" s="1" t="n">
        <v>2064</v>
      </c>
      <c r="D1075" s="1" t="n">
        <v>77</v>
      </c>
    </row>
    <row r="1076" customFormat="false" ht="15" hidden="false" customHeight="true" outlineLevel="0" collapsed="false">
      <c r="A1076" s="3" t="n">
        <v>46168.8375</v>
      </c>
      <c r="B1076" s="1" t="s">
        <v>9</v>
      </c>
      <c r="C1076" s="1" t="n">
        <v>1922</v>
      </c>
      <c r="D1076" s="1" t="n">
        <v>100</v>
      </c>
    </row>
    <row r="1077" customFormat="false" ht="15" hidden="false" customHeight="true" outlineLevel="0" collapsed="false">
      <c r="A1077" s="3" t="n">
        <v>46168.8378356482</v>
      </c>
      <c r="B1077" s="1" t="s">
        <v>4</v>
      </c>
      <c r="C1077" s="1" t="n">
        <v>1565</v>
      </c>
      <c r="D1077" s="1" t="n">
        <v>82</v>
      </c>
    </row>
    <row r="1078" customFormat="false" ht="15" hidden="false" customHeight="true" outlineLevel="0" collapsed="false">
      <c r="A1078" s="3" t="n">
        <v>46168.8378356482</v>
      </c>
      <c r="B1078" s="1" t="s">
        <v>5</v>
      </c>
      <c r="D1078" s="1" t="n">
        <v>58.6</v>
      </c>
    </row>
    <row r="1079" customFormat="false" ht="15" hidden="false" customHeight="true" outlineLevel="0" collapsed="false">
      <c r="A1079" s="3" t="n">
        <v>46168.8378472222</v>
      </c>
      <c r="B1079" s="1" t="s">
        <v>6</v>
      </c>
      <c r="C1079" s="1" t="n">
        <v>1376</v>
      </c>
      <c r="D1079" s="1" t="n">
        <v>89</v>
      </c>
    </row>
    <row r="1080" customFormat="false" ht="15" hidden="false" customHeight="true" outlineLevel="0" collapsed="false">
      <c r="A1080" s="3" t="n">
        <v>46168.8378472222</v>
      </c>
      <c r="B1080" s="1" t="s">
        <v>7</v>
      </c>
      <c r="C1080" s="1" t="n">
        <v>1936</v>
      </c>
      <c r="D1080" s="1" t="n">
        <v>81</v>
      </c>
    </row>
    <row r="1081" customFormat="false" ht="15" hidden="false" customHeight="true" outlineLevel="0" collapsed="false">
      <c r="A1081" s="3" t="n">
        <v>46168.8378472222</v>
      </c>
      <c r="B1081" s="1" t="s">
        <v>8</v>
      </c>
      <c r="C1081" s="1" t="n">
        <v>2111</v>
      </c>
      <c r="D1081" s="1" t="n">
        <v>72</v>
      </c>
    </row>
    <row r="1082" customFormat="false" ht="15" hidden="false" customHeight="true" outlineLevel="0" collapsed="false">
      <c r="A1082" s="3" t="n">
        <v>46168.8378472222</v>
      </c>
      <c r="B1082" s="1" t="s">
        <v>9</v>
      </c>
      <c r="C1082" s="1" t="n">
        <v>1971</v>
      </c>
      <c r="D1082" s="1" t="n">
        <v>97</v>
      </c>
    </row>
    <row r="1083" customFormat="false" ht="15" hidden="false" customHeight="true" outlineLevel="0" collapsed="false">
      <c r="A1083" s="3" t="n">
        <v>46168.8381828704</v>
      </c>
      <c r="B1083" s="1" t="s">
        <v>4</v>
      </c>
      <c r="C1083" s="1" t="n">
        <v>1535</v>
      </c>
      <c r="D1083" s="1" t="n">
        <v>84</v>
      </c>
    </row>
    <row r="1084" customFormat="false" ht="15" hidden="false" customHeight="true" outlineLevel="0" collapsed="false">
      <c r="A1084" s="3" t="n">
        <v>46168.8381828704</v>
      </c>
      <c r="B1084" s="1" t="s">
        <v>5</v>
      </c>
      <c r="D1084" s="1" t="n">
        <v>58.6</v>
      </c>
    </row>
    <row r="1085" customFormat="false" ht="15" hidden="false" customHeight="true" outlineLevel="0" collapsed="false">
      <c r="A1085" s="3" t="n">
        <v>46168.8381944444</v>
      </c>
      <c r="B1085" s="1" t="s">
        <v>6</v>
      </c>
      <c r="C1085" s="1" t="n">
        <v>1376</v>
      </c>
      <c r="D1085" s="1" t="n">
        <v>89</v>
      </c>
    </row>
    <row r="1086" customFormat="false" ht="15" hidden="false" customHeight="true" outlineLevel="0" collapsed="false">
      <c r="A1086" s="3" t="n">
        <v>46168.8381944444</v>
      </c>
      <c r="B1086" s="1" t="s">
        <v>7</v>
      </c>
      <c r="C1086" s="1" t="n">
        <v>1966</v>
      </c>
      <c r="D1086" s="1" t="n">
        <v>78</v>
      </c>
    </row>
    <row r="1087" customFormat="false" ht="15" hidden="false" customHeight="true" outlineLevel="0" collapsed="false">
      <c r="A1087" s="3" t="n">
        <v>46168.8382060185</v>
      </c>
      <c r="B1087" s="1" t="s">
        <v>8</v>
      </c>
      <c r="C1087" s="1" t="n">
        <v>2134</v>
      </c>
      <c r="D1087" s="1" t="n">
        <v>69</v>
      </c>
    </row>
    <row r="1088" customFormat="false" ht="15" hidden="false" customHeight="true" outlineLevel="0" collapsed="false">
      <c r="A1088" s="3" t="n">
        <v>46168.8382060185</v>
      </c>
      <c r="B1088" s="1" t="s">
        <v>9</v>
      </c>
      <c r="C1088" s="1" t="n">
        <v>2002</v>
      </c>
      <c r="D1088" s="1" t="n">
        <v>91</v>
      </c>
    </row>
    <row r="1089" customFormat="false" ht="15" hidden="false" customHeight="true" outlineLevel="0" collapsed="false">
      <c r="A1089" s="3" t="n">
        <v>46168.8385300926</v>
      </c>
      <c r="B1089" s="1" t="s">
        <v>5</v>
      </c>
      <c r="D1089" s="1" t="n">
        <v>58.6</v>
      </c>
    </row>
    <row r="1090" customFormat="false" ht="15" hidden="false" customHeight="true" outlineLevel="0" collapsed="false">
      <c r="A1090" s="3" t="n">
        <v>46168.8385416667</v>
      </c>
      <c r="B1090" s="1" t="s">
        <v>6</v>
      </c>
      <c r="C1090" s="1" t="n">
        <v>1366</v>
      </c>
      <c r="D1090" s="1" t="n">
        <v>89</v>
      </c>
    </row>
    <row r="1091" customFormat="false" ht="15" hidden="false" customHeight="true" outlineLevel="0" collapsed="false">
      <c r="A1091" s="3" t="n">
        <v>46168.8385416667</v>
      </c>
      <c r="B1091" s="1" t="s">
        <v>4</v>
      </c>
      <c r="C1091" s="1" t="n">
        <v>1535</v>
      </c>
      <c r="D1091" s="1" t="n">
        <v>84</v>
      </c>
    </row>
    <row r="1092" customFormat="false" ht="15" hidden="false" customHeight="true" outlineLevel="0" collapsed="false">
      <c r="A1092" s="3" t="n">
        <v>46168.8385532407</v>
      </c>
      <c r="B1092" s="1" t="s">
        <v>7</v>
      </c>
      <c r="C1092" s="1" t="n">
        <v>1986</v>
      </c>
      <c r="D1092" s="1" t="n">
        <v>76</v>
      </c>
    </row>
    <row r="1093" customFormat="false" ht="15" hidden="false" customHeight="true" outlineLevel="0" collapsed="false">
      <c r="A1093" s="3" t="n">
        <v>46168.8385532407</v>
      </c>
      <c r="B1093" s="1" t="s">
        <v>8</v>
      </c>
      <c r="C1093" s="1" t="n">
        <v>2146</v>
      </c>
      <c r="D1093" s="1" t="n">
        <v>67</v>
      </c>
    </row>
    <row r="1094" customFormat="false" ht="15" hidden="false" customHeight="true" outlineLevel="0" collapsed="false">
      <c r="A1094" s="3" t="n">
        <v>46168.8385532407</v>
      </c>
      <c r="B1094" s="1" t="s">
        <v>9</v>
      </c>
      <c r="C1094" s="1" t="n">
        <v>2021</v>
      </c>
      <c r="D1094" s="1" t="n">
        <v>88</v>
      </c>
    </row>
    <row r="1095" customFormat="false" ht="15" hidden="false" customHeight="true" outlineLevel="0" collapsed="false">
      <c r="A1095" s="3" t="n">
        <v>46168.8388888889</v>
      </c>
      <c r="B1095" s="1" t="s">
        <v>6</v>
      </c>
      <c r="C1095" s="1" t="n">
        <v>1370</v>
      </c>
      <c r="D1095" s="1" t="n">
        <v>89</v>
      </c>
    </row>
    <row r="1096" customFormat="false" ht="15" hidden="false" customHeight="true" outlineLevel="0" collapsed="false">
      <c r="A1096" s="3" t="n">
        <v>46168.8388888889</v>
      </c>
      <c r="B1096" s="1" t="s">
        <v>4</v>
      </c>
      <c r="C1096" s="1" t="n">
        <v>1579</v>
      </c>
      <c r="D1096" s="1" t="n">
        <v>81</v>
      </c>
    </row>
    <row r="1097" customFormat="false" ht="15" hidden="false" customHeight="true" outlineLevel="0" collapsed="false">
      <c r="A1097" s="3" t="n">
        <v>46168.8388888889</v>
      </c>
      <c r="B1097" s="1" t="s">
        <v>5</v>
      </c>
      <c r="D1097" s="1" t="n">
        <v>58.4</v>
      </c>
    </row>
    <row r="1098" customFormat="false" ht="15" hidden="false" customHeight="true" outlineLevel="0" collapsed="false">
      <c r="A1098" s="3" t="n">
        <v>46168.838900463</v>
      </c>
      <c r="B1098" s="1" t="s">
        <v>7</v>
      </c>
      <c r="C1098" s="1" t="n">
        <v>2007</v>
      </c>
      <c r="D1098" s="1" t="n">
        <v>74</v>
      </c>
    </row>
    <row r="1099" customFormat="false" ht="15" hidden="false" customHeight="true" outlineLevel="0" collapsed="false">
      <c r="A1099" s="3" t="n">
        <v>46168.838900463</v>
      </c>
      <c r="B1099" s="1" t="s">
        <v>8</v>
      </c>
      <c r="C1099" s="1" t="n">
        <v>2160</v>
      </c>
      <c r="D1099" s="1" t="n">
        <v>66</v>
      </c>
    </row>
    <row r="1100" customFormat="false" ht="15" hidden="false" customHeight="true" outlineLevel="0" collapsed="false">
      <c r="A1100" s="3" t="n">
        <v>46168.838900463</v>
      </c>
      <c r="B1100" s="1" t="s">
        <v>9</v>
      </c>
      <c r="C1100" s="1" t="n">
        <v>2038</v>
      </c>
      <c r="D1100" s="1" t="n">
        <v>85</v>
      </c>
    </row>
    <row r="1101" customFormat="false" ht="15" hidden="false" customHeight="true" outlineLevel="0" collapsed="false">
      <c r="A1101" s="3" t="n">
        <v>46168.8392361111</v>
      </c>
      <c r="B1101" s="1" t="s">
        <v>4</v>
      </c>
      <c r="C1101" s="1" t="n">
        <v>1557</v>
      </c>
      <c r="D1101" s="1" t="n">
        <v>82</v>
      </c>
    </row>
    <row r="1102" customFormat="false" ht="15" hidden="false" customHeight="true" outlineLevel="0" collapsed="false">
      <c r="A1102" s="3" t="n">
        <v>46168.8392361111</v>
      </c>
      <c r="B1102" s="1" t="s">
        <v>5</v>
      </c>
      <c r="D1102" s="1" t="n">
        <v>58.4</v>
      </c>
    </row>
    <row r="1103" customFormat="false" ht="15" hidden="false" customHeight="true" outlineLevel="0" collapsed="false">
      <c r="A1103" s="3" t="n">
        <v>46168.8392476852</v>
      </c>
      <c r="B1103" s="1" t="s">
        <v>6</v>
      </c>
      <c r="C1103" s="1" t="n">
        <v>1372</v>
      </c>
      <c r="D1103" s="1" t="n">
        <v>89</v>
      </c>
    </row>
    <row r="1104" customFormat="false" ht="15" hidden="false" customHeight="true" outlineLevel="0" collapsed="false">
      <c r="A1104" s="3" t="n">
        <v>46168.8392476852</v>
      </c>
      <c r="B1104" s="1" t="s">
        <v>7</v>
      </c>
      <c r="C1104" s="1" t="n">
        <v>2027</v>
      </c>
      <c r="D1104" s="1" t="n">
        <v>72</v>
      </c>
    </row>
    <row r="1105" customFormat="false" ht="15" hidden="false" customHeight="true" outlineLevel="0" collapsed="false">
      <c r="A1105" s="3" t="n">
        <v>46168.8395949074</v>
      </c>
      <c r="B1105" s="1" t="s">
        <v>4</v>
      </c>
      <c r="C1105" s="1" t="n">
        <v>1567</v>
      </c>
      <c r="D1105" s="1" t="n">
        <v>82</v>
      </c>
    </row>
    <row r="1106" customFormat="false" ht="15" hidden="false" customHeight="true" outlineLevel="0" collapsed="false">
      <c r="A1106" s="3" t="n">
        <v>46168.8395949074</v>
      </c>
      <c r="B1106" s="1" t="s">
        <v>5</v>
      </c>
      <c r="D1106" s="1" t="n">
        <v>58.6</v>
      </c>
    </row>
    <row r="1107" customFormat="false" ht="15" hidden="false" customHeight="true" outlineLevel="0" collapsed="false">
      <c r="A1107" s="3" t="n">
        <v>46168.8396064815</v>
      </c>
      <c r="B1107" s="1" t="s">
        <v>6</v>
      </c>
      <c r="C1107" s="1" t="n">
        <v>1367</v>
      </c>
      <c r="D1107" s="1" t="n">
        <v>89</v>
      </c>
    </row>
    <row r="1108" customFormat="false" ht="15" hidden="false" customHeight="true" outlineLevel="0" collapsed="false">
      <c r="A1108" s="3" t="n">
        <v>46168.8396064815</v>
      </c>
      <c r="B1108" s="1" t="s">
        <v>7</v>
      </c>
      <c r="C1108" s="1" t="n">
        <v>2037</v>
      </c>
      <c r="D1108" s="1" t="n">
        <v>71</v>
      </c>
    </row>
    <row r="1109" customFormat="false" ht="15" hidden="false" customHeight="true" outlineLevel="0" collapsed="false">
      <c r="A1109" s="3" t="n">
        <v>46168.8396180556</v>
      </c>
      <c r="B1109" s="1" t="s">
        <v>8</v>
      </c>
      <c r="C1109" s="1" t="n">
        <v>2174</v>
      </c>
      <c r="D1109" s="1" t="n">
        <v>64</v>
      </c>
    </row>
    <row r="1110" customFormat="false" ht="15" hidden="false" customHeight="true" outlineLevel="0" collapsed="false">
      <c r="A1110" s="3" t="n">
        <v>46168.8396296296</v>
      </c>
      <c r="B1110" s="1" t="s">
        <v>9</v>
      </c>
      <c r="C1110" s="1" t="n">
        <v>2065</v>
      </c>
      <c r="D1110" s="1" t="n">
        <v>80</v>
      </c>
    </row>
    <row r="1111" customFormat="false" ht="15" hidden="false" customHeight="true" outlineLevel="0" collapsed="false">
      <c r="A1111" s="3" t="n">
        <v>46168.8399421296</v>
      </c>
      <c r="B1111" s="1" t="s">
        <v>4</v>
      </c>
      <c r="C1111" s="1" t="n">
        <v>1534</v>
      </c>
      <c r="D1111" s="1" t="n">
        <v>84</v>
      </c>
    </row>
    <row r="1112" customFormat="false" ht="15" hidden="false" customHeight="true" outlineLevel="0" collapsed="false">
      <c r="A1112" s="3" t="n">
        <v>46168.8399421296</v>
      </c>
      <c r="B1112" s="1" t="s">
        <v>5</v>
      </c>
      <c r="D1112" s="1" t="n">
        <v>58.4</v>
      </c>
    </row>
    <row r="1113" customFormat="false" ht="15" hidden="false" customHeight="true" outlineLevel="0" collapsed="false">
      <c r="A1113" s="3" t="n">
        <v>46168.8399537037</v>
      </c>
      <c r="B1113" s="1" t="s">
        <v>6</v>
      </c>
      <c r="C1113" s="1" t="n">
        <v>1355</v>
      </c>
      <c r="D1113" s="1" t="n">
        <v>90</v>
      </c>
    </row>
    <row r="1114" customFormat="false" ht="15" hidden="false" customHeight="true" outlineLevel="0" collapsed="false">
      <c r="A1114" s="3" t="n">
        <v>46168.8399537037</v>
      </c>
      <c r="B1114" s="1" t="s">
        <v>7</v>
      </c>
      <c r="C1114" s="1" t="n">
        <v>2054</v>
      </c>
      <c r="D1114" s="1" t="n">
        <v>70</v>
      </c>
    </row>
    <row r="1115" customFormat="false" ht="15" hidden="false" customHeight="true" outlineLevel="0" collapsed="false">
      <c r="A1115" s="3" t="n">
        <v>46168.8399537037</v>
      </c>
      <c r="B1115" s="1" t="s">
        <v>8</v>
      </c>
      <c r="C1115" s="1" t="n">
        <v>2179</v>
      </c>
      <c r="D1115" s="1" t="n">
        <v>64</v>
      </c>
    </row>
    <row r="1116" customFormat="false" ht="15" hidden="false" customHeight="true" outlineLevel="0" collapsed="false">
      <c r="A1116" s="3" t="n">
        <v>46168.8399537037</v>
      </c>
      <c r="B1116" s="1" t="s">
        <v>9</v>
      </c>
      <c r="C1116" s="1" t="n">
        <v>2066</v>
      </c>
      <c r="D1116" s="1" t="n">
        <v>80</v>
      </c>
    </row>
    <row r="1117" customFormat="false" ht="15" hidden="false" customHeight="true" outlineLevel="0" collapsed="false">
      <c r="A1117" s="3" t="n">
        <v>46168.8402893519</v>
      </c>
      <c r="B1117" s="1" t="s">
        <v>5</v>
      </c>
      <c r="D1117" s="1" t="n">
        <v>58.4</v>
      </c>
    </row>
    <row r="1118" customFormat="false" ht="15" hidden="false" customHeight="true" outlineLevel="0" collapsed="false">
      <c r="A1118" s="3" t="n">
        <v>46168.8403009259</v>
      </c>
      <c r="B1118" s="1" t="s">
        <v>4</v>
      </c>
      <c r="C1118" s="1" t="n">
        <v>1535</v>
      </c>
      <c r="D1118" s="1" t="n">
        <v>84</v>
      </c>
    </row>
    <row r="1119" customFormat="false" ht="15" hidden="false" customHeight="true" outlineLevel="0" collapsed="false">
      <c r="A1119" s="3" t="n">
        <v>46168.8403240741</v>
      </c>
      <c r="B1119" s="1" t="s">
        <v>6</v>
      </c>
      <c r="C1119" s="1" t="n">
        <v>1367</v>
      </c>
      <c r="D1119" s="1" t="n">
        <v>89</v>
      </c>
    </row>
    <row r="1120" customFormat="false" ht="15" hidden="false" customHeight="true" outlineLevel="0" collapsed="false">
      <c r="A1120" s="3" t="n">
        <v>46168.8403356482</v>
      </c>
      <c r="B1120" s="1" t="s">
        <v>7</v>
      </c>
      <c r="C1120" s="1" t="n">
        <v>2064</v>
      </c>
      <c r="D1120" s="1" t="n">
        <v>69</v>
      </c>
    </row>
    <row r="1121" customFormat="false" ht="15" hidden="false" customHeight="true" outlineLevel="0" collapsed="false">
      <c r="A1121" s="3" t="n">
        <v>46168.8403356482</v>
      </c>
      <c r="B1121" s="1" t="s">
        <v>8</v>
      </c>
      <c r="C1121" s="1" t="n">
        <v>2187</v>
      </c>
      <c r="D1121" s="1" t="n">
        <v>63</v>
      </c>
    </row>
    <row r="1122" customFormat="false" ht="15" hidden="false" customHeight="true" outlineLevel="0" collapsed="false">
      <c r="A1122" s="3" t="n">
        <v>46168.8403356482</v>
      </c>
      <c r="B1122" s="1" t="s">
        <v>9</v>
      </c>
      <c r="C1122" s="1" t="n">
        <v>2073</v>
      </c>
      <c r="D1122" s="1" t="n">
        <v>79</v>
      </c>
    </row>
    <row r="1123" customFormat="false" ht="15" hidden="false" customHeight="true" outlineLevel="0" collapsed="false">
      <c r="A1123" s="3" t="n">
        <v>46168.8406365741</v>
      </c>
      <c r="B1123" s="1" t="s">
        <v>4</v>
      </c>
      <c r="C1123" s="1" t="n">
        <v>1584</v>
      </c>
      <c r="D1123" s="1" t="n">
        <v>81</v>
      </c>
    </row>
    <row r="1124" customFormat="false" ht="15" hidden="false" customHeight="true" outlineLevel="0" collapsed="false">
      <c r="A1124" s="3" t="n">
        <v>46168.8406365741</v>
      </c>
      <c r="B1124" s="1" t="s">
        <v>5</v>
      </c>
      <c r="D1124" s="1" t="n">
        <v>58.4</v>
      </c>
    </row>
    <row r="1125" customFormat="false" ht="15" hidden="false" customHeight="true" outlineLevel="0" collapsed="false">
      <c r="A1125" s="3" t="n">
        <v>46168.8406481482</v>
      </c>
      <c r="B1125" s="1" t="s">
        <v>6</v>
      </c>
      <c r="C1125" s="1" t="n">
        <v>1346</v>
      </c>
      <c r="D1125" s="1" t="n">
        <v>91</v>
      </c>
    </row>
    <row r="1126" customFormat="false" ht="15" hidden="false" customHeight="true" outlineLevel="0" collapsed="false">
      <c r="A1126" s="3" t="n">
        <v>46168.8406481482</v>
      </c>
      <c r="B1126" s="1" t="s">
        <v>7</v>
      </c>
      <c r="C1126" s="1" t="n">
        <v>2067</v>
      </c>
      <c r="D1126" s="1" t="n">
        <v>68</v>
      </c>
    </row>
    <row r="1127" customFormat="false" ht="15" hidden="false" customHeight="true" outlineLevel="0" collapsed="false">
      <c r="A1127" s="3" t="n">
        <v>46168.8406481482</v>
      </c>
      <c r="B1127" s="1" t="s">
        <v>8</v>
      </c>
      <c r="C1127" s="1" t="n">
        <v>2189</v>
      </c>
      <c r="D1127" s="1" t="n">
        <v>62</v>
      </c>
    </row>
    <row r="1128" customFormat="false" ht="15" hidden="false" customHeight="true" outlineLevel="0" collapsed="false">
      <c r="A1128" s="3" t="n">
        <v>46168.8406597222</v>
      </c>
      <c r="B1128" s="1" t="s">
        <v>9</v>
      </c>
      <c r="C1128" s="1" t="n">
        <v>2078</v>
      </c>
      <c r="D1128" s="1" t="n">
        <v>78</v>
      </c>
    </row>
    <row r="1129" customFormat="false" ht="15" hidden="false" customHeight="true" outlineLevel="0" collapsed="false">
      <c r="A1129" s="3" t="n">
        <v>46168.8409837963</v>
      </c>
      <c r="B1129" s="1" t="s">
        <v>5</v>
      </c>
      <c r="D1129" s="1" t="n">
        <v>58.4</v>
      </c>
    </row>
    <row r="1130" customFormat="false" ht="15" hidden="false" customHeight="true" outlineLevel="0" collapsed="false">
      <c r="A1130" s="3" t="n">
        <v>46168.8409953704</v>
      </c>
      <c r="B1130" s="1" t="s">
        <v>6</v>
      </c>
      <c r="C1130" s="1" t="n">
        <v>1390</v>
      </c>
      <c r="D1130" s="1" t="n">
        <v>88</v>
      </c>
    </row>
    <row r="1131" customFormat="false" ht="15" hidden="false" customHeight="true" outlineLevel="0" collapsed="false">
      <c r="A1131" s="3" t="n">
        <v>46168.8409953704</v>
      </c>
      <c r="B1131" s="1" t="s">
        <v>7</v>
      </c>
      <c r="C1131" s="1" t="n">
        <v>2075</v>
      </c>
      <c r="D1131" s="1" t="n">
        <v>68</v>
      </c>
    </row>
    <row r="1132" customFormat="false" ht="15" hidden="false" customHeight="true" outlineLevel="0" collapsed="false">
      <c r="A1132" s="3" t="n">
        <v>46168.8409953704</v>
      </c>
      <c r="B1132" s="1" t="s">
        <v>4</v>
      </c>
      <c r="C1132" s="1" t="n">
        <v>1587</v>
      </c>
      <c r="D1132" s="1" t="n">
        <v>80</v>
      </c>
    </row>
    <row r="1133" customFormat="false" ht="15" hidden="false" customHeight="true" outlineLevel="0" collapsed="false">
      <c r="A1133" s="3" t="n">
        <v>46168.8410069444</v>
      </c>
      <c r="B1133" s="1" t="s">
        <v>8</v>
      </c>
      <c r="C1133" s="1" t="n">
        <v>2189</v>
      </c>
      <c r="D1133" s="1" t="n">
        <v>62</v>
      </c>
    </row>
    <row r="1134" customFormat="false" ht="15" hidden="false" customHeight="true" outlineLevel="0" collapsed="false">
      <c r="A1134" s="3" t="n">
        <v>46168.8410069444</v>
      </c>
      <c r="B1134" s="1" t="s">
        <v>9</v>
      </c>
      <c r="C1134" s="1" t="n">
        <v>2084</v>
      </c>
      <c r="D1134" s="1" t="n">
        <v>77</v>
      </c>
    </row>
    <row r="1135" customFormat="false" ht="15" hidden="false" customHeight="true" outlineLevel="0" collapsed="false">
      <c r="A1135" s="3" t="n">
        <v>46168.8413425926</v>
      </c>
      <c r="B1135" s="1" t="s">
        <v>6</v>
      </c>
      <c r="C1135" s="1" t="n">
        <v>1371</v>
      </c>
      <c r="D1135" s="1" t="n">
        <v>89</v>
      </c>
    </row>
    <row r="1136" customFormat="false" ht="15" hidden="false" customHeight="true" outlineLevel="0" collapsed="false">
      <c r="A1136" s="3" t="n">
        <v>46168.8413425926</v>
      </c>
      <c r="B1136" s="1" t="s">
        <v>7</v>
      </c>
      <c r="C1136" s="1" t="n">
        <v>2083</v>
      </c>
      <c r="D1136" s="1" t="n">
        <v>67</v>
      </c>
    </row>
    <row r="1137" customFormat="false" ht="15" hidden="false" customHeight="true" outlineLevel="0" collapsed="false">
      <c r="A1137" s="3" t="n">
        <v>46168.8413425926</v>
      </c>
      <c r="B1137" s="1" t="s">
        <v>4</v>
      </c>
      <c r="C1137" s="1" t="n">
        <v>1571</v>
      </c>
      <c r="D1137" s="1" t="n">
        <v>81</v>
      </c>
    </row>
    <row r="1138" customFormat="false" ht="15" hidden="false" customHeight="true" outlineLevel="0" collapsed="false">
      <c r="A1138" s="3" t="n">
        <v>46168.8413425926</v>
      </c>
      <c r="B1138" s="1" t="s">
        <v>5</v>
      </c>
      <c r="D1138" s="1" t="n">
        <v>58.4</v>
      </c>
    </row>
    <row r="1139" customFormat="false" ht="15" hidden="false" customHeight="true" outlineLevel="0" collapsed="false">
      <c r="A1139" s="3" t="n">
        <v>46168.8413541667</v>
      </c>
      <c r="B1139" s="1" t="s">
        <v>8</v>
      </c>
      <c r="C1139" s="1" t="n">
        <v>2194</v>
      </c>
      <c r="D1139" s="1" t="n">
        <v>62</v>
      </c>
    </row>
    <row r="1140" customFormat="false" ht="15" hidden="false" customHeight="true" outlineLevel="0" collapsed="false">
      <c r="A1140" s="3" t="n">
        <v>46168.8413541667</v>
      </c>
      <c r="B1140" s="1" t="s">
        <v>9</v>
      </c>
      <c r="C1140" s="1" t="n">
        <v>2089</v>
      </c>
      <c r="D1140" s="1" t="n">
        <v>76</v>
      </c>
    </row>
    <row r="1141" customFormat="false" ht="15" hidden="false" customHeight="true" outlineLevel="0" collapsed="false">
      <c r="A1141" s="3" t="n">
        <v>46168.8416898148</v>
      </c>
      <c r="B1141" s="1" t="s">
        <v>6</v>
      </c>
      <c r="C1141" s="1" t="n">
        <v>1363</v>
      </c>
      <c r="D1141" s="1" t="n">
        <v>90</v>
      </c>
    </row>
    <row r="1142" customFormat="false" ht="15" hidden="false" customHeight="true" outlineLevel="0" collapsed="false">
      <c r="A1142" s="3" t="n">
        <v>46168.8416898148</v>
      </c>
      <c r="B1142" s="1" t="s">
        <v>4</v>
      </c>
      <c r="C1142" s="1" t="n">
        <v>1584</v>
      </c>
      <c r="D1142" s="1" t="n">
        <v>81</v>
      </c>
    </row>
    <row r="1143" customFormat="false" ht="15" hidden="false" customHeight="true" outlineLevel="0" collapsed="false">
      <c r="A1143" s="3" t="n">
        <v>46168.8416898148</v>
      </c>
      <c r="B1143" s="1" t="s">
        <v>5</v>
      </c>
      <c r="D1143" s="1" t="n">
        <v>58.4</v>
      </c>
    </row>
    <row r="1144" customFormat="false" ht="15" hidden="false" customHeight="true" outlineLevel="0" collapsed="false">
      <c r="A1144" s="3" t="n">
        <v>46168.8417013889</v>
      </c>
      <c r="B1144" s="1" t="s">
        <v>7</v>
      </c>
      <c r="C1144" s="1" t="n">
        <v>2084</v>
      </c>
      <c r="D1144" s="1" t="n">
        <v>67</v>
      </c>
    </row>
    <row r="1145" customFormat="false" ht="15" hidden="false" customHeight="true" outlineLevel="0" collapsed="false">
      <c r="A1145" s="3" t="n">
        <v>46168.8417013889</v>
      </c>
      <c r="B1145" s="1" t="s">
        <v>8</v>
      </c>
      <c r="C1145" s="1" t="n">
        <v>2194</v>
      </c>
      <c r="D1145" s="1" t="n">
        <v>62</v>
      </c>
    </row>
    <row r="1146" customFormat="false" ht="15" hidden="false" customHeight="true" outlineLevel="0" collapsed="false">
      <c r="A1146" s="3" t="n">
        <v>46168.841712963</v>
      </c>
      <c r="B1146" s="1" t="s">
        <v>9</v>
      </c>
      <c r="C1146" s="1" t="n">
        <v>2092</v>
      </c>
      <c r="D1146" s="1" t="n">
        <v>76</v>
      </c>
    </row>
    <row r="1147" customFormat="false" ht="15" hidden="false" customHeight="true" outlineLevel="0" collapsed="false">
      <c r="A1147" s="3" t="n">
        <v>46168.842037037</v>
      </c>
      <c r="B1147" s="1" t="s">
        <v>4</v>
      </c>
      <c r="C1147" s="1" t="n">
        <v>1535</v>
      </c>
      <c r="D1147" s="1" t="n">
        <v>84</v>
      </c>
    </row>
    <row r="1148" customFormat="false" ht="15" hidden="false" customHeight="true" outlineLevel="0" collapsed="false">
      <c r="A1148" s="3" t="n">
        <v>46168.842037037</v>
      </c>
      <c r="B1148" s="1" t="s">
        <v>5</v>
      </c>
      <c r="D1148" s="1" t="n">
        <v>58.4</v>
      </c>
    </row>
    <row r="1149" customFormat="false" ht="15" hidden="false" customHeight="true" outlineLevel="0" collapsed="false">
      <c r="A1149" s="3" t="n">
        <v>46168.8420486111</v>
      </c>
      <c r="B1149" s="1" t="s">
        <v>6</v>
      </c>
      <c r="C1149" s="1" t="n">
        <v>1341</v>
      </c>
      <c r="D1149" s="1" t="n">
        <v>91</v>
      </c>
    </row>
    <row r="1150" customFormat="false" ht="15" hidden="false" customHeight="true" outlineLevel="0" collapsed="false">
      <c r="A1150" s="3" t="n">
        <v>46168.8420486111</v>
      </c>
      <c r="B1150" s="1" t="s">
        <v>7</v>
      </c>
      <c r="C1150" s="1" t="n">
        <v>2091</v>
      </c>
      <c r="D1150" s="1" t="n">
        <v>66</v>
      </c>
    </row>
    <row r="1151" customFormat="false" ht="15" hidden="false" customHeight="true" outlineLevel="0" collapsed="false">
      <c r="A1151" s="3" t="n">
        <v>46168.8420486111</v>
      </c>
      <c r="B1151" s="1" t="s">
        <v>8</v>
      </c>
      <c r="C1151" s="1" t="n">
        <v>2192</v>
      </c>
      <c r="D1151" s="1" t="n">
        <v>62</v>
      </c>
    </row>
    <row r="1152" customFormat="false" ht="15" hidden="false" customHeight="true" outlineLevel="0" collapsed="false">
      <c r="A1152" s="3" t="n">
        <v>46168.8420601852</v>
      </c>
      <c r="B1152" s="1" t="s">
        <v>9</v>
      </c>
      <c r="C1152" s="1" t="n">
        <v>2096</v>
      </c>
      <c r="D1152" s="1" t="n">
        <v>75</v>
      </c>
    </row>
    <row r="1153" customFormat="false" ht="15" hidden="false" customHeight="true" outlineLevel="0" collapsed="false">
      <c r="A1153" s="3" t="n">
        <v>46168.8423958333</v>
      </c>
      <c r="B1153" s="1" t="s">
        <v>4</v>
      </c>
      <c r="C1153" s="1" t="n">
        <v>1535</v>
      </c>
      <c r="D1153" s="1" t="n">
        <v>84</v>
      </c>
    </row>
    <row r="1154" customFormat="false" ht="15" hidden="false" customHeight="true" outlineLevel="0" collapsed="false">
      <c r="A1154" s="3" t="n">
        <v>46168.8423958333</v>
      </c>
      <c r="B1154" s="1" t="s">
        <v>5</v>
      </c>
      <c r="D1154" s="1" t="n">
        <v>58.4</v>
      </c>
    </row>
    <row r="1155" customFormat="false" ht="15" hidden="false" customHeight="true" outlineLevel="0" collapsed="false">
      <c r="A1155" s="3" t="n">
        <v>46168.8424074074</v>
      </c>
      <c r="B1155" s="1" t="s">
        <v>6</v>
      </c>
      <c r="C1155" s="1" t="n">
        <v>1379</v>
      </c>
      <c r="D1155" s="1" t="n">
        <v>89</v>
      </c>
    </row>
    <row r="1156" customFormat="false" ht="15" hidden="false" customHeight="true" outlineLevel="0" collapsed="false">
      <c r="A1156" s="3" t="n">
        <v>46168.8424074074</v>
      </c>
      <c r="B1156" s="1" t="s">
        <v>7</v>
      </c>
      <c r="C1156" s="1" t="n">
        <v>2086</v>
      </c>
      <c r="D1156" s="1" t="n">
        <v>66</v>
      </c>
    </row>
    <row r="1157" customFormat="false" ht="15" hidden="false" customHeight="true" outlineLevel="0" collapsed="false">
      <c r="A1157" s="3" t="n">
        <v>46168.8424074074</v>
      </c>
      <c r="B1157" s="1" t="s">
        <v>8</v>
      </c>
      <c r="C1157" s="1" t="n">
        <v>2201</v>
      </c>
      <c r="D1157" s="1" t="n">
        <v>61</v>
      </c>
    </row>
    <row r="1158" customFormat="false" ht="15" hidden="false" customHeight="true" outlineLevel="0" collapsed="false">
      <c r="A1158" s="3" t="n">
        <v>46168.8424074074</v>
      </c>
      <c r="B1158" s="1" t="s">
        <v>9</v>
      </c>
      <c r="C1158" s="1" t="n">
        <v>2096</v>
      </c>
      <c r="D1158" s="1" t="n">
        <v>75</v>
      </c>
    </row>
    <row r="1159" customFormat="false" ht="15" hidden="false" customHeight="true" outlineLevel="0" collapsed="false">
      <c r="A1159" s="3" t="n">
        <v>46168.8427430556</v>
      </c>
      <c r="B1159" s="1" t="s">
        <v>5</v>
      </c>
      <c r="D1159" s="1" t="n">
        <v>58.4</v>
      </c>
    </row>
    <row r="1160" customFormat="false" ht="15" hidden="false" customHeight="true" outlineLevel="0" collapsed="false">
      <c r="A1160" s="3" t="n">
        <v>46168.8427777778</v>
      </c>
      <c r="B1160" s="1" t="s">
        <v>6</v>
      </c>
      <c r="C1160" s="1" t="n">
        <v>1374</v>
      </c>
      <c r="D1160" s="1" t="n">
        <v>89</v>
      </c>
    </row>
    <row r="1161" customFormat="false" ht="15" hidden="false" customHeight="true" outlineLevel="0" collapsed="false">
      <c r="A1161" s="3" t="n">
        <v>46168.8427777778</v>
      </c>
      <c r="B1161" s="1" t="s">
        <v>7</v>
      </c>
      <c r="C1161" s="1" t="n">
        <v>2097</v>
      </c>
      <c r="D1161" s="1" t="n">
        <v>65</v>
      </c>
    </row>
    <row r="1162" customFormat="false" ht="15" hidden="false" customHeight="true" outlineLevel="0" collapsed="false">
      <c r="A1162" s="3" t="n">
        <v>46168.8427777778</v>
      </c>
      <c r="B1162" s="1" t="s">
        <v>4</v>
      </c>
      <c r="C1162" s="1" t="n">
        <v>1535</v>
      </c>
      <c r="D1162" s="1" t="n">
        <v>84</v>
      </c>
    </row>
    <row r="1163" customFormat="false" ht="15" hidden="false" customHeight="true" outlineLevel="0" collapsed="false">
      <c r="A1163" s="3" t="n">
        <v>46168.8427777778</v>
      </c>
      <c r="B1163" s="1" t="s">
        <v>8</v>
      </c>
      <c r="C1163" s="1" t="n">
        <v>2202</v>
      </c>
      <c r="D1163" s="1" t="n">
        <v>61</v>
      </c>
    </row>
    <row r="1164" customFormat="false" ht="15" hidden="false" customHeight="true" outlineLevel="0" collapsed="false">
      <c r="A1164" s="3" t="n">
        <v>46168.8427893519</v>
      </c>
      <c r="B1164" s="1" t="s">
        <v>9</v>
      </c>
      <c r="C1164" s="1" t="n">
        <v>2095</v>
      </c>
      <c r="D1164" s="1" t="n">
        <v>75</v>
      </c>
    </row>
    <row r="1165" customFormat="false" ht="15" hidden="false" customHeight="true" outlineLevel="0" collapsed="false">
      <c r="A1165" s="3" t="n">
        <v>46168.8430902778</v>
      </c>
      <c r="B1165" s="1" t="s">
        <v>6</v>
      </c>
      <c r="C1165" s="1" t="n">
        <v>1366</v>
      </c>
      <c r="D1165" s="1" t="n">
        <v>89</v>
      </c>
    </row>
    <row r="1166" customFormat="false" ht="15" hidden="false" customHeight="true" outlineLevel="0" collapsed="false">
      <c r="A1166" s="3" t="n">
        <v>46168.8430902778</v>
      </c>
      <c r="B1166" s="1" t="s">
        <v>4</v>
      </c>
      <c r="C1166" s="1" t="n">
        <v>1555</v>
      </c>
      <c r="D1166" s="1" t="n">
        <v>83</v>
      </c>
    </row>
    <row r="1167" customFormat="false" ht="15" hidden="false" customHeight="true" outlineLevel="0" collapsed="false">
      <c r="A1167" s="3" t="n">
        <v>46168.8430902778</v>
      </c>
      <c r="B1167" s="1" t="s">
        <v>5</v>
      </c>
      <c r="D1167" s="1" t="n">
        <v>58.4</v>
      </c>
    </row>
    <row r="1168" customFormat="false" ht="15" hidden="false" customHeight="true" outlineLevel="0" collapsed="false">
      <c r="A1168" s="3" t="n">
        <v>46168.8431018519</v>
      </c>
      <c r="B1168" s="1" t="s">
        <v>7</v>
      </c>
      <c r="C1168" s="1" t="n">
        <v>2100</v>
      </c>
      <c r="D1168" s="1" t="n">
        <v>65</v>
      </c>
    </row>
    <row r="1169" customFormat="false" ht="15" hidden="false" customHeight="true" outlineLevel="0" collapsed="false">
      <c r="A1169" s="3" t="n">
        <v>46168.8431018519</v>
      </c>
      <c r="B1169" s="1" t="s">
        <v>8</v>
      </c>
      <c r="C1169" s="1" t="n">
        <v>2206</v>
      </c>
      <c r="D1169" s="1" t="n">
        <v>60</v>
      </c>
    </row>
    <row r="1170" customFormat="false" ht="15" hidden="false" customHeight="true" outlineLevel="0" collapsed="false">
      <c r="A1170" s="3" t="n">
        <v>46168.8431018519</v>
      </c>
      <c r="B1170" s="1" t="s">
        <v>9</v>
      </c>
      <c r="C1170" s="1" t="n">
        <v>2103</v>
      </c>
      <c r="D1170" s="1" t="n">
        <v>74</v>
      </c>
    </row>
    <row r="1171" customFormat="false" ht="15" hidden="false" customHeight="true" outlineLevel="0" collapsed="false">
      <c r="A1171" s="3" t="n">
        <v>46168.8434375</v>
      </c>
      <c r="B1171" s="1" t="s">
        <v>4</v>
      </c>
      <c r="C1171" s="1" t="n">
        <v>1586</v>
      </c>
      <c r="D1171" s="1" t="n">
        <v>81</v>
      </c>
    </row>
    <row r="1172" customFormat="false" ht="15" hidden="false" customHeight="true" outlineLevel="0" collapsed="false">
      <c r="A1172" s="3" t="n">
        <v>46168.8434375</v>
      </c>
      <c r="B1172" s="1" t="s">
        <v>5</v>
      </c>
      <c r="D1172" s="1" t="n">
        <v>58.4</v>
      </c>
    </row>
    <row r="1173" customFormat="false" ht="15" hidden="false" customHeight="true" outlineLevel="0" collapsed="false">
      <c r="A1173" s="3" t="n">
        <v>46168.8434490741</v>
      </c>
      <c r="B1173" s="1" t="s">
        <v>6</v>
      </c>
      <c r="C1173" s="1" t="n">
        <v>1371</v>
      </c>
      <c r="D1173" s="1" t="n">
        <v>89</v>
      </c>
    </row>
    <row r="1174" customFormat="false" ht="15" hidden="false" customHeight="true" outlineLevel="0" collapsed="false">
      <c r="A1174" s="3" t="n">
        <v>46168.8434490741</v>
      </c>
      <c r="B1174" s="1" t="s">
        <v>7</v>
      </c>
      <c r="C1174" s="1" t="n">
        <v>2102</v>
      </c>
      <c r="D1174" s="1" t="n">
        <v>65</v>
      </c>
    </row>
    <row r="1175" customFormat="false" ht="15" hidden="false" customHeight="true" outlineLevel="0" collapsed="false">
      <c r="A1175" s="3" t="n">
        <v>46168.8434606482</v>
      </c>
      <c r="B1175" s="1" t="s">
        <v>8</v>
      </c>
      <c r="C1175" s="1" t="n">
        <v>2205</v>
      </c>
      <c r="D1175" s="1" t="n">
        <v>60</v>
      </c>
    </row>
    <row r="1176" customFormat="false" ht="15" hidden="false" customHeight="true" outlineLevel="0" collapsed="false">
      <c r="A1176" s="3" t="n">
        <v>46168.8434606482</v>
      </c>
      <c r="B1176" s="1" t="s">
        <v>9</v>
      </c>
      <c r="C1176" s="1" t="n">
        <v>2109</v>
      </c>
      <c r="D1176" s="1" t="n">
        <v>73</v>
      </c>
    </row>
    <row r="1177" customFormat="false" ht="15" hidden="false" customHeight="true" outlineLevel="0" collapsed="false">
      <c r="A1177" s="3" t="n">
        <v>46168.8437962963</v>
      </c>
      <c r="B1177" s="1" t="s">
        <v>6</v>
      </c>
      <c r="C1177" s="1" t="n">
        <v>1363</v>
      </c>
      <c r="D1177" s="1" t="n">
        <v>90</v>
      </c>
    </row>
    <row r="1178" customFormat="false" ht="15" hidden="false" customHeight="true" outlineLevel="0" collapsed="false">
      <c r="A1178" s="3" t="n">
        <v>46168.8437962963</v>
      </c>
      <c r="B1178" s="1" t="s">
        <v>4</v>
      </c>
      <c r="C1178" s="1" t="n">
        <v>1613</v>
      </c>
      <c r="D1178" s="1" t="n">
        <v>79</v>
      </c>
    </row>
    <row r="1179" customFormat="false" ht="15" hidden="false" customHeight="true" outlineLevel="0" collapsed="false">
      <c r="A1179" s="3" t="n">
        <v>46168.8437962963</v>
      </c>
      <c r="B1179" s="1" t="s">
        <v>5</v>
      </c>
      <c r="D1179" s="1" t="n">
        <v>58.4</v>
      </c>
    </row>
    <row r="1180" customFormat="false" ht="15" hidden="false" customHeight="true" outlineLevel="0" collapsed="false">
      <c r="A1180" s="3" t="n">
        <v>46168.8438078704</v>
      </c>
      <c r="B1180" s="1" t="s">
        <v>7</v>
      </c>
      <c r="C1180" s="1" t="n">
        <v>2109</v>
      </c>
      <c r="D1180" s="1" t="n">
        <v>64</v>
      </c>
    </row>
    <row r="1181" customFormat="false" ht="15" hidden="false" customHeight="true" outlineLevel="0" collapsed="false">
      <c r="A1181" s="3" t="n">
        <v>46168.8438078704</v>
      </c>
      <c r="B1181" s="1" t="s">
        <v>8</v>
      </c>
      <c r="C1181" s="1" t="n">
        <v>2231</v>
      </c>
      <c r="D1181" s="1" t="n">
        <v>57</v>
      </c>
    </row>
    <row r="1182" customFormat="false" ht="15" hidden="false" customHeight="true" outlineLevel="0" collapsed="false">
      <c r="A1182" s="3" t="n">
        <v>46168.8438194445</v>
      </c>
      <c r="B1182" s="1" t="s">
        <v>9</v>
      </c>
      <c r="C1182" s="1" t="n">
        <v>2110</v>
      </c>
      <c r="D1182" s="1" t="n">
        <v>73</v>
      </c>
    </row>
    <row r="1183" customFormat="false" ht="15" hidden="false" customHeight="true" outlineLevel="0" collapsed="false">
      <c r="A1183" s="3" t="n">
        <v>46168.8441435185</v>
      </c>
      <c r="B1183" s="1" t="s">
        <v>5</v>
      </c>
      <c r="D1183" s="1" t="n">
        <v>58.4</v>
      </c>
    </row>
    <row r="1184" customFormat="false" ht="15" hidden="false" customHeight="true" outlineLevel="0" collapsed="false">
      <c r="A1184" s="3" t="n">
        <v>46168.8441666667</v>
      </c>
      <c r="B1184" s="1" t="s">
        <v>6</v>
      </c>
      <c r="C1184" s="1" t="n">
        <v>1357</v>
      </c>
      <c r="D1184" s="1" t="n">
        <v>90</v>
      </c>
    </row>
    <row r="1185" customFormat="false" ht="15" hidden="false" customHeight="true" outlineLevel="0" collapsed="false">
      <c r="A1185" s="3" t="n">
        <v>46168.8441666667</v>
      </c>
      <c r="B1185" s="1" t="s">
        <v>7</v>
      </c>
      <c r="C1185" s="1" t="n">
        <v>2112</v>
      </c>
      <c r="D1185" s="1" t="n">
        <v>64</v>
      </c>
    </row>
    <row r="1186" customFormat="false" ht="15" hidden="false" customHeight="true" outlineLevel="0" collapsed="false">
      <c r="A1186" s="3" t="n">
        <v>46168.8441666667</v>
      </c>
      <c r="B1186" s="1" t="s">
        <v>4</v>
      </c>
      <c r="C1186" s="1" t="n">
        <v>1562</v>
      </c>
      <c r="D1186" s="1" t="n">
        <v>82</v>
      </c>
    </row>
    <row r="1187" customFormat="false" ht="15" hidden="false" customHeight="true" outlineLevel="0" collapsed="false">
      <c r="A1187" s="3" t="n">
        <v>46168.8441782407</v>
      </c>
      <c r="B1187" s="1" t="s">
        <v>8</v>
      </c>
      <c r="C1187" s="1" t="n">
        <v>2204</v>
      </c>
      <c r="D1187" s="1" t="n">
        <v>61</v>
      </c>
    </row>
    <row r="1188" customFormat="false" ht="15" hidden="false" customHeight="true" outlineLevel="0" collapsed="false">
      <c r="A1188" s="3" t="n">
        <v>46168.8441782407</v>
      </c>
      <c r="B1188" s="1" t="s">
        <v>9</v>
      </c>
      <c r="C1188" s="1" t="n">
        <v>2114</v>
      </c>
      <c r="D1188" s="1" t="n">
        <v>72</v>
      </c>
    </row>
    <row r="1189" customFormat="false" ht="15" hidden="false" customHeight="true" outlineLevel="0" collapsed="false">
      <c r="A1189" s="3" t="n">
        <v>46168.8444907407</v>
      </c>
      <c r="B1189" s="1" t="s">
        <v>5</v>
      </c>
      <c r="D1189" s="1" t="n">
        <v>58.4</v>
      </c>
    </row>
    <row r="1190" customFormat="false" ht="15" hidden="false" customHeight="true" outlineLevel="0" collapsed="false">
      <c r="A1190" s="3" t="n">
        <v>46168.8445023148</v>
      </c>
      <c r="B1190" s="1" t="s">
        <v>6</v>
      </c>
      <c r="C1190" s="1" t="n">
        <v>1367</v>
      </c>
      <c r="D1190" s="1" t="n">
        <v>89</v>
      </c>
    </row>
    <row r="1191" customFormat="false" ht="15" hidden="false" customHeight="true" outlineLevel="0" collapsed="false">
      <c r="A1191" s="3" t="n">
        <v>46168.8445023148</v>
      </c>
      <c r="B1191" s="1" t="s">
        <v>4</v>
      </c>
      <c r="C1191" s="1" t="n">
        <v>1535</v>
      </c>
      <c r="D1191" s="1" t="n">
        <v>84</v>
      </c>
    </row>
    <row r="1192" customFormat="false" ht="15" hidden="false" customHeight="true" outlineLevel="0" collapsed="false">
      <c r="A1192" s="3" t="n">
        <v>46168.8445138889</v>
      </c>
      <c r="B1192" s="1" t="s">
        <v>7</v>
      </c>
      <c r="C1192" s="1" t="n">
        <v>2108</v>
      </c>
      <c r="D1192" s="1" t="n">
        <v>64</v>
      </c>
    </row>
    <row r="1193" customFormat="false" ht="15" hidden="false" customHeight="true" outlineLevel="0" collapsed="false">
      <c r="A1193" s="3" t="n">
        <v>46168.8445138889</v>
      </c>
      <c r="B1193" s="1" t="s">
        <v>8</v>
      </c>
      <c r="C1193" s="1" t="n">
        <v>2208</v>
      </c>
      <c r="D1193" s="1" t="n">
        <v>60</v>
      </c>
    </row>
    <row r="1194" customFormat="false" ht="15" hidden="false" customHeight="true" outlineLevel="0" collapsed="false">
      <c r="A1194" s="3" t="n">
        <v>46168.844525463</v>
      </c>
      <c r="B1194" s="1" t="s">
        <v>9</v>
      </c>
      <c r="C1194" s="1" t="n">
        <v>2122</v>
      </c>
      <c r="D1194" s="1" t="n">
        <v>71</v>
      </c>
    </row>
    <row r="1195" customFormat="false" ht="15" hidden="false" customHeight="true" outlineLevel="0" collapsed="false">
      <c r="A1195" s="3" t="n">
        <v>46168.844837963</v>
      </c>
      <c r="B1195" s="1" t="s">
        <v>4</v>
      </c>
      <c r="C1195" s="1" t="n">
        <v>1535</v>
      </c>
      <c r="D1195" s="1" t="n">
        <v>84</v>
      </c>
    </row>
    <row r="1196" customFormat="false" ht="15" hidden="false" customHeight="true" outlineLevel="0" collapsed="false">
      <c r="A1196" s="3" t="n">
        <v>46168.844837963</v>
      </c>
      <c r="B1196" s="1" t="s">
        <v>5</v>
      </c>
      <c r="D1196" s="1" t="n">
        <v>58.4</v>
      </c>
    </row>
    <row r="1197" customFormat="false" ht="15" hidden="false" customHeight="true" outlineLevel="0" collapsed="false">
      <c r="A1197" s="3" t="n">
        <v>46168.844849537</v>
      </c>
      <c r="B1197" s="1" t="s">
        <v>6</v>
      </c>
      <c r="C1197" s="1" t="n">
        <v>1362</v>
      </c>
      <c r="D1197" s="1" t="n">
        <v>90</v>
      </c>
    </row>
    <row r="1198" customFormat="false" ht="15" hidden="false" customHeight="true" outlineLevel="0" collapsed="false">
      <c r="A1198" s="3" t="n">
        <v>46168.844849537</v>
      </c>
      <c r="B1198" s="1" t="s">
        <v>7</v>
      </c>
      <c r="C1198" s="1" t="n">
        <v>2113</v>
      </c>
      <c r="D1198" s="1" t="n">
        <v>64</v>
      </c>
    </row>
    <row r="1199" customFormat="false" ht="15" hidden="false" customHeight="true" outlineLevel="0" collapsed="false">
      <c r="A1199" s="3" t="n">
        <v>46168.8448611111</v>
      </c>
      <c r="B1199" s="1" t="s">
        <v>8</v>
      </c>
      <c r="C1199" s="1" t="n">
        <v>2214</v>
      </c>
      <c r="D1199" s="1" t="n">
        <v>59</v>
      </c>
    </row>
    <row r="1200" customFormat="false" ht="15" hidden="false" customHeight="true" outlineLevel="0" collapsed="false">
      <c r="A1200" s="3" t="n">
        <v>46168.8448611111</v>
      </c>
      <c r="B1200" s="1" t="s">
        <v>9</v>
      </c>
      <c r="C1200" s="1" t="n">
        <v>2117</v>
      </c>
      <c r="D1200" s="1" t="n">
        <v>71</v>
      </c>
    </row>
    <row r="1201" customFormat="false" ht="15" hidden="false" customHeight="true" outlineLevel="0" collapsed="false">
      <c r="A1201" s="3" t="n">
        <v>46168.8451967593</v>
      </c>
      <c r="B1201" s="1" t="s">
        <v>6</v>
      </c>
      <c r="C1201" s="1" t="n">
        <v>1364</v>
      </c>
      <c r="D1201" s="1" t="n">
        <v>90</v>
      </c>
    </row>
    <row r="1202" customFormat="false" ht="15" hidden="false" customHeight="true" outlineLevel="0" collapsed="false">
      <c r="A1202" s="3" t="n">
        <v>46168.8451967593</v>
      </c>
      <c r="B1202" s="1" t="s">
        <v>7</v>
      </c>
      <c r="C1202" s="1" t="n">
        <v>2114</v>
      </c>
      <c r="D1202" s="1" t="n">
        <v>64</v>
      </c>
    </row>
    <row r="1203" customFormat="false" ht="15" hidden="false" customHeight="true" outlineLevel="0" collapsed="false">
      <c r="A1203" s="3" t="n">
        <v>46168.8451967593</v>
      </c>
      <c r="B1203" s="1" t="s">
        <v>4</v>
      </c>
      <c r="C1203" s="1" t="n">
        <v>1535</v>
      </c>
      <c r="D1203" s="1" t="n">
        <v>84</v>
      </c>
    </row>
    <row r="1204" customFormat="false" ht="15" hidden="false" customHeight="true" outlineLevel="0" collapsed="false">
      <c r="A1204" s="3" t="n">
        <v>46168.8451967593</v>
      </c>
      <c r="B1204" s="1" t="s">
        <v>5</v>
      </c>
      <c r="D1204" s="1" t="n">
        <v>58.4</v>
      </c>
    </row>
    <row r="1205" customFormat="false" ht="15" hidden="false" customHeight="true" outlineLevel="0" collapsed="false">
      <c r="A1205" s="3" t="n">
        <v>46168.8452083333</v>
      </c>
      <c r="B1205" s="1" t="s">
        <v>8</v>
      </c>
      <c r="C1205" s="1" t="n">
        <v>2215</v>
      </c>
      <c r="D1205" s="1" t="n">
        <v>59</v>
      </c>
    </row>
    <row r="1206" customFormat="false" ht="15" hidden="false" customHeight="true" outlineLevel="0" collapsed="false">
      <c r="A1206" s="3" t="n">
        <v>46168.8452083333</v>
      </c>
      <c r="B1206" s="1" t="s">
        <v>9</v>
      </c>
      <c r="C1206" s="1" t="n">
        <v>2114</v>
      </c>
      <c r="D1206" s="1" t="n">
        <v>72</v>
      </c>
    </row>
    <row r="1207" customFormat="false" ht="15" hidden="false" customHeight="true" outlineLevel="0" collapsed="false">
      <c r="A1207" s="3" t="n">
        <v>46168.8455439815</v>
      </c>
      <c r="B1207" s="1" t="s">
        <v>6</v>
      </c>
      <c r="C1207" s="1" t="n">
        <v>1365</v>
      </c>
      <c r="D1207" s="1" t="n">
        <v>89</v>
      </c>
    </row>
    <row r="1208" customFormat="false" ht="15" hidden="false" customHeight="true" outlineLevel="0" collapsed="false">
      <c r="A1208" s="3" t="n">
        <v>46168.8455439815</v>
      </c>
      <c r="B1208" s="1" t="s">
        <v>4</v>
      </c>
      <c r="C1208" s="1" t="n">
        <v>1535</v>
      </c>
      <c r="D1208" s="1" t="n">
        <v>84</v>
      </c>
    </row>
    <row r="1209" customFormat="false" ht="15" hidden="false" customHeight="true" outlineLevel="0" collapsed="false">
      <c r="A1209" s="3" t="n">
        <v>46168.8455439815</v>
      </c>
      <c r="B1209" s="1" t="s">
        <v>5</v>
      </c>
      <c r="D1209" s="1" t="n">
        <v>58.4</v>
      </c>
    </row>
    <row r="1210" customFormat="false" ht="15" hidden="false" customHeight="true" outlineLevel="0" collapsed="false">
      <c r="A1210" s="3" t="n">
        <v>46168.8455555556</v>
      </c>
      <c r="B1210" s="1" t="s">
        <v>7</v>
      </c>
      <c r="C1210" s="1" t="n">
        <v>2122</v>
      </c>
      <c r="D1210" s="1" t="n">
        <v>63</v>
      </c>
    </row>
    <row r="1211" customFormat="false" ht="15" hidden="false" customHeight="true" outlineLevel="0" collapsed="false">
      <c r="A1211" s="3" t="n">
        <v>46168.8455555556</v>
      </c>
      <c r="B1211" s="1" t="s">
        <v>8</v>
      </c>
      <c r="C1211" s="1" t="n">
        <v>2218</v>
      </c>
      <c r="D1211" s="1" t="n">
        <v>59</v>
      </c>
    </row>
    <row r="1212" customFormat="false" ht="15" hidden="false" customHeight="true" outlineLevel="0" collapsed="false">
      <c r="A1212" s="3" t="n">
        <v>46168.8455555556</v>
      </c>
      <c r="B1212" s="1" t="s">
        <v>9</v>
      </c>
      <c r="C1212" s="1" t="n">
        <v>2115</v>
      </c>
      <c r="D1212" s="1" t="n">
        <v>72</v>
      </c>
    </row>
    <row r="1213" customFormat="false" ht="15" hidden="false" customHeight="true" outlineLevel="0" collapsed="false">
      <c r="A1213" s="3" t="n">
        <v>46168.8458912037</v>
      </c>
      <c r="B1213" s="1" t="s">
        <v>5</v>
      </c>
      <c r="D1213" s="1" t="n">
        <v>58.4</v>
      </c>
    </row>
    <row r="1214" customFormat="false" ht="15" hidden="false" customHeight="true" outlineLevel="0" collapsed="false">
      <c r="A1214" s="3" t="n">
        <v>46168.8459027778</v>
      </c>
      <c r="B1214" s="1" t="s">
        <v>6</v>
      </c>
      <c r="C1214" s="1" t="n">
        <v>1362</v>
      </c>
      <c r="D1214" s="1" t="n">
        <v>90</v>
      </c>
    </row>
    <row r="1215" customFormat="false" ht="15" hidden="false" customHeight="true" outlineLevel="0" collapsed="false">
      <c r="A1215" s="3" t="n">
        <v>46168.8459027778</v>
      </c>
      <c r="B1215" s="1" t="s">
        <v>7</v>
      </c>
      <c r="C1215" s="1" t="n">
        <v>2121</v>
      </c>
      <c r="D1215" s="1" t="n">
        <v>63</v>
      </c>
    </row>
    <row r="1216" customFormat="false" ht="15" hidden="false" customHeight="true" outlineLevel="0" collapsed="false">
      <c r="A1216" s="3" t="n">
        <v>46168.8459027778</v>
      </c>
      <c r="B1216" s="1" t="s">
        <v>4</v>
      </c>
      <c r="C1216" s="1" t="n">
        <v>1570</v>
      </c>
      <c r="D1216" s="1" t="n">
        <v>82</v>
      </c>
    </row>
    <row r="1217" customFormat="false" ht="15" hidden="false" customHeight="true" outlineLevel="0" collapsed="false">
      <c r="A1217" s="3" t="n">
        <v>46168.8459027778</v>
      </c>
      <c r="B1217" s="1" t="s">
        <v>8</v>
      </c>
      <c r="C1217" s="1" t="n">
        <v>2215</v>
      </c>
      <c r="D1217" s="1" t="n">
        <v>59</v>
      </c>
    </row>
    <row r="1218" customFormat="false" ht="15" hidden="false" customHeight="true" outlineLevel="0" collapsed="false">
      <c r="A1218" s="3" t="n">
        <v>46168.8459143519</v>
      </c>
      <c r="B1218" s="1" t="s">
        <v>9</v>
      </c>
      <c r="C1218" s="1" t="n">
        <v>2118</v>
      </c>
      <c r="D1218" s="1" t="n">
        <v>71</v>
      </c>
    </row>
    <row r="1219" customFormat="false" ht="15" hidden="false" customHeight="true" outlineLevel="0" collapsed="false">
      <c r="A1219" s="3" t="n">
        <v>46168.8462384259</v>
      </c>
      <c r="B1219" s="1" t="s">
        <v>6</v>
      </c>
      <c r="C1219" s="1" t="n">
        <v>1409</v>
      </c>
      <c r="D1219" s="1" t="n">
        <v>87</v>
      </c>
    </row>
    <row r="1220" customFormat="false" ht="15" hidden="false" customHeight="true" outlineLevel="0" collapsed="false">
      <c r="A1220" s="3" t="n">
        <v>46168.8462384259</v>
      </c>
      <c r="B1220" s="1" t="s">
        <v>7</v>
      </c>
      <c r="C1220" s="1" t="n">
        <v>2121</v>
      </c>
      <c r="D1220" s="1" t="n">
        <v>63</v>
      </c>
    </row>
    <row r="1221" customFormat="false" ht="15" hidden="false" customHeight="true" outlineLevel="0" collapsed="false">
      <c r="A1221" s="3" t="n">
        <v>46168.8462384259</v>
      </c>
      <c r="B1221" s="1" t="s">
        <v>4</v>
      </c>
      <c r="C1221" s="1" t="n">
        <v>1554</v>
      </c>
      <c r="D1221" s="1" t="n">
        <v>83</v>
      </c>
    </row>
    <row r="1222" customFormat="false" ht="15" hidden="false" customHeight="true" outlineLevel="0" collapsed="false">
      <c r="A1222" s="3" t="n">
        <v>46168.8462384259</v>
      </c>
      <c r="B1222" s="1" t="s">
        <v>5</v>
      </c>
      <c r="D1222" s="1" t="n">
        <v>58.4</v>
      </c>
    </row>
    <row r="1223" customFormat="false" ht="15" hidden="false" customHeight="true" outlineLevel="0" collapsed="false">
      <c r="A1223" s="3" t="n">
        <v>46168.84625</v>
      </c>
      <c r="B1223" s="1" t="s">
        <v>8</v>
      </c>
      <c r="C1223" s="1" t="n">
        <v>2224</v>
      </c>
      <c r="D1223" s="1" t="n">
        <v>58</v>
      </c>
    </row>
    <row r="1224" customFormat="false" ht="15" hidden="false" customHeight="true" outlineLevel="0" collapsed="false">
      <c r="A1224" s="3" t="n">
        <v>46168.84625</v>
      </c>
      <c r="B1224" s="1" t="s">
        <v>9</v>
      </c>
      <c r="C1224" s="1" t="n">
        <v>2126</v>
      </c>
      <c r="D1224" s="1" t="n">
        <v>70</v>
      </c>
    </row>
    <row r="1225" customFormat="false" ht="15" hidden="false" customHeight="true" outlineLevel="0" collapsed="false">
      <c r="A1225" s="3" t="n">
        <v>46168.8465856482</v>
      </c>
      <c r="B1225" s="1" t="s">
        <v>6</v>
      </c>
      <c r="C1225" s="1" t="n">
        <v>1363</v>
      </c>
      <c r="D1225" s="1" t="n">
        <v>90</v>
      </c>
    </row>
    <row r="1226" customFormat="false" ht="15" hidden="false" customHeight="true" outlineLevel="0" collapsed="false">
      <c r="A1226" s="3" t="n">
        <v>46168.8465856482</v>
      </c>
      <c r="B1226" s="1" t="s">
        <v>4</v>
      </c>
      <c r="C1226" s="1" t="n">
        <v>1557</v>
      </c>
      <c r="D1226" s="1" t="n">
        <v>82</v>
      </c>
    </row>
    <row r="1227" customFormat="false" ht="15" hidden="false" customHeight="true" outlineLevel="0" collapsed="false">
      <c r="A1227" s="3" t="n">
        <v>46168.8465856482</v>
      </c>
      <c r="B1227" s="1" t="s">
        <v>5</v>
      </c>
      <c r="D1227" s="1" t="n">
        <v>58.4</v>
      </c>
    </row>
    <row r="1228" customFormat="false" ht="15" hidden="false" customHeight="true" outlineLevel="0" collapsed="false">
      <c r="A1228" s="3" t="n">
        <v>46168.8465972222</v>
      </c>
      <c r="B1228" s="1" t="s">
        <v>7</v>
      </c>
      <c r="C1228" s="1" t="n">
        <v>2122</v>
      </c>
      <c r="D1228" s="1" t="n">
        <v>63</v>
      </c>
    </row>
    <row r="1229" customFormat="false" ht="15" hidden="false" customHeight="true" outlineLevel="0" collapsed="false">
      <c r="A1229" s="3" t="n">
        <v>46168.8465972222</v>
      </c>
      <c r="B1229" s="1" t="s">
        <v>8</v>
      </c>
      <c r="C1229" s="1" t="n">
        <v>2222</v>
      </c>
      <c r="D1229" s="1" t="n">
        <v>58</v>
      </c>
    </row>
    <row r="1230" customFormat="false" ht="15" hidden="false" customHeight="true" outlineLevel="0" collapsed="false">
      <c r="A1230" s="3" t="n">
        <v>46168.8465972222</v>
      </c>
      <c r="B1230" s="1" t="s">
        <v>9</v>
      </c>
      <c r="C1230" s="1" t="n">
        <v>2126</v>
      </c>
      <c r="D1230" s="1" t="n">
        <v>70</v>
      </c>
    </row>
    <row r="1231" customFormat="false" ht="15" hidden="false" customHeight="true" outlineLevel="0" collapsed="false">
      <c r="A1231" s="3" t="n">
        <v>46168.8469328704</v>
      </c>
      <c r="B1231" s="1" t="s">
        <v>4</v>
      </c>
      <c r="C1231" s="1" t="n">
        <v>1535</v>
      </c>
      <c r="D1231" s="1" t="n">
        <v>84</v>
      </c>
    </row>
    <row r="1232" customFormat="false" ht="15" hidden="false" customHeight="true" outlineLevel="0" collapsed="false">
      <c r="A1232" s="3" t="n">
        <v>46168.8469328704</v>
      </c>
      <c r="B1232" s="1" t="s">
        <v>5</v>
      </c>
      <c r="D1232" s="1" t="n">
        <v>58.4</v>
      </c>
    </row>
    <row r="1233" customFormat="false" ht="15" hidden="false" customHeight="true" outlineLevel="0" collapsed="false">
      <c r="A1233" s="3" t="n">
        <v>46168.8469444444</v>
      </c>
      <c r="B1233" s="1" t="s">
        <v>6</v>
      </c>
      <c r="C1233" s="1" t="n">
        <v>1392</v>
      </c>
      <c r="D1233" s="1" t="n">
        <v>88</v>
      </c>
    </row>
    <row r="1234" customFormat="false" ht="15" hidden="false" customHeight="true" outlineLevel="0" collapsed="false">
      <c r="A1234" s="3" t="n">
        <v>46168.8469560185</v>
      </c>
      <c r="B1234" s="1" t="s">
        <v>7</v>
      </c>
      <c r="C1234" s="1" t="n">
        <v>2119</v>
      </c>
      <c r="D1234" s="1" t="n">
        <v>63</v>
      </c>
    </row>
    <row r="1235" customFormat="false" ht="15" hidden="false" customHeight="true" outlineLevel="0" collapsed="false">
      <c r="A1235" s="3" t="n">
        <v>46168.8469560185</v>
      </c>
      <c r="B1235" s="1" t="s">
        <v>8</v>
      </c>
      <c r="C1235" s="1" t="n">
        <v>2222</v>
      </c>
      <c r="D1235" s="1" t="n">
        <v>58</v>
      </c>
    </row>
    <row r="1236" customFormat="false" ht="15" hidden="false" customHeight="true" outlineLevel="0" collapsed="false">
      <c r="A1236" s="3" t="n">
        <v>46168.8469560185</v>
      </c>
      <c r="B1236" s="1" t="s">
        <v>9</v>
      </c>
      <c r="C1236" s="1" t="n">
        <v>2128</v>
      </c>
      <c r="D1236" s="1" t="n">
        <v>70</v>
      </c>
    </row>
    <row r="1237" customFormat="false" ht="15" hidden="false" customHeight="true" outlineLevel="0" collapsed="false">
      <c r="A1237" s="3" t="n">
        <v>46168.8472916667</v>
      </c>
      <c r="B1237" s="1" t="s">
        <v>6</v>
      </c>
      <c r="C1237" s="1" t="n">
        <v>1362</v>
      </c>
      <c r="D1237" s="1" t="n">
        <v>90</v>
      </c>
    </row>
    <row r="1238" customFormat="false" ht="15" hidden="false" customHeight="true" outlineLevel="0" collapsed="false">
      <c r="A1238" s="3" t="n">
        <v>46168.8472916667</v>
      </c>
      <c r="B1238" s="1" t="s">
        <v>4</v>
      </c>
      <c r="C1238" s="1" t="n">
        <v>1535</v>
      </c>
      <c r="D1238" s="1" t="n">
        <v>84</v>
      </c>
    </row>
    <row r="1239" customFormat="false" ht="15" hidden="false" customHeight="true" outlineLevel="0" collapsed="false">
      <c r="A1239" s="3" t="n">
        <v>46168.8472916667</v>
      </c>
      <c r="B1239" s="1" t="s">
        <v>5</v>
      </c>
      <c r="D1239" s="1" t="n">
        <v>58.4</v>
      </c>
    </row>
    <row r="1240" customFormat="false" ht="15" hidden="false" customHeight="true" outlineLevel="0" collapsed="false">
      <c r="A1240" s="3" t="n">
        <v>46168.8473032407</v>
      </c>
      <c r="B1240" s="1" t="s">
        <v>7</v>
      </c>
      <c r="C1240" s="1" t="n">
        <v>2119</v>
      </c>
      <c r="D1240" s="1" t="n">
        <v>63</v>
      </c>
    </row>
    <row r="1241" customFormat="false" ht="15" hidden="false" customHeight="true" outlineLevel="0" collapsed="false">
      <c r="A1241" s="3" t="n">
        <v>46168.8473032407</v>
      </c>
      <c r="B1241" s="1" t="s">
        <v>8</v>
      </c>
      <c r="C1241" s="1" t="n">
        <v>2224</v>
      </c>
      <c r="D1241" s="1" t="n">
        <v>58</v>
      </c>
    </row>
    <row r="1242" customFormat="false" ht="15" hidden="false" customHeight="true" outlineLevel="0" collapsed="false">
      <c r="A1242" s="3" t="n">
        <v>46168.8473032407</v>
      </c>
      <c r="B1242" s="1" t="s">
        <v>9</v>
      </c>
      <c r="C1242" s="1" t="n">
        <v>2128</v>
      </c>
      <c r="D1242" s="1" t="n">
        <v>70</v>
      </c>
    </row>
    <row r="1243" customFormat="false" ht="15" hidden="false" customHeight="true" outlineLevel="0" collapsed="false">
      <c r="A1243" s="3" t="n">
        <v>46168.8476388889</v>
      </c>
      <c r="B1243" s="1" t="s">
        <v>4</v>
      </c>
      <c r="C1243" s="1" t="n">
        <v>1565</v>
      </c>
      <c r="D1243" s="1" t="n">
        <v>82</v>
      </c>
    </row>
    <row r="1244" customFormat="false" ht="15" hidden="false" customHeight="true" outlineLevel="0" collapsed="false">
      <c r="A1244" s="3" t="n">
        <v>46168.8476388889</v>
      </c>
      <c r="B1244" s="1" t="s">
        <v>5</v>
      </c>
      <c r="D1244" s="1" t="n">
        <v>58.4</v>
      </c>
    </row>
    <row r="1245" customFormat="false" ht="15" hidden="false" customHeight="true" outlineLevel="0" collapsed="false">
      <c r="A1245" s="3" t="n">
        <v>46168.847650463</v>
      </c>
      <c r="B1245" s="1" t="s">
        <v>6</v>
      </c>
      <c r="C1245" s="1" t="n">
        <v>1362</v>
      </c>
      <c r="D1245" s="1" t="n">
        <v>90</v>
      </c>
    </row>
    <row r="1246" customFormat="false" ht="15" hidden="false" customHeight="true" outlineLevel="0" collapsed="false">
      <c r="A1246" s="3" t="n">
        <v>46168.847650463</v>
      </c>
      <c r="B1246" s="1" t="s">
        <v>7</v>
      </c>
      <c r="C1246" s="1" t="n">
        <v>2128</v>
      </c>
      <c r="D1246" s="1" t="n">
        <v>62</v>
      </c>
    </row>
    <row r="1247" customFormat="false" ht="15" hidden="false" customHeight="true" outlineLevel="0" collapsed="false">
      <c r="A1247" s="3" t="n">
        <v>46168.847650463</v>
      </c>
      <c r="B1247" s="1" t="s">
        <v>8</v>
      </c>
      <c r="C1247" s="1" t="n">
        <v>2224</v>
      </c>
      <c r="D1247" s="1" t="n">
        <v>58</v>
      </c>
    </row>
    <row r="1248" customFormat="false" ht="15" hidden="false" customHeight="true" outlineLevel="0" collapsed="false">
      <c r="A1248" s="3" t="n">
        <v>46168.847662037</v>
      </c>
      <c r="B1248" s="1" t="s">
        <v>9</v>
      </c>
      <c r="C1248" s="1" t="n">
        <v>2134</v>
      </c>
      <c r="D1248" s="1" t="n">
        <v>68</v>
      </c>
    </row>
    <row r="1249" customFormat="false" ht="15" hidden="false" customHeight="true" outlineLevel="0" collapsed="false">
      <c r="A1249" s="3" t="n">
        <v>46168.8479861111</v>
      </c>
      <c r="B1249" s="1" t="s">
        <v>5</v>
      </c>
      <c r="D1249" s="1" t="n">
        <v>58.4</v>
      </c>
    </row>
    <row r="1250" customFormat="false" ht="15" hidden="false" customHeight="true" outlineLevel="0" collapsed="false">
      <c r="A1250" s="3" t="n">
        <v>46168.8479976852</v>
      </c>
      <c r="B1250" s="1" t="s">
        <v>6</v>
      </c>
      <c r="C1250" s="1" t="n">
        <v>1362</v>
      </c>
      <c r="D1250" s="1" t="n">
        <v>90</v>
      </c>
    </row>
    <row r="1251" customFormat="false" ht="15" hidden="false" customHeight="true" outlineLevel="0" collapsed="false">
      <c r="A1251" s="3" t="n">
        <v>46168.8479976852</v>
      </c>
      <c r="B1251" s="1" t="s">
        <v>7</v>
      </c>
      <c r="C1251" s="1" t="n">
        <v>2128</v>
      </c>
      <c r="D1251" s="1" t="n">
        <v>62</v>
      </c>
    </row>
    <row r="1252" customFormat="false" ht="15" hidden="false" customHeight="true" outlineLevel="0" collapsed="false">
      <c r="A1252" s="3" t="n">
        <v>46168.8479976852</v>
      </c>
      <c r="B1252" s="1" t="s">
        <v>4</v>
      </c>
      <c r="C1252" s="1" t="n">
        <v>1535</v>
      </c>
      <c r="D1252" s="1" t="n">
        <v>84</v>
      </c>
    </row>
    <row r="1253" customFormat="false" ht="15" hidden="false" customHeight="true" outlineLevel="0" collapsed="false">
      <c r="A1253" s="3" t="n">
        <v>46168.8480092593</v>
      </c>
      <c r="B1253" s="1" t="s">
        <v>8</v>
      </c>
      <c r="C1253" s="1" t="n">
        <v>2224</v>
      </c>
      <c r="D1253" s="1" t="n">
        <v>58</v>
      </c>
    </row>
    <row r="1254" customFormat="false" ht="15" hidden="false" customHeight="true" outlineLevel="0" collapsed="false">
      <c r="A1254" s="3" t="n">
        <v>46168.8480092593</v>
      </c>
      <c r="B1254" s="1" t="s">
        <v>9</v>
      </c>
      <c r="C1254" s="1" t="n">
        <v>2132</v>
      </c>
      <c r="D1254" s="1" t="n">
        <v>69</v>
      </c>
    </row>
    <row r="1255" customFormat="false" ht="15" hidden="false" customHeight="true" outlineLevel="0" collapsed="false">
      <c r="A1255" s="3" t="n">
        <v>46168.8483333333</v>
      </c>
      <c r="B1255" s="1" t="s">
        <v>5</v>
      </c>
      <c r="D1255" s="1" t="n">
        <v>58.4</v>
      </c>
    </row>
    <row r="1256" customFormat="false" ht="15" hidden="false" customHeight="true" outlineLevel="0" collapsed="false">
      <c r="A1256" s="3" t="n">
        <v>46168.8483449074</v>
      </c>
      <c r="B1256" s="1" t="s">
        <v>6</v>
      </c>
      <c r="C1256" s="1" t="n">
        <v>1361</v>
      </c>
      <c r="D1256" s="1" t="n">
        <v>90</v>
      </c>
    </row>
    <row r="1257" customFormat="false" ht="15" hidden="false" customHeight="true" outlineLevel="0" collapsed="false">
      <c r="A1257" s="3" t="n">
        <v>46168.8483449074</v>
      </c>
      <c r="B1257" s="1" t="s">
        <v>7</v>
      </c>
      <c r="C1257" s="1" t="n">
        <v>2130</v>
      </c>
      <c r="D1257" s="1" t="n">
        <v>62</v>
      </c>
    </row>
    <row r="1258" customFormat="false" ht="15" hidden="false" customHeight="true" outlineLevel="0" collapsed="false">
      <c r="A1258" s="3" t="n">
        <v>46168.8483449074</v>
      </c>
      <c r="B1258" s="1" t="s">
        <v>4</v>
      </c>
      <c r="C1258" s="1" t="n">
        <v>1570</v>
      </c>
      <c r="D1258" s="1" t="n">
        <v>82</v>
      </c>
    </row>
    <row r="1259" customFormat="false" ht="15" hidden="false" customHeight="true" outlineLevel="0" collapsed="false">
      <c r="A1259" s="3" t="n">
        <v>46168.8483449074</v>
      </c>
      <c r="B1259" s="1" t="s">
        <v>8</v>
      </c>
      <c r="C1259" s="1" t="n">
        <v>2224</v>
      </c>
      <c r="D1259" s="1" t="n">
        <v>58</v>
      </c>
    </row>
    <row r="1260" customFormat="false" ht="15" hidden="false" customHeight="true" outlineLevel="0" collapsed="false">
      <c r="A1260" s="3" t="n">
        <v>46168.8483564815</v>
      </c>
      <c r="B1260" s="1" t="s">
        <v>9</v>
      </c>
      <c r="C1260" s="1" t="n">
        <v>2137</v>
      </c>
      <c r="D1260" s="1" t="n">
        <v>68</v>
      </c>
    </row>
    <row r="1261" customFormat="false" ht="15" hidden="false" customHeight="true" outlineLevel="0" collapsed="false">
      <c r="A1261" s="3" t="n">
        <v>46168.8486805556</v>
      </c>
      <c r="B1261" s="1" t="s">
        <v>5</v>
      </c>
      <c r="D1261" s="1" t="n">
        <v>58.4</v>
      </c>
    </row>
    <row r="1262" customFormat="false" ht="15" hidden="false" customHeight="true" outlineLevel="0" collapsed="false">
      <c r="A1262" s="3" t="n">
        <v>46168.8486921296</v>
      </c>
      <c r="B1262" s="1" t="s">
        <v>6</v>
      </c>
      <c r="C1262" s="1" t="n">
        <v>1360</v>
      </c>
      <c r="D1262" s="1" t="n">
        <v>90</v>
      </c>
    </row>
    <row r="1263" customFormat="false" ht="15" hidden="false" customHeight="true" outlineLevel="0" collapsed="false">
      <c r="A1263" s="3" t="n">
        <v>46168.8486921296</v>
      </c>
      <c r="B1263" s="1" t="s">
        <v>7</v>
      </c>
      <c r="C1263" s="1" t="n">
        <v>2132</v>
      </c>
      <c r="D1263" s="1" t="n">
        <v>62</v>
      </c>
    </row>
    <row r="1264" customFormat="false" ht="15" hidden="false" customHeight="true" outlineLevel="0" collapsed="false">
      <c r="A1264" s="3" t="n">
        <v>46168.8486921296</v>
      </c>
      <c r="B1264" s="1" t="s">
        <v>4</v>
      </c>
      <c r="C1264" s="1" t="n">
        <v>1552</v>
      </c>
      <c r="D1264" s="1" t="n">
        <v>83</v>
      </c>
    </row>
    <row r="1265" customFormat="false" ht="15" hidden="false" customHeight="true" outlineLevel="0" collapsed="false">
      <c r="A1265" s="3" t="n">
        <v>46168.8486921296</v>
      </c>
      <c r="B1265" s="1" t="s">
        <v>8</v>
      </c>
      <c r="C1265" s="1" t="n">
        <v>2224</v>
      </c>
      <c r="D1265" s="1" t="n">
        <v>58</v>
      </c>
    </row>
    <row r="1266" customFormat="false" ht="15" hidden="false" customHeight="true" outlineLevel="0" collapsed="false">
      <c r="A1266" s="3" t="n">
        <v>46168.8487037037</v>
      </c>
      <c r="B1266" s="1" t="s">
        <v>9</v>
      </c>
      <c r="C1266" s="1" t="n">
        <v>2134</v>
      </c>
      <c r="D1266" s="1" t="n">
        <v>68</v>
      </c>
    </row>
    <row r="1267" customFormat="false" ht="15" hidden="false" customHeight="true" outlineLevel="0" collapsed="false">
      <c r="A1267" s="3" t="n">
        <v>46168.8490393519</v>
      </c>
      <c r="B1267" s="1" t="s">
        <v>6</v>
      </c>
      <c r="C1267" s="1" t="n">
        <v>1360</v>
      </c>
      <c r="D1267" s="1" t="n">
        <v>90</v>
      </c>
    </row>
    <row r="1268" customFormat="false" ht="15" hidden="false" customHeight="true" outlineLevel="0" collapsed="false">
      <c r="A1268" s="3" t="n">
        <v>46168.8490393519</v>
      </c>
      <c r="B1268" s="1" t="s">
        <v>7</v>
      </c>
      <c r="C1268" s="1" t="n">
        <v>2135</v>
      </c>
      <c r="D1268" s="1" t="n">
        <v>62</v>
      </c>
    </row>
    <row r="1269" customFormat="false" ht="15" hidden="false" customHeight="true" outlineLevel="0" collapsed="false">
      <c r="A1269" s="3" t="n">
        <v>46168.8490393519</v>
      </c>
      <c r="B1269" s="1" t="s">
        <v>4</v>
      </c>
      <c r="C1269" s="1" t="n">
        <v>1552</v>
      </c>
      <c r="D1269" s="1" t="n">
        <v>83</v>
      </c>
    </row>
    <row r="1270" customFormat="false" ht="15" hidden="false" customHeight="true" outlineLevel="0" collapsed="false">
      <c r="A1270" s="3" t="n">
        <v>46168.8490393519</v>
      </c>
      <c r="B1270" s="1" t="s">
        <v>8</v>
      </c>
      <c r="C1270" s="1" t="n">
        <v>2224</v>
      </c>
      <c r="D1270" s="1" t="n">
        <v>58</v>
      </c>
    </row>
    <row r="1271" customFormat="false" ht="15" hidden="false" customHeight="true" outlineLevel="0" collapsed="false">
      <c r="A1271" s="3" t="n">
        <v>46168.8490393519</v>
      </c>
      <c r="B1271" s="1" t="s">
        <v>5</v>
      </c>
      <c r="D1271" s="1" t="n">
        <v>58.4</v>
      </c>
    </row>
    <row r="1272" customFormat="false" ht="15" hidden="false" customHeight="true" outlineLevel="0" collapsed="false">
      <c r="A1272" s="3" t="n">
        <v>46168.8490509259</v>
      </c>
      <c r="B1272" s="1" t="s">
        <v>9</v>
      </c>
      <c r="C1272" s="1" t="n">
        <v>2134</v>
      </c>
      <c r="D1272" s="1" t="n">
        <v>68</v>
      </c>
    </row>
    <row r="1273" customFormat="false" ht="15" hidden="false" customHeight="true" outlineLevel="0" collapsed="false">
      <c r="A1273" s="3" t="n">
        <v>46168.8493865741</v>
      </c>
      <c r="B1273" s="1" t="s">
        <v>6</v>
      </c>
      <c r="C1273" s="1" t="n">
        <v>1361</v>
      </c>
      <c r="D1273" s="1" t="n">
        <v>90</v>
      </c>
    </row>
    <row r="1274" customFormat="false" ht="15" hidden="false" customHeight="true" outlineLevel="0" collapsed="false">
      <c r="A1274" s="3" t="n">
        <v>46168.8493865741</v>
      </c>
      <c r="B1274" s="1" t="s">
        <v>7</v>
      </c>
      <c r="C1274" s="1" t="n">
        <v>2131</v>
      </c>
      <c r="D1274" s="1" t="n">
        <v>62</v>
      </c>
    </row>
    <row r="1275" customFormat="false" ht="15" hidden="false" customHeight="true" outlineLevel="0" collapsed="false">
      <c r="A1275" s="3" t="n">
        <v>46168.8493865741</v>
      </c>
      <c r="B1275" s="1" t="s">
        <v>4</v>
      </c>
      <c r="C1275" s="1" t="n">
        <v>1552</v>
      </c>
      <c r="D1275" s="1" t="n">
        <v>83</v>
      </c>
    </row>
    <row r="1276" customFormat="false" ht="15" hidden="false" customHeight="true" outlineLevel="0" collapsed="false">
      <c r="A1276" s="3" t="n">
        <v>46168.8493865741</v>
      </c>
      <c r="B1276" s="1" t="s">
        <v>5</v>
      </c>
      <c r="D1276" s="1" t="n">
        <v>58.4</v>
      </c>
    </row>
    <row r="1277" customFormat="false" ht="15" hidden="false" customHeight="true" outlineLevel="0" collapsed="false">
      <c r="A1277" s="3" t="n">
        <v>46168.8493981482</v>
      </c>
      <c r="B1277" s="1" t="s">
        <v>8</v>
      </c>
      <c r="C1277" s="1" t="n">
        <v>2227</v>
      </c>
      <c r="D1277" s="1" t="n">
        <v>58</v>
      </c>
    </row>
    <row r="1278" customFormat="false" ht="15" hidden="false" customHeight="true" outlineLevel="0" collapsed="false">
      <c r="A1278" s="3" t="n">
        <v>46168.8493981482</v>
      </c>
      <c r="B1278" s="1" t="s">
        <v>9</v>
      </c>
      <c r="C1278" s="1" t="n">
        <v>2137</v>
      </c>
      <c r="D1278" s="1" t="n">
        <v>68</v>
      </c>
    </row>
    <row r="1279" customFormat="false" ht="15" hidden="false" customHeight="true" outlineLevel="0" collapsed="false">
      <c r="A1279" s="3" t="n">
        <v>46168.8497337963</v>
      </c>
      <c r="B1279" s="1" t="s">
        <v>6</v>
      </c>
      <c r="C1279" s="1" t="n">
        <v>1366</v>
      </c>
      <c r="D1279" s="1" t="n">
        <v>89</v>
      </c>
    </row>
    <row r="1280" customFormat="false" ht="15" hidden="false" customHeight="true" outlineLevel="0" collapsed="false">
      <c r="A1280" s="3" t="n">
        <v>46168.8497337963</v>
      </c>
      <c r="B1280" s="1" t="s">
        <v>4</v>
      </c>
      <c r="C1280" s="1" t="n">
        <v>1527</v>
      </c>
      <c r="D1280" s="1" t="n">
        <v>84</v>
      </c>
    </row>
    <row r="1281" customFormat="false" ht="15" hidden="false" customHeight="true" outlineLevel="0" collapsed="false">
      <c r="A1281" s="3" t="n">
        <v>46168.8497337963</v>
      </c>
      <c r="B1281" s="1" t="s">
        <v>5</v>
      </c>
      <c r="D1281" s="1" t="n">
        <v>58.4</v>
      </c>
    </row>
    <row r="1282" customFormat="false" ht="15" hidden="false" customHeight="true" outlineLevel="0" collapsed="false">
      <c r="A1282" s="3" t="n">
        <v>46168.8497453704</v>
      </c>
      <c r="B1282" s="1" t="s">
        <v>7</v>
      </c>
      <c r="C1282" s="1" t="n">
        <v>2134</v>
      </c>
      <c r="D1282" s="1" t="n">
        <v>62</v>
      </c>
    </row>
    <row r="1283" customFormat="false" ht="15" hidden="false" customHeight="true" outlineLevel="0" collapsed="false">
      <c r="A1283" s="3" t="n">
        <v>46168.8497453704</v>
      </c>
      <c r="B1283" s="1" t="s">
        <v>8</v>
      </c>
      <c r="C1283" s="1" t="n">
        <v>2226</v>
      </c>
      <c r="D1283" s="1" t="n">
        <v>58</v>
      </c>
    </row>
    <row r="1284" customFormat="false" ht="15" hidden="false" customHeight="true" outlineLevel="0" collapsed="false">
      <c r="A1284" s="3" t="n">
        <v>46168.8497453704</v>
      </c>
      <c r="B1284" s="1" t="s">
        <v>9</v>
      </c>
      <c r="C1284" s="1" t="n">
        <v>2140</v>
      </c>
      <c r="D1284" s="1" t="n">
        <v>67</v>
      </c>
    </row>
    <row r="1285" customFormat="false" ht="15" hidden="false" customHeight="true" outlineLevel="0" collapsed="false">
      <c r="A1285" s="3" t="n">
        <v>46168.8500810185</v>
      </c>
      <c r="B1285" s="1" t="s">
        <v>4</v>
      </c>
      <c r="C1285" s="1" t="n">
        <v>1569</v>
      </c>
      <c r="D1285" s="1" t="n">
        <v>82</v>
      </c>
    </row>
    <row r="1286" customFormat="false" ht="15" hidden="false" customHeight="true" outlineLevel="0" collapsed="false">
      <c r="A1286" s="3" t="n">
        <v>46168.8500810185</v>
      </c>
      <c r="B1286" s="1" t="s">
        <v>5</v>
      </c>
      <c r="D1286" s="1" t="n">
        <v>58.4</v>
      </c>
    </row>
    <row r="1287" customFormat="false" ht="15" hidden="false" customHeight="true" outlineLevel="0" collapsed="false">
      <c r="A1287" s="3" t="n">
        <v>46168.8500925926</v>
      </c>
      <c r="B1287" s="1" t="s">
        <v>6</v>
      </c>
      <c r="C1287" s="1" t="n">
        <v>1367</v>
      </c>
      <c r="D1287" s="1" t="n">
        <v>89</v>
      </c>
    </row>
    <row r="1288" customFormat="false" ht="15" hidden="false" customHeight="true" outlineLevel="0" collapsed="false">
      <c r="A1288" s="3" t="n">
        <v>46168.8500925926</v>
      </c>
      <c r="B1288" s="1" t="s">
        <v>7</v>
      </c>
      <c r="C1288" s="1" t="n">
        <v>2138</v>
      </c>
      <c r="D1288" s="1" t="n">
        <v>61</v>
      </c>
    </row>
    <row r="1289" customFormat="false" ht="15" hidden="false" customHeight="true" outlineLevel="0" collapsed="false">
      <c r="A1289" s="3" t="n">
        <v>46168.8500925926</v>
      </c>
      <c r="B1289" s="1" t="s">
        <v>8</v>
      </c>
      <c r="C1289" s="1" t="n">
        <v>2228</v>
      </c>
      <c r="D1289" s="1" t="n">
        <v>58</v>
      </c>
    </row>
    <row r="1290" customFormat="false" ht="15" hidden="false" customHeight="true" outlineLevel="0" collapsed="false">
      <c r="A1290" s="3" t="n">
        <v>46168.8500925926</v>
      </c>
      <c r="B1290" s="1" t="s">
        <v>9</v>
      </c>
      <c r="C1290" s="1" t="n">
        <v>2149</v>
      </c>
      <c r="D1290" s="1" t="n">
        <v>66</v>
      </c>
    </row>
    <row r="1291" customFormat="false" ht="15" hidden="false" customHeight="true" outlineLevel="0" collapsed="false">
      <c r="A1291" s="3" t="n">
        <v>46168.8504282407</v>
      </c>
      <c r="B1291" s="1" t="s">
        <v>4</v>
      </c>
      <c r="C1291" s="1" t="n">
        <v>1535</v>
      </c>
      <c r="D1291" s="1" t="n">
        <v>84</v>
      </c>
    </row>
    <row r="1292" customFormat="false" ht="15" hidden="false" customHeight="true" outlineLevel="0" collapsed="false">
      <c r="A1292" s="3" t="n">
        <v>46168.8504282407</v>
      </c>
      <c r="B1292" s="1" t="s">
        <v>5</v>
      </c>
      <c r="D1292" s="1" t="n">
        <v>58.4</v>
      </c>
    </row>
    <row r="1293" customFormat="false" ht="15" hidden="false" customHeight="true" outlineLevel="0" collapsed="false">
      <c r="A1293" s="3" t="n">
        <v>46168.8504398148</v>
      </c>
      <c r="B1293" s="1" t="s">
        <v>6</v>
      </c>
      <c r="C1293" s="1" t="n">
        <v>1363</v>
      </c>
      <c r="D1293" s="1" t="n">
        <v>90</v>
      </c>
    </row>
    <row r="1294" customFormat="false" ht="15" hidden="false" customHeight="true" outlineLevel="0" collapsed="false">
      <c r="A1294" s="3" t="n">
        <v>46168.8504398148</v>
      </c>
      <c r="B1294" s="1" t="s">
        <v>7</v>
      </c>
      <c r="C1294" s="1" t="n">
        <v>2141</v>
      </c>
      <c r="D1294" s="1" t="n">
        <v>61</v>
      </c>
    </row>
    <row r="1295" customFormat="false" ht="15" hidden="false" customHeight="true" outlineLevel="0" collapsed="false">
      <c r="A1295" s="3" t="n">
        <v>46168.8504398148</v>
      </c>
      <c r="B1295" s="1" t="s">
        <v>8</v>
      </c>
      <c r="C1295" s="1" t="n">
        <v>2228</v>
      </c>
      <c r="D1295" s="1" t="n">
        <v>58</v>
      </c>
    </row>
    <row r="1296" customFormat="false" ht="15" hidden="false" customHeight="true" outlineLevel="0" collapsed="false">
      <c r="A1296" s="3" t="n">
        <v>46168.8504398148</v>
      </c>
      <c r="B1296" s="1" t="s">
        <v>9</v>
      </c>
      <c r="C1296" s="1" t="n">
        <v>2145</v>
      </c>
      <c r="D1296" s="1" t="n">
        <v>67</v>
      </c>
    </row>
    <row r="1297" customFormat="false" ht="15" hidden="false" customHeight="true" outlineLevel="0" collapsed="false">
      <c r="A1297" s="3" t="n">
        <v>46168.850775463</v>
      </c>
      <c r="B1297" s="1" t="s">
        <v>4</v>
      </c>
      <c r="C1297" s="1" t="n">
        <v>1535</v>
      </c>
      <c r="D1297" s="1" t="n">
        <v>84</v>
      </c>
    </row>
    <row r="1298" customFormat="false" ht="15" hidden="false" customHeight="true" outlineLevel="0" collapsed="false">
      <c r="A1298" s="3" t="n">
        <v>46168.850775463</v>
      </c>
      <c r="B1298" s="1" t="s">
        <v>5</v>
      </c>
      <c r="D1298" s="1" t="n">
        <v>58.4</v>
      </c>
    </row>
    <row r="1299" customFormat="false" ht="15" hidden="false" customHeight="true" outlineLevel="0" collapsed="false">
      <c r="A1299" s="3" t="n">
        <v>46168.850787037</v>
      </c>
      <c r="B1299" s="1" t="s">
        <v>6</v>
      </c>
      <c r="C1299" s="1" t="n">
        <v>1280</v>
      </c>
      <c r="D1299" s="1" t="n">
        <v>95</v>
      </c>
    </row>
    <row r="1300" customFormat="false" ht="15" hidden="false" customHeight="true" outlineLevel="0" collapsed="false">
      <c r="A1300" s="3" t="n">
        <v>46168.850787037</v>
      </c>
      <c r="B1300" s="1" t="s">
        <v>7</v>
      </c>
      <c r="C1300" s="1" t="n">
        <v>2141</v>
      </c>
      <c r="D1300" s="1" t="n">
        <v>61</v>
      </c>
    </row>
    <row r="1301" customFormat="false" ht="15" hidden="false" customHeight="true" outlineLevel="0" collapsed="false">
      <c r="A1301" s="3" t="n">
        <v>46168.850787037</v>
      </c>
      <c r="B1301" s="1" t="s">
        <v>8</v>
      </c>
      <c r="C1301" s="1" t="n">
        <v>2228</v>
      </c>
      <c r="D1301" s="1" t="n">
        <v>58</v>
      </c>
    </row>
    <row r="1302" customFormat="false" ht="15" hidden="false" customHeight="true" outlineLevel="0" collapsed="false">
      <c r="A1302" s="3" t="n">
        <v>46168.850787037</v>
      </c>
      <c r="B1302" s="1" t="s">
        <v>9</v>
      </c>
      <c r="C1302" s="1" t="n">
        <v>2144</v>
      </c>
      <c r="D1302" s="1" t="n">
        <v>67</v>
      </c>
    </row>
    <row r="1303" customFormat="false" ht="15" hidden="false" customHeight="true" outlineLevel="0" collapsed="false">
      <c r="A1303" s="3" t="n">
        <v>46168.8511226852</v>
      </c>
      <c r="B1303" s="1" t="s">
        <v>4</v>
      </c>
      <c r="C1303" s="1" t="n">
        <v>1581</v>
      </c>
      <c r="D1303" s="1" t="n">
        <v>81</v>
      </c>
    </row>
    <row r="1304" customFormat="false" ht="15" hidden="false" customHeight="true" outlineLevel="0" collapsed="false">
      <c r="A1304" s="3" t="n">
        <v>46168.8511226852</v>
      </c>
      <c r="B1304" s="1" t="s">
        <v>5</v>
      </c>
      <c r="D1304" s="1" t="n">
        <v>58.4</v>
      </c>
    </row>
    <row r="1305" customFormat="false" ht="15" hidden="false" customHeight="true" outlineLevel="0" collapsed="false">
      <c r="A1305" s="3" t="n">
        <v>46168.8511342593</v>
      </c>
      <c r="B1305" s="1" t="s">
        <v>6</v>
      </c>
      <c r="C1305" s="1" t="n">
        <v>1374</v>
      </c>
      <c r="D1305" s="1" t="n">
        <v>89</v>
      </c>
    </row>
    <row r="1306" customFormat="false" ht="15" hidden="false" customHeight="true" outlineLevel="0" collapsed="false">
      <c r="A1306" s="3" t="n">
        <v>46168.8511342593</v>
      </c>
      <c r="B1306" s="1" t="s">
        <v>7</v>
      </c>
      <c r="C1306" s="1" t="n">
        <v>2138</v>
      </c>
      <c r="D1306" s="1" t="n">
        <v>61</v>
      </c>
    </row>
    <row r="1307" customFormat="false" ht="15" hidden="false" customHeight="true" outlineLevel="0" collapsed="false">
      <c r="A1307" s="3" t="n">
        <v>46168.8511458333</v>
      </c>
      <c r="B1307" s="1" t="s">
        <v>8</v>
      </c>
      <c r="C1307" s="1" t="n">
        <v>2227</v>
      </c>
      <c r="D1307" s="1" t="n">
        <v>58</v>
      </c>
    </row>
    <row r="1308" customFormat="false" ht="15" hidden="false" customHeight="true" outlineLevel="0" collapsed="false">
      <c r="A1308" s="3" t="n">
        <v>46168.8511574074</v>
      </c>
      <c r="B1308" s="1" t="s">
        <v>9</v>
      </c>
      <c r="C1308" s="1" t="n">
        <v>2147</v>
      </c>
      <c r="D1308" s="1" t="n">
        <v>66</v>
      </c>
    </row>
    <row r="1309" customFormat="false" ht="15" hidden="false" customHeight="true" outlineLevel="0" collapsed="false">
      <c r="A1309" s="3" t="n">
        <v>46168.8514814815</v>
      </c>
      <c r="B1309" s="1" t="s">
        <v>5</v>
      </c>
      <c r="D1309" s="1" t="n">
        <v>58.4</v>
      </c>
    </row>
    <row r="1310" customFormat="false" ht="15" hidden="false" customHeight="true" outlineLevel="0" collapsed="false">
      <c r="A1310" s="3" t="n">
        <v>46168.8514930556</v>
      </c>
      <c r="B1310" s="1" t="s">
        <v>6</v>
      </c>
      <c r="C1310" s="1" t="n">
        <v>1437</v>
      </c>
      <c r="D1310" s="1" t="n">
        <v>85</v>
      </c>
    </row>
    <row r="1311" customFormat="false" ht="15" hidden="false" customHeight="true" outlineLevel="0" collapsed="false">
      <c r="A1311" s="3" t="n">
        <v>46168.8514930556</v>
      </c>
      <c r="B1311" s="1" t="s">
        <v>7</v>
      </c>
      <c r="C1311" s="1" t="n">
        <v>2145</v>
      </c>
      <c r="D1311" s="1" t="n">
        <v>61</v>
      </c>
    </row>
    <row r="1312" customFormat="false" ht="15" hidden="false" customHeight="true" outlineLevel="0" collapsed="false">
      <c r="A1312" s="3" t="n">
        <v>46168.8514930556</v>
      </c>
      <c r="B1312" s="1" t="s">
        <v>4</v>
      </c>
      <c r="C1312" s="1" t="n">
        <v>1569</v>
      </c>
      <c r="D1312" s="1" t="n">
        <v>82</v>
      </c>
    </row>
    <row r="1313" customFormat="false" ht="15" hidden="false" customHeight="true" outlineLevel="0" collapsed="false">
      <c r="A1313" s="3" t="n">
        <v>46168.8515046296</v>
      </c>
      <c r="B1313" s="1" t="s">
        <v>8</v>
      </c>
      <c r="C1313" s="1" t="n">
        <v>2237</v>
      </c>
      <c r="D1313" s="1" t="n">
        <v>57</v>
      </c>
    </row>
    <row r="1314" customFormat="false" ht="15" hidden="false" customHeight="true" outlineLevel="0" collapsed="false">
      <c r="A1314" s="3" t="n">
        <v>46168.8515046296</v>
      </c>
      <c r="B1314" s="1" t="s">
        <v>9</v>
      </c>
      <c r="C1314" s="1" t="n">
        <v>2146</v>
      </c>
      <c r="D1314" s="1" t="n">
        <v>66</v>
      </c>
    </row>
    <row r="1315" customFormat="false" ht="15" hidden="false" customHeight="true" outlineLevel="0" collapsed="false">
      <c r="A1315" s="3" t="n">
        <v>46168.8518402778</v>
      </c>
      <c r="B1315" s="1" t="s">
        <v>6</v>
      </c>
      <c r="C1315" s="1" t="n">
        <v>1363</v>
      </c>
      <c r="D1315" s="1" t="n">
        <v>90</v>
      </c>
    </row>
    <row r="1316" customFormat="false" ht="15" hidden="false" customHeight="true" outlineLevel="0" collapsed="false">
      <c r="A1316" s="3" t="n">
        <v>46168.8518402778</v>
      </c>
      <c r="B1316" s="1" t="s">
        <v>4</v>
      </c>
      <c r="C1316" s="1" t="n">
        <v>1535</v>
      </c>
      <c r="D1316" s="1" t="n">
        <v>84</v>
      </c>
    </row>
    <row r="1317" customFormat="false" ht="15" hidden="false" customHeight="true" outlineLevel="0" collapsed="false">
      <c r="A1317" s="3" t="n">
        <v>46168.8518402778</v>
      </c>
      <c r="B1317" s="1" t="s">
        <v>5</v>
      </c>
      <c r="D1317" s="1" t="n">
        <v>58.2</v>
      </c>
    </row>
    <row r="1318" customFormat="false" ht="15" hidden="false" customHeight="true" outlineLevel="0" collapsed="false">
      <c r="A1318" s="3" t="n">
        <v>46168.8518518519</v>
      </c>
      <c r="B1318" s="1" t="s">
        <v>7</v>
      </c>
      <c r="C1318" s="1" t="n">
        <v>2143</v>
      </c>
      <c r="D1318" s="1" t="n">
        <v>61</v>
      </c>
    </row>
    <row r="1319" customFormat="false" ht="15" hidden="false" customHeight="true" outlineLevel="0" collapsed="false">
      <c r="A1319" s="3" t="n">
        <v>46168.8518518519</v>
      </c>
      <c r="B1319" s="1" t="s">
        <v>8</v>
      </c>
      <c r="C1319" s="1" t="n">
        <v>2235</v>
      </c>
      <c r="D1319" s="1" t="n">
        <v>57</v>
      </c>
    </row>
    <row r="1320" customFormat="false" ht="15" hidden="false" customHeight="true" outlineLevel="0" collapsed="false">
      <c r="A1320" s="3" t="n">
        <v>46168.8518518519</v>
      </c>
      <c r="B1320" s="1" t="s">
        <v>9</v>
      </c>
      <c r="C1320" s="1" t="n">
        <v>2146</v>
      </c>
      <c r="D1320" s="1" t="n">
        <v>66</v>
      </c>
    </row>
    <row r="1321" customFormat="false" ht="15" hidden="false" customHeight="true" outlineLevel="0" collapsed="false">
      <c r="A1321" s="3" t="n">
        <v>46168.8521875</v>
      </c>
      <c r="B1321" s="1" t="s">
        <v>4</v>
      </c>
      <c r="C1321" s="1" t="n">
        <v>1571</v>
      </c>
      <c r="D1321" s="1" t="n">
        <v>81</v>
      </c>
    </row>
    <row r="1322" customFormat="false" ht="15" hidden="false" customHeight="true" outlineLevel="0" collapsed="false">
      <c r="A1322" s="3" t="n">
        <v>46168.8521875</v>
      </c>
      <c r="B1322" s="1" t="s">
        <v>5</v>
      </c>
      <c r="D1322" s="1" t="n">
        <v>58.4</v>
      </c>
    </row>
    <row r="1323" customFormat="false" ht="15" hidden="false" customHeight="true" outlineLevel="0" collapsed="false">
      <c r="A1323" s="3" t="n">
        <v>46168.8521990741</v>
      </c>
      <c r="B1323" s="1" t="s">
        <v>6</v>
      </c>
      <c r="C1323" s="1" t="n">
        <v>1375</v>
      </c>
      <c r="D1323" s="1" t="n">
        <v>89</v>
      </c>
    </row>
    <row r="1324" customFormat="false" ht="15" hidden="false" customHeight="true" outlineLevel="0" collapsed="false">
      <c r="A1324" s="3" t="n">
        <v>46168.8521990741</v>
      </c>
      <c r="B1324" s="1" t="s">
        <v>7</v>
      </c>
      <c r="C1324" s="1" t="n">
        <v>2146</v>
      </c>
      <c r="D1324" s="1" t="n">
        <v>61</v>
      </c>
    </row>
    <row r="1325" customFormat="false" ht="15" hidden="false" customHeight="true" outlineLevel="0" collapsed="false">
      <c r="A1325" s="3" t="n">
        <v>46168.8522106482</v>
      </c>
      <c r="B1325" s="1" t="s">
        <v>8</v>
      </c>
      <c r="C1325" s="1" t="n">
        <v>2231</v>
      </c>
      <c r="D1325" s="1" t="n">
        <v>57</v>
      </c>
    </row>
    <row r="1326" customFormat="false" ht="15" hidden="false" customHeight="true" outlineLevel="0" collapsed="false">
      <c r="A1326" s="3" t="n">
        <v>46168.8522106482</v>
      </c>
      <c r="B1326" s="1" t="s">
        <v>9</v>
      </c>
      <c r="C1326" s="1" t="n">
        <v>2157</v>
      </c>
      <c r="D1326" s="1" t="n">
        <v>64</v>
      </c>
    </row>
    <row r="1327" customFormat="false" ht="15" hidden="false" customHeight="true" outlineLevel="0" collapsed="false">
      <c r="A1327" s="3" t="n">
        <v>46168.8525462963</v>
      </c>
      <c r="B1327" s="1" t="s">
        <v>6</v>
      </c>
      <c r="C1327" s="1" t="n">
        <v>1363</v>
      </c>
      <c r="D1327" s="1" t="n">
        <v>90</v>
      </c>
    </row>
    <row r="1328" customFormat="false" ht="15" hidden="false" customHeight="true" outlineLevel="0" collapsed="false">
      <c r="A1328" s="3" t="n">
        <v>46168.8525462963</v>
      </c>
      <c r="B1328" s="1" t="s">
        <v>7</v>
      </c>
      <c r="C1328" s="1" t="n">
        <v>2148</v>
      </c>
      <c r="D1328" s="1" t="n">
        <v>61</v>
      </c>
    </row>
    <row r="1329" customFormat="false" ht="15" hidden="false" customHeight="true" outlineLevel="0" collapsed="false">
      <c r="A1329" s="3" t="n">
        <v>46168.8525462963</v>
      </c>
      <c r="B1329" s="1" t="s">
        <v>4</v>
      </c>
      <c r="C1329" s="1" t="n">
        <v>1581</v>
      </c>
      <c r="D1329" s="1" t="n">
        <v>81</v>
      </c>
    </row>
    <row r="1330" customFormat="false" ht="15" hidden="false" customHeight="true" outlineLevel="0" collapsed="false">
      <c r="A1330" s="3" t="n">
        <v>46168.8525462963</v>
      </c>
      <c r="B1330" s="1" t="s">
        <v>5</v>
      </c>
      <c r="D1330" s="1" t="n">
        <v>58.4</v>
      </c>
    </row>
    <row r="1331" customFormat="false" ht="15" hidden="false" customHeight="true" outlineLevel="0" collapsed="false">
      <c r="A1331" s="3" t="n">
        <v>46168.8525578704</v>
      </c>
      <c r="B1331" s="1" t="s">
        <v>8</v>
      </c>
      <c r="C1331" s="1" t="n">
        <v>2233</v>
      </c>
      <c r="D1331" s="1" t="n">
        <v>57</v>
      </c>
    </row>
    <row r="1332" customFormat="false" ht="15" hidden="false" customHeight="true" outlineLevel="0" collapsed="false">
      <c r="A1332" s="3" t="n">
        <v>46168.8525578704</v>
      </c>
      <c r="B1332" s="1" t="s">
        <v>9</v>
      </c>
      <c r="C1332" s="1" t="n">
        <v>2150</v>
      </c>
      <c r="D1332" s="1" t="n">
        <v>66</v>
      </c>
    </row>
    <row r="1333" customFormat="false" ht="15" hidden="false" customHeight="true" outlineLevel="0" collapsed="false">
      <c r="A1333" s="3" t="n">
        <v>46168.8528935185</v>
      </c>
      <c r="B1333" s="1" t="s">
        <v>6</v>
      </c>
      <c r="C1333" s="1" t="n">
        <v>1361</v>
      </c>
      <c r="D1333" s="1" t="n">
        <v>90</v>
      </c>
    </row>
    <row r="1334" customFormat="false" ht="15" hidden="false" customHeight="true" outlineLevel="0" collapsed="false">
      <c r="A1334" s="3" t="n">
        <v>46168.8528935185</v>
      </c>
      <c r="B1334" s="1" t="s">
        <v>4</v>
      </c>
      <c r="C1334" s="1" t="n">
        <v>1557</v>
      </c>
      <c r="D1334" s="1" t="n">
        <v>82</v>
      </c>
    </row>
    <row r="1335" customFormat="false" ht="15" hidden="false" customHeight="true" outlineLevel="0" collapsed="false">
      <c r="A1335" s="3" t="n">
        <v>46168.8528935185</v>
      </c>
      <c r="B1335" s="1" t="s">
        <v>5</v>
      </c>
      <c r="D1335" s="1" t="n">
        <v>58.4</v>
      </c>
    </row>
    <row r="1336" customFormat="false" ht="15" hidden="false" customHeight="true" outlineLevel="0" collapsed="false">
      <c r="A1336" s="3" t="n">
        <v>46168.8529050926</v>
      </c>
      <c r="B1336" s="1" t="s">
        <v>7</v>
      </c>
      <c r="C1336" s="1" t="n">
        <v>2148</v>
      </c>
      <c r="D1336" s="1" t="n">
        <v>61</v>
      </c>
    </row>
    <row r="1337" customFormat="false" ht="15" hidden="false" customHeight="true" outlineLevel="0" collapsed="false">
      <c r="A1337" s="3" t="n">
        <v>46168.8529050926</v>
      </c>
      <c r="B1337" s="1" t="s">
        <v>8</v>
      </c>
      <c r="C1337" s="1" t="n">
        <v>2228</v>
      </c>
      <c r="D1337" s="1" t="n">
        <v>58</v>
      </c>
    </row>
    <row r="1338" customFormat="false" ht="15" hidden="false" customHeight="true" outlineLevel="0" collapsed="false">
      <c r="A1338" s="3" t="n">
        <v>46168.8529050926</v>
      </c>
      <c r="B1338" s="1" t="s">
        <v>9</v>
      </c>
      <c r="C1338" s="1" t="n">
        <v>2149</v>
      </c>
      <c r="D1338" s="1" t="n">
        <v>66</v>
      </c>
    </row>
    <row r="1339" customFormat="false" ht="15" hidden="false" customHeight="true" outlineLevel="0" collapsed="false">
      <c r="A1339" s="3" t="n">
        <v>46168.8532407407</v>
      </c>
      <c r="B1339" s="1" t="s">
        <v>6</v>
      </c>
      <c r="C1339" s="1" t="n">
        <v>1361</v>
      </c>
      <c r="D1339" s="1" t="n">
        <v>90</v>
      </c>
    </row>
    <row r="1340" customFormat="false" ht="15" hidden="false" customHeight="true" outlineLevel="0" collapsed="false">
      <c r="A1340" s="3" t="n">
        <v>46168.8532407407</v>
      </c>
      <c r="B1340" s="1" t="s">
        <v>4</v>
      </c>
      <c r="C1340" s="1" t="n">
        <v>1530</v>
      </c>
      <c r="D1340" s="1" t="n">
        <v>84</v>
      </c>
    </row>
    <row r="1341" customFormat="false" ht="15" hidden="false" customHeight="true" outlineLevel="0" collapsed="false">
      <c r="A1341" s="3" t="n">
        <v>46168.8532407407</v>
      </c>
      <c r="B1341" s="1" t="s">
        <v>5</v>
      </c>
      <c r="D1341" s="1" t="n">
        <v>58.4</v>
      </c>
    </row>
    <row r="1342" customFormat="false" ht="15" hidden="false" customHeight="true" outlineLevel="0" collapsed="false">
      <c r="A1342" s="3" t="n">
        <v>46168.8532523148</v>
      </c>
      <c r="B1342" s="1" t="s">
        <v>7</v>
      </c>
      <c r="C1342" s="1" t="n">
        <v>2146</v>
      </c>
      <c r="D1342" s="1" t="n">
        <v>61</v>
      </c>
    </row>
    <row r="1343" customFormat="false" ht="15" hidden="false" customHeight="true" outlineLevel="0" collapsed="false">
      <c r="A1343" s="3" t="n">
        <v>46168.8532523148</v>
      </c>
      <c r="B1343" s="1" t="s">
        <v>8</v>
      </c>
      <c r="C1343" s="1" t="n">
        <v>2231</v>
      </c>
      <c r="D1343" s="1" t="n">
        <v>57</v>
      </c>
    </row>
    <row r="1344" customFormat="false" ht="15" hidden="false" customHeight="true" outlineLevel="0" collapsed="false">
      <c r="A1344" s="3" t="n">
        <v>46168.8532523148</v>
      </c>
      <c r="B1344" s="1" t="s">
        <v>9</v>
      </c>
      <c r="C1344" s="1" t="n">
        <v>2153</v>
      </c>
      <c r="D1344" s="1" t="n">
        <v>65</v>
      </c>
    </row>
    <row r="1345" customFormat="false" ht="15" hidden="false" customHeight="true" outlineLevel="0" collapsed="false">
      <c r="A1345" s="3" t="n">
        <v>46168.853587963</v>
      </c>
      <c r="B1345" s="1" t="s">
        <v>4</v>
      </c>
      <c r="C1345" s="1" t="n">
        <v>1573</v>
      </c>
      <c r="D1345" s="1" t="n">
        <v>81</v>
      </c>
    </row>
    <row r="1346" customFormat="false" ht="15" hidden="false" customHeight="true" outlineLevel="0" collapsed="false">
      <c r="A1346" s="3" t="n">
        <v>46168.853587963</v>
      </c>
      <c r="B1346" s="1" t="s">
        <v>5</v>
      </c>
      <c r="D1346" s="1" t="n">
        <v>58.4</v>
      </c>
    </row>
    <row r="1347" customFormat="false" ht="15" hidden="false" customHeight="true" outlineLevel="0" collapsed="false">
      <c r="A1347" s="3" t="n">
        <v>46168.853599537</v>
      </c>
      <c r="B1347" s="1" t="s">
        <v>6</v>
      </c>
      <c r="C1347" s="1" t="n">
        <v>1360</v>
      </c>
      <c r="D1347" s="1" t="n">
        <v>90</v>
      </c>
    </row>
    <row r="1348" customFormat="false" ht="15" hidden="false" customHeight="true" outlineLevel="0" collapsed="false">
      <c r="A1348" s="3" t="n">
        <v>46168.853599537</v>
      </c>
      <c r="B1348" s="1" t="s">
        <v>7</v>
      </c>
      <c r="C1348" s="1" t="n">
        <v>2153</v>
      </c>
      <c r="D1348" s="1" t="n">
        <v>60</v>
      </c>
    </row>
    <row r="1349" customFormat="false" ht="15" hidden="false" customHeight="true" outlineLevel="0" collapsed="false">
      <c r="A1349" s="3" t="n">
        <v>46168.853599537</v>
      </c>
      <c r="B1349" s="1" t="s">
        <v>8</v>
      </c>
      <c r="C1349" s="1" t="n">
        <v>2238</v>
      </c>
      <c r="D1349" s="1" t="n">
        <v>56</v>
      </c>
    </row>
    <row r="1350" customFormat="false" ht="15" hidden="false" customHeight="true" outlineLevel="0" collapsed="false">
      <c r="A1350" s="3" t="n">
        <v>46168.8536111111</v>
      </c>
      <c r="B1350" s="1" t="s">
        <v>9</v>
      </c>
      <c r="C1350" s="1" t="n">
        <v>2155</v>
      </c>
      <c r="D1350" s="1" t="n">
        <v>65</v>
      </c>
    </row>
    <row r="1351" customFormat="false" ht="15" hidden="false" customHeight="true" outlineLevel="0" collapsed="false">
      <c r="A1351" s="3" t="n">
        <v>46168.8539351852</v>
      </c>
      <c r="B1351" s="1" t="s">
        <v>4</v>
      </c>
      <c r="C1351" s="1" t="n">
        <v>1587</v>
      </c>
      <c r="D1351" s="1" t="n">
        <v>80</v>
      </c>
    </row>
    <row r="1352" customFormat="false" ht="15" hidden="false" customHeight="true" outlineLevel="0" collapsed="false">
      <c r="A1352" s="3" t="n">
        <v>46168.8539351852</v>
      </c>
      <c r="B1352" s="1" t="s">
        <v>5</v>
      </c>
      <c r="D1352" s="1" t="n">
        <v>58.4</v>
      </c>
    </row>
    <row r="1353" customFormat="false" ht="15" hidden="false" customHeight="true" outlineLevel="0" collapsed="false">
      <c r="A1353" s="3" t="n">
        <v>46168.8539467593</v>
      </c>
      <c r="B1353" s="1" t="s">
        <v>6</v>
      </c>
      <c r="C1353" s="1" t="n">
        <v>1362</v>
      </c>
      <c r="D1353" s="1" t="n">
        <v>90</v>
      </c>
    </row>
    <row r="1354" customFormat="false" ht="15" hidden="false" customHeight="true" outlineLevel="0" collapsed="false">
      <c r="A1354" s="3" t="n">
        <v>46168.8539467593</v>
      </c>
      <c r="B1354" s="1" t="s">
        <v>7</v>
      </c>
      <c r="C1354" s="1" t="n">
        <v>2155</v>
      </c>
      <c r="D1354" s="1" t="n">
        <v>60</v>
      </c>
    </row>
    <row r="1355" customFormat="false" ht="15" hidden="false" customHeight="true" outlineLevel="0" collapsed="false">
      <c r="A1355" s="3" t="n">
        <v>46168.8539467593</v>
      </c>
      <c r="B1355" s="1" t="s">
        <v>8</v>
      </c>
      <c r="C1355" s="1" t="n">
        <v>2238</v>
      </c>
      <c r="D1355" s="1" t="n">
        <v>56</v>
      </c>
    </row>
    <row r="1356" customFormat="false" ht="15" hidden="false" customHeight="true" outlineLevel="0" collapsed="false">
      <c r="A1356" s="3" t="n">
        <v>46168.8539467593</v>
      </c>
      <c r="B1356" s="1" t="s">
        <v>9</v>
      </c>
      <c r="C1356" s="1" t="n">
        <v>2159</v>
      </c>
      <c r="D1356" s="1" t="n">
        <v>64</v>
      </c>
    </row>
    <row r="1357" customFormat="false" ht="15" hidden="false" customHeight="true" outlineLevel="0" collapsed="false">
      <c r="A1357" s="3" t="n">
        <v>46168.8542824074</v>
      </c>
      <c r="B1357" s="1" t="s">
        <v>4</v>
      </c>
      <c r="C1357" s="1" t="n">
        <v>1556</v>
      </c>
      <c r="D1357" s="1" t="n">
        <v>82</v>
      </c>
    </row>
    <row r="1358" customFormat="false" ht="15" hidden="false" customHeight="true" outlineLevel="0" collapsed="false">
      <c r="A1358" s="3" t="n">
        <v>46168.8542824074</v>
      </c>
      <c r="B1358" s="1" t="s">
        <v>5</v>
      </c>
      <c r="D1358" s="1" t="n">
        <v>58.4</v>
      </c>
    </row>
    <row r="1359" customFormat="false" ht="15" hidden="false" customHeight="true" outlineLevel="0" collapsed="false">
      <c r="A1359" s="3" t="n">
        <v>46168.8542939815</v>
      </c>
      <c r="B1359" s="1" t="s">
        <v>6</v>
      </c>
      <c r="C1359" s="1" t="n">
        <v>1362</v>
      </c>
      <c r="D1359" s="1" t="n">
        <v>90</v>
      </c>
    </row>
    <row r="1360" customFormat="false" ht="15" hidden="false" customHeight="true" outlineLevel="0" collapsed="false">
      <c r="A1360" s="3" t="n">
        <v>46168.8542939815</v>
      </c>
      <c r="B1360" s="1" t="s">
        <v>7</v>
      </c>
      <c r="C1360" s="1" t="n">
        <v>2157</v>
      </c>
      <c r="D1360" s="1" t="n">
        <v>60</v>
      </c>
    </row>
    <row r="1361" customFormat="false" ht="15" hidden="false" customHeight="true" outlineLevel="0" collapsed="false">
      <c r="A1361" s="3" t="n">
        <v>46168.8542939815</v>
      </c>
      <c r="B1361" s="1" t="s">
        <v>8</v>
      </c>
      <c r="C1361" s="1" t="n">
        <v>2238</v>
      </c>
      <c r="D1361" s="1" t="n">
        <v>56</v>
      </c>
    </row>
    <row r="1362" customFormat="false" ht="15" hidden="false" customHeight="true" outlineLevel="0" collapsed="false">
      <c r="A1362" s="3" t="n">
        <v>46168.8543055556</v>
      </c>
      <c r="B1362" s="1" t="s">
        <v>9</v>
      </c>
      <c r="C1362" s="1" t="n">
        <v>2139</v>
      </c>
      <c r="D1362" s="1" t="n">
        <v>68</v>
      </c>
    </row>
    <row r="1363" customFormat="false" ht="15" hidden="false" customHeight="true" outlineLevel="0" collapsed="false">
      <c r="A1363" s="3" t="n">
        <v>46168.8546296296</v>
      </c>
      <c r="B1363" s="1" t="s">
        <v>5</v>
      </c>
      <c r="D1363" s="1" t="n">
        <v>58.4</v>
      </c>
    </row>
    <row r="1364" customFormat="false" ht="15" hidden="false" customHeight="true" outlineLevel="0" collapsed="false">
      <c r="A1364" s="3" t="n">
        <v>46168.8546412037</v>
      </c>
      <c r="B1364" s="1" t="s">
        <v>6</v>
      </c>
      <c r="C1364" s="1" t="n">
        <v>1360</v>
      </c>
      <c r="D1364" s="1" t="n">
        <v>90</v>
      </c>
    </row>
    <row r="1365" customFormat="false" ht="15" hidden="false" customHeight="true" outlineLevel="0" collapsed="false">
      <c r="A1365" s="3" t="n">
        <v>46168.8546412037</v>
      </c>
      <c r="B1365" s="1" t="s">
        <v>7</v>
      </c>
      <c r="C1365" s="1" t="n">
        <v>2151</v>
      </c>
      <c r="D1365" s="1" t="n">
        <v>60</v>
      </c>
    </row>
    <row r="1366" customFormat="false" ht="15" hidden="false" customHeight="true" outlineLevel="0" collapsed="false">
      <c r="A1366" s="3" t="n">
        <v>46168.8546412037</v>
      </c>
      <c r="B1366" s="1" t="s">
        <v>4</v>
      </c>
      <c r="C1366" s="1" t="n">
        <v>1535</v>
      </c>
      <c r="D1366" s="1" t="n">
        <v>84</v>
      </c>
    </row>
    <row r="1367" customFormat="false" ht="15" hidden="false" customHeight="true" outlineLevel="0" collapsed="false">
      <c r="A1367" s="3" t="n">
        <v>46168.8546412037</v>
      </c>
      <c r="B1367" s="1" t="s">
        <v>8</v>
      </c>
      <c r="C1367" s="1" t="n">
        <v>2243</v>
      </c>
      <c r="D1367" s="1" t="n">
        <v>56</v>
      </c>
    </row>
    <row r="1368" customFormat="false" ht="15" hidden="false" customHeight="true" outlineLevel="0" collapsed="false">
      <c r="A1368" s="3" t="n">
        <v>46168.8546527778</v>
      </c>
      <c r="B1368" s="1" t="s">
        <v>9</v>
      </c>
      <c r="C1368" s="1" t="n">
        <v>2157</v>
      </c>
      <c r="D1368" s="1" t="n">
        <v>64</v>
      </c>
    </row>
    <row r="1369" customFormat="false" ht="15" hidden="false" customHeight="true" outlineLevel="0" collapsed="false">
      <c r="A1369" s="3" t="n">
        <v>46168.8549768519</v>
      </c>
      <c r="B1369" s="1" t="s">
        <v>5</v>
      </c>
      <c r="D1369" s="1" t="n">
        <v>58.4</v>
      </c>
    </row>
    <row r="1370" customFormat="false" ht="15" hidden="false" customHeight="true" outlineLevel="0" collapsed="false">
      <c r="A1370" s="3" t="n">
        <v>46168.8549884259</v>
      </c>
      <c r="B1370" s="1" t="s">
        <v>6</v>
      </c>
      <c r="C1370" s="1" t="n">
        <v>1360</v>
      </c>
      <c r="D1370" s="1" t="n">
        <v>90</v>
      </c>
    </row>
    <row r="1371" customFormat="false" ht="15" hidden="false" customHeight="true" outlineLevel="0" collapsed="false">
      <c r="A1371" s="3" t="n">
        <v>46168.8549884259</v>
      </c>
      <c r="B1371" s="1" t="s">
        <v>4</v>
      </c>
      <c r="C1371" s="1" t="n">
        <v>1563</v>
      </c>
      <c r="D1371" s="1" t="n">
        <v>82</v>
      </c>
    </row>
    <row r="1372" customFormat="false" ht="15" hidden="false" customHeight="true" outlineLevel="0" collapsed="false">
      <c r="A1372" s="3" t="n">
        <v>46168.855</v>
      </c>
      <c r="B1372" s="1" t="s">
        <v>7</v>
      </c>
      <c r="C1372" s="1" t="n">
        <v>2154</v>
      </c>
      <c r="D1372" s="1" t="n">
        <v>60</v>
      </c>
    </row>
    <row r="1373" customFormat="false" ht="15" hidden="false" customHeight="true" outlineLevel="0" collapsed="false">
      <c r="A1373" s="3" t="n">
        <v>46168.855</v>
      </c>
      <c r="B1373" s="1" t="s">
        <v>8</v>
      </c>
      <c r="C1373" s="1" t="n">
        <v>2236</v>
      </c>
      <c r="D1373" s="1" t="n">
        <v>57</v>
      </c>
    </row>
    <row r="1374" customFormat="false" ht="15" hidden="false" customHeight="true" outlineLevel="0" collapsed="false">
      <c r="A1374" s="3" t="n">
        <v>46168.8550115741</v>
      </c>
      <c r="B1374" s="1" t="s">
        <v>9</v>
      </c>
      <c r="C1374" s="1" t="n">
        <v>2158</v>
      </c>
      <c r="D1374" s="1" t="n">
        <v>64</v>
      </c>
    </row>
    <row r="1375" customFormat="false" ht="15" hidden="false" customHeight="true" outlineLevel="0" collapsed="false">
      <c r="A1375" s="3" t="n">
        <v>46168.8553240741</v>
      </c>
      <c r="B1375" s="1" t="s">
        <v>5</v>
      </c>
      <c r="D1375" s="1" t="n">
        <v>58.4</v>
      </c>
    </row>
    <row r="1376" customFormat="false" ht="15" hidden="false" customHeight="true" outlineLevel="0" collapsed="false">
      <c r="A1376" s="3" t="n">
        <v>46168.8553356482</v>
      </c>
      <c r="B1376" s="1" t="s">
        <v>6</v>
      </c>
      <c r="C1376" s="1" t="n">
        <v>1360</v>
      </c>
      <c r="D1376" s="1" t="n">
        <v>90</v>
      </c>
    </row>
    <row r="1377" customFormat="false" ht="15" hidden="false" customHeight="true" outlineLevel="0" collapsed="false">
      <c r="A1377" s="3" t="n">
        <v>46168.8553356482</v>
      </c>
      <c r="B1377" s="1" t="s">
        <v>7</v>
      </c>
      <c r="C1377" s="1" t="n">
        <v>2156</v>
      </c>
      <c r="D1377" s="1" t="n">
        <v>60</v>
      </c>
    </row>
    <row r="1378" customFormat="false" ht="15" hidden="false" customHeight="true" outlineLevel="0" collapsed="false">
      <c r="A1378" s="3" t="n">
        <v>46168.8553356482</v>
      </c>
      <c r="B1378" s="1" t="s">
        <v>4</v>
      </c>
      <c r="C1378" s="1" t="n">
        <v>1559</v>
      </c>
      <c r="D1378" s="1" t="n">
        <v>82</v>
      </c>
    </row>
    <row r="1379" customFormat="false" ht="15" hidden="false" customHeight="true" outlineLevel="0" collapsed="false">
      <c r="A1379" s="3" t="n">
        <v>46168.8553356482</v>
      </c>
      <c r="B1379" s="1" t="s">
        <v>8</v>
      </c>
      <c r="C1379" s="1" t="n">
        <v>2240</v>
      </c>
      <c r="D1379" s="1" t="n">
        <v>56</v>
      </c>
    </row>
    <row r="1380" customFormat="false" ht="15" hidden="false" customHeight="true" outlineLevel="0" collapsed="false">
      <c r="A1380" s="3" t="n">
        <v>46168.8553356482</v>
      </c>
      <c r="B1380" s="1" t="s">
        <v>9</v>
      </c>
      <c r="C1380" s="1" t="n">
        <v>2160</v>
      </c>
      <c r="D1380" s="1" t="n">
        <v>64</v>
      </c>
    </row>
    <row r="1381" customFormat="false" ht="15" hidden="false" customHeight="true" outlineLevel="0" collapsed="false">
      <c r="A1381" s="3" t="n">
        <v>46168.8556712963</v>
      </c>
      <c r="B1381" s="1" t="s">
        <v>5</v>
      </c>
      <c r="D1381" s="1" t="n">
        <v>58.2</v>
      </c>
    </row>
    <row r="1382" customFormat="false" ht="15" hidden="false" customHeight="true" outlineLevel="0" collapsed="false">
      <c r="A1382" s="3" t="n">
        <v>46168.8556828704</v>
      </c>
      <c r="B1382" s="1" t="s">
        <v>6</v>
      </c>
      <c r="C1382" s="1" t="n">
        <v>1353</v>
      </c>
      <c r="D1382" s="1" t="n">
        <v>90</v>
      </c>
    </row>
    <row r="1383" customFormat="false" ht="15" hidden="false" customHeight="true" outlineLevel="0" collapsed="false">
      <c r="A1383" s="3" t="n">
        <v>46168.8556828704</v>
      </c>
      <c r="B1383" s="1" t="s">
        <v>7</v>
      </c>
      <c r="C1383" s="1" t="n">
        <v>2158</v>
      </c>
      <c r="D1383" s="1" t="n">
        <v>60</v>
      </c>
    </row>
    <row r="1384" customFormat="false" ht="15" hidden="false" customHeight="true" outlineLevel="0" collapsed="false">
      <c r="A1384" s="3" t="n">
        <v>46168.8556828704</v>
      </c>
      <c r="B1384" s="1" t="s">
        <v>4</v>
      </c>
      <c r="C1384" s="1" t="n">
        <v>1571</v>
      </c>
      <c r="D1384" s="1" t="n">
        <v>81</v>
      </c>
    </row>
    <row r="1385" customFormat="false" ht="15" hidden="false" customHeight="true" outlineLevel="0" collapsed="false">
      <c r="A1385" s="3" t="n">
        <v>46168.8556944444</v>
      </c>
      <c r="B1385" s="1" t="s">
        <v>8</v>
      </c>
      <c r="C1385" s="1" t="n">
        <v>2242</v>
      </c>
      <c r="D1385" s="1" t="n">
        <v>56</v>
      </c>
    </row>
    <row r="1386" customFormat="false" ht="15" hidden="false" customHeight="true" outlineLevel="0" collapsed="false">
      <c r="A1386" s="3" t="n">
        <v>46168.8556944444</v>
      </c>
      <c r="B1386" s="1" t="s">
        <v>9</v>
      </c>
      <c r="C1386" s="1" t="n">
        <v>2159</v>
      </c>
      <c r="D1386" s="1" t="n">
        <v>64</v>
      </c>
    </row>
    <row r="1387" customFormat="false" ht="15" hidden="false" customHeight="true" outlineLevel="0" collapsed="false">
      <c r="A1387" s="3" t="n">
        <v>46168.8560300926</v>
      </c>
      <c r="B1387" s="1" t="s">
        <v>6</v>
      </c>
      <c r="C1387" s="1" t="n">
        <v>1390</v>
      </c>
      <c r="D1387" s="1" t="n">
        <v>88</v>
      </c>
    </row>
    <row r="1388" customFormat="false" ht="15" hidden="false" customHeight="true" outlineLevel="0" collapsed="false">
      <c r="A1388" s="3" t="n">
        <v>46168.8560300926</v>
      </c>
      <c r="B1388" s="1" t="s">
        <v>4</v>
      </c>
      <c r="C1388" s="1" t="n">
        <v>1565</v>
      </c>
      <c r="D1388" s="1" t="n">
        <v>82</v>
      </c>
    </row>
    <row r="1389" customFormat="false" ht="15" hidden="false" customHeight="true" outlineLevel="0" collapsed="false">
      <c r="A1389" s="3" t="n">
        <v>46168.8560300926</v>
      </c>
      <c r="B1389" s="1" t="s">
        <v>5</v>
      </c>
      <c r="D1389" s="1" t="n">
        <v>58.4</v>
      </c>
    </row>
    <row r="1390" customFormat="false" ht="15" hidden="false" customHeight="true" outlineLevel="0" collapsed="false">
      <c r="A1390" s="3" t="n">
        <v>46168.8560416667</v>
      </c>
      <c r="B1390" s="1" t="s">
        <v>7</v>
      </c>
      <c r="C1390" s="1" t="n">
        <v>2174</v>
      </c>
      <c r="D1390" s="1" t="n">
        <v>58</v>
      </c>
    </row>
    <row r="1391" customFormat="false" ht="15" hidden="false" customHeight="true" outlineLevel="0" collapsed="false">
      <c r="A1391" s="3" t="n">
        <v>46168.8560416667</v>
      </c>
      <c r="B1391" s="1" t="s">
        <v>8</v>
      </c>
      <c r="C1391" s="1" t="n">
        <v>2238</v>
      </c>
      <c r="D1391" s="1" t="n">
        <v>56</v>
      </c>
    </row>
    <row r="1392" customFormat="false" ht="15" hidden="false" customHeight="true" outlineLevel="0" collapsed="false">
      <c r="A1392" s="3" t="n">
        <v>46168.8560532407</v>
      </c>
      <c r="B1392" s="1" t="s">
        <v>9</v>
      </c>
      <c r="C1392" s="1" t="n">
        <v>2160</v>
      </c>
      <c r="D1392" s="1" t="n">
        <v>64</v>
      </c>
    </row>
    <row r="1393" customFormat="false" ht="15" hidden="false" customHeight="true" outlineLevel="0" collapsed="false">
      <c r="A1393" s="3" t="n">
        <v>46168.8563773148</v>
      </c>
      <c r="B1393" s="1" t="s">
        <v>5</v>
      </c>
      <c r="D1393" s="1" t="n">
        <v>58.4</v>
      </c>
    </row>
    <row r="1394" customFormat="false" ht="15" hidden="false" customHeight="true" outlineLevel="0" collapsed="false">
      <c r="A1394" s="3" t="n">
        <v>46168.8563888889</v>
      </c>
      <c r="B1394" s="1" t="s">
        <v>6</v>
      </c>
      <c r="C1394" s="1" t="n">
        <v>1360</v>
      </c>
      <c r="D1394" s="1" t="n">
        <v>90</v>
      </c>
    </row>
    <row r="1395" customFormat="false" ht="15" hidden="false" customHeight="true" outlineLevel="0" collapsed="false">
      <c r="A1395" s="3" t="n">
        <v>46168.8563888889</v>
      </c>
      <c r="B1395" s="1" t="s">
        <v>7</v>
      </c>
      <c r="C1395" s="1" t="n">
        <v>2160</v>
      </c>
      <c r="D1395" s="1" t="n">
        <v>59</v>
      </c>
    </row>
    <row r="1396" customFormat="false" ht="15" hidden="false" customHeight="true" outlineLevel="0" collapsed="false">
      <c r="A1396" s="3" t="n">
        <v>46168.8563888889</v>
      </c>
      <c r="B1396" s="1" t="s">
        <v>4</v>
      </c>
      <c r="C1396" s="1" t="n">
        <v>1534</v>
      </c>
      <c r="D1396" s="1" t="n">
        <v>84</v>
      </c>
    </row>
    <row r="1397" customFormat="false" ht="15" hidden="false" customHeight="true" outlineLevel="0" collapsed="false">
      <c r="A1397" s="3" t="n">
        <v>46168.8563888889</v>
      </c>
      <c r="B1397" s="1" t="s">
        <v>8</v>
      </c>
      <c r="C1397" s="1" t="n">
        <v>2241</v>
      </c>
      <c r="D1397" s="1" t="n">
        <v>56</v>
      </c>
    </row>
    <row r="1398" customFormat="false" ht="15" hidden="false" customHeight="true" outlineLevel="0" collapsed="false">
      <c r="A1398" s="3" t="n">
        <v>46168.856400463</v>
      </c>
      <c r="B1398" s="1" t="s">
        <v>9</v>
      </c>
      <c r="C1398" s="1" t="n">
        <v>2160</v>
      </c>
      <c r="D1398" s="1" t="n">
        <v>64</v>
      </c>
    </row>
    <row r="1399" customFormat="false" ht="15" hidden="false" customHeight="true" outlineLevel="0" collapsed="false">
      <c r="A1399" s="3" t="n">
        <v>46168.8567361111</v>
      </c>
      <c r="B1399" s="1" t="s">
        <v>6</v>
      </c>
      <c r="C1399" s="1" t="n">
        <v>1362</v>
      </c>
      <c r="D1399" s="1" t="n">
        <v>90</v>
      </c>
    </row>
    <row r="1400" customFormat="false" ht="15" hidden="false" customHeight="true" outlineLevel="0" collapsed="false">
      <c r="A1400" s="3" t="n">
        <v>46168.8567361111</v>
      </c>
      <c r="B1400" s="1" t="s">
        <v>7</v>
      </c>
      <c r="C1400" s="1" t="n">
        <v>2160</v>
      </c>
      <c r="D1400" s="1" t="n">
        <v>59</v>
      </c>
    </row>
    <row r="1401" customFormat="false" ht="15" hidden="false" customHeight="true" outlineLevel="0" collapsed="false">
      <c r="A1401" s="3" t="n">
        <v>46168.8567361111</v>
      </c>
      <c r="B1401" s="1" t="s">
        <v>4</v>
      </c>
      <c r="C1401" s="1" t="n">
        <v>1598</v>
      </c>
      <c r="D1401" s="1" t="n">
        <v>80</v>
      </c>
    </row>
    <row r="1402" customFormat="false" ht="15" hidden="false" customHeight="true" outlineLevel="0" collapsed="false">
      <c r="A1402" s="3" t="n">
        <v>46168.8567361111</v>
      </c>
      <c r="B1402" s="1" t="s">
        <v>5</v>
      </c>
      <c r="D1402" s="1" t="n">
        <v>58.4</v>
      </c>
    </row>
    <row r="1403" customFormat="false" ht="15" hidden="false" customHeight="true" outlineLevel="0" collapsed="false">
      <c r="A1403" s="3" t="n">
        <v>46168.8567476852</v>
      </c>
      <c r="B1403" s="1" t="s">
        <v>8</v>
      </c>
      <c r="C1403" s="1" t="n">
        <v>2239</v>
      </c>
      <c r="D1403" s="1" t="n">
        <v>56</v>
      </c>
    </row>
    <row r="1404" customFormat="false" ht="15" hidden="false" customHeight="true" outlineLevel="0" collapsed="false">
      <c r="A1404" s="3" t="n">
        <v>46168.8567476852</v>
      </c>
      <c r="B1404" s="1" t="s">
        <v>9</v>
      </c>
      <c r="C1404" s="1" t="n">
        <v>2160</v>
      </c>
      <c r="D1404" s="1" t="n">
        <v>64</v>
      </c>
    </row>
    <row r="1405" customFormat="false" ht="15" hidden="false" customHeight="true" outlineLevel="0" collapsed="false">
      <c r="A1405" s="3" t="n">
        <v>46168.8570833333</v>
      </c>
      <c r="B1405" s="1" t="s">
        <v>4</v>
      </c>
      <c r="C1405" s="1" t="n">
        <v>1559</v>
      </c>
      <c r="D1405" s="1" t="n">
        <v>82</v>
      </c>
    </row>
    <row r="1406" customFormat="false" ht="15" hidden="false" customHeight="true" outlineLevel="0" collapsed="false">
      <c r="A1406" s="3" t="n">
        <v>46168.8570833333</v>
      </c>
      <c r="B1406" s="1" t="s">
        <v>5</v>
      </c>
      <c r="D1406" s="1" t="n">
        <v>58.4</v>
      </c>
    </row>
    <row r="1407" customFormat="false" ht="15" hidden="false" customHeight="true" outlineLevel="0" collapsed="false">
      <c r="A1407" s="3" t="n">
        <v>46168.8570949074</v>
      </c>
      <c r="B1407" s="1" t="s">
        <v>6</v>
      </c>
      <c r="C1407" s="1" t="n">
        <v>1360</v>
      </c>
      <c r="D1407" s="1" t="n">
        <v>90</v>
      </c>
    </row>
    <row r="1408" customFormat="false" ht="15" hidden="false" customHeight="true" outlineLevel="0" collapsed="false">
      <c r="A1408" s="3" t="n">
        <v>46168.8570949074</v>
      </c>
      <c r="B1408" s="1" t="s">
        <v>7</v>
      </c>
      <c r="C1408" s="1" t="n">
        <v>2160</v>
      </c>
      <c r="D1408" s="1" t="n">
        <v>59</v>
      </c>
    </row>
    <row r="1409" customFormat="false" ht="15" hidden="false" customHeight="true" outlineLevel="0" collapsed="false">
      <c r="A1409" s="3" t="n">
        <v>46168.8570949074</v>
      </c>
      <c r="B1409" s="1" t="s">
        <v>8</v>
      </c>
      <c r="C1409" s="1" t="n">
        <v>2241</v>
      </c>
      <c r="D1409" s="1" t="n">
        <v>56</v>
      </c>
    </row>
    <row r="1410" customFormat="false" ht="15" hidden="false" customHeight="true" outlineLevel="0" collapsed="false">
      <c r="A1410" s="3" t="n">
        <v>46168.8570949074</v>
      </c>
      <c r="B1410" s="1" t="s">
        <v>9</v>
      </c>
      <c r="C1410" s="1" t="n">
        <v>2161</v>
      </c>
      <c r="D1410" s="1" t="n">
        <v>64</v>
      </c>
    </row>
    <row r="1411" customFormat="false" ht="15" hidden="false" customHeight="true" outlineLevel="0" collapsed="false">
      <c r="A1411" s="3" t="n">
        <v>46168.8574305556</v>
      </c>
      <c r="B1411" s="1" t="s">
        <v>6</v>
      </c>
      <c r="C1411" s="1" t="n">
        <v>1366</v>
      </c>
      <c r="D1411" s="1" t="n">
        <v>89</v>
      </c>
    </row>
    <row r="1412" customFormat="false" ht="15" hidden="false" customHeight="true" outlineLevel="0" collapsed="false">
      <c r="A1412" s="3" t="n">
        <v>46168.8574305556</v>
      </c>
      <c r="B1412" s="1" t="s">
        <v>4</v>
      </c>
      <c r="C1412" s="1" t="n">
        <v>1509</v>
      </c>
      <c r="D1412" s="1" t="n">
        <v>86</v>
      </c>
    </row>
    <row r="1413" customFormat="false" ht="15" hidden="false" customHeight="true" outlineLevel="0" collapsed="false">
      <c r="A1413" s="3" t="n">
        <v>46168.8574305556</v>
      </c>
      <c r="B1413" s="1" t="s">
        <v>5</v>
      </c>
      <c r="D1413" s="1" t="n">
        <v>58.4</v>
      </c>
    </row>
    <row r="1414" customFormat="false" ht="15" hidden="false" customHeight="true" outlineLevel="0" collapsed="false">
      <c r="A1414" s="3" t="n">
        <v>46168.8574421296</v>
      </c>
      <c r="B1414" s="1" t="s">
        <v>7</v>
      </c>
      <c r="C1414" s="1" t="n">
        <v>2160</v>
      </c>
      <c r="D1414" s="1" t="n">
        <v>59</v>
      </c>
    </row>
    <row r="1415" customFormat="false" ht="15" hidden="false" customHeight="true" outlineLevel="0" collapsed="false">
      <c r="A1415" s="3" t="n">
        <v>46168.8574421296</v>
      </c>
      <c r="B1415" s="1" t="s">
        <v>8</v>
      </c>
      <c r="C1415" s="1" t="n">
        <v>2243</v>
      </c>
      <c r="D1415" s="1" t="n">
        <v>56</v>
      </c>
    </row>
    <row r="1416" customFormat="false" ht="15" hidden="false" customHeight="true" outlineLevel="0" collapsed="false">
      <c r="A1416" s="3" t="n">
        <v>46168.8574421296</v>
      </c>
      <c r="B1416" s="1" t="s">
        <v>9</v>
      </c>
      <c r="C1416" s="1" t="n">
        <v>2162</v>
      </c>
      <c r="D1416" s="1" t="n">
        <v>64</v>
      </c>
    </row>
    <row r="1417" customFormat="false" ht="15" hidden="false" customHeight="true" outlineLevel="0" collapsed="false">
      <c r="A1417" s="3" t="n">
        <v>46168.8577777778</v>
      </c>
      <c r="B1417" s="1" t="s">
        <v>5</v>
      </c>
      <c r="D1417" s="1" t="n">
        <v>58.4</v>
      </c>
    </row>
    <row r="1418" customFormat="false" ht="15" hidden="false" customHeight="true" outlineLevel="0" collapsed="false">
      <c r="A1418" s="3" t="n">
        <v>46168.8577893519</v>
      </c>
      <c r="B1418" s="1" t="s">
        <v>6</v>
      </c>
      <c r="C1418" s="1" t="n">
        <v>1360</v>
      </c>
      <c r="D1418" s="1" t="n">
        <v>90</v>
      </c>
    </row>
    <row r="1419" customFormat="false" ht="15" hidden="false" customHeight="true" outlineLevel="0" collapsed="false">
      <c r="A1419" s="3" t="n">
        <v>46168.8577893519</v>
      </c>
      <c r="B1419" s="1" t="s">
        <v>7</v>
      </c>
      <c r="C1419" s="1" t="n">
        <v>2159</v>
      </c>
      <c r="D1419" s="1" t="n">
        <v>59</v>
      </c>
    </row>
    <row r="1420" customFormat="false" ht="15" hidden="false" customHeight="true" outlineLevel="0" collapsed="false">
      <c r="A1420" s="3" t="n">
        <v>46168.8577893519</v>
      </c>
      <c r="B1420" s="1" t="s">
        <v>4</v>
      </c>
      <c r="C1420" s="1" t="n">
        <v>1563</v>
      </c>
      <c r="D1420" s="1" t="n">
        <v>82</v>
      </c>
    </row>
    <row r="1421" customFormat="false" ht="15" hidden="false" customHeight="true" outlineLevel="0" collapsed="false">
      <c r="A1421" s="3" t="n">
        <v>46168.8578009259</v>
      </c>
      <c r="B1421" s="1" t="s">
        <v>8</v>
      </c>
      <c r="C1421" s="1" t="n">
        <v>2243</v>
      </c>
      <c r="D1421" s="1" t="n">
        <v>56</v>
      </c>
    </row>
    <row r="1422" customFormat="false" ht="15" hidden="false" customHeight="true" outlineLevel="0" collapsed="false">
      <c r="A1422" s="3" t="n">
        <v>46168.8578009259</v>
      </c>
      <c r="B1422" s="1" t="s">
        <v>9</v>
      </c>
      <c r="C1422" s="1" t="n">
        <v>2164</v>
      </c>
      <c r="D1422" s="1" t="n">
        <v>63</v>
      </c>
    </row>
    <row r="1423" customFormat="false" ht="15" hidden="false" customHeight="true" outlineLevel="0" collapsed="false">
      <c r="A1423" s="3" t="n">
        <v>46168.858125</v>
      </c>
      <c r="B1423" s="1" t="s">
        <v>5</v>
      </c>
      <c r="D1423" s="1" t="n">
        <v>58.4</v>
      </c>
    </row>
    <row r="1424" customFormat="false" ht="15" hidden="false" customHeight="true" outlineLevel="0" collapsed="false">
      <c r="A1424" s="3" t="n">
        <v>46168.8581365741</v>
      </c>
      <c r="B1424" s="1" t="s">
        <v>6</v>
      </c>
      <c r="C1424" s="1" t="n">
        <v>1364</v>
      </c>
      <c r="D1424" s="1" t="n">
        <v>90</v>
      </c>
    </row>
    <row r="1425" customFormat="false" ht="15" hidden="false" customHeight="true" outlineLevel="0" collapsed="false">
      <c r="A1425" s="3" t="n">
        <v>46168.8581365741</v>
      </c>
      <c r="B1425" s="1" t="s">
        <v>7</v>
      </c>
      <c r="C1425" s="1" t="n">
        <v>2160</v>
      </c>
      <c r="D1425" s="1" t="n">
        <v>59</v>
      </c>
    </row>
    <row r="1426" customFormat="false" ht="15" hidden="false" customHeight="true" outlineLevel="0" collapsed="false">
      <c r="A1426" s="3" t="n">
        <v>46168.8581365741</v>
      </c>
      <c r="B1426" s="1" t="s">
        <v>4</v>
      </c>
      <c r="C1426" s="1" t="n">
        <v>1535</v>
      </c>
      <c r="D1426" s="1" t="n">
        <v>84</v>
      </c>
    </row>
    <row r="1427" customFormat="false" ht="15" hidden="false" customHeight="true" outlineLevel="0" collapsed="false">
      <c r="A1427" s="3" t="n">
        <v>46168.8581365741</v>
      </c>
      <c r="B1427" s="1" t="s">
        <v>8</v>
      </c>
      <c r="C1427" s="1" t="n">
        <v>2243</v>
      </c>
      <c r="D1427" s="1" t="n">
        <v>56</v>
      </c>
    </row>
    <row r="1428" customFormat="false" ht="15" hidden="false" customHeight="true" outlineLevel="0" collapsed="false">
      <c r="A1428" s="3" t="n">
        <v>46168.8581481482</v>
      </c>
      <c r="B1428" s="1" t="s">
        <v>9</v>
      </c>
      <c r="C1428" s="1" t="n">
        <v>2162</v>
      </c>
      <c r="D1428" s="1" t="n">
        <v>64</v>
      </c>
    </row>
    <row r="1429" customFormat="false" ht="15" hidden="false" customHeight="true" outlineLevel="0" collapsed="false">
      <c r="A1429" s="3" t="n">
        <v>46168.8584722222</v>
      </c>
      <c r="B1429" s="1" t="s">
        <v>5</v>
      </c>
      <c r="D1429" s="1" t="n">
        <v>58.4</v>
      </c>
    </row>
    <row r="1430" customFormat="false" ht="15" hidden="false" customHeight="true" outlineLevel="0" collapsed="false">
      <c r="A1430" s="3" t="n">
        <v>46168.8584837963</v>
      </c>
      <c r="B1430" s="1" t="s">
        <v>6</v>
      </c>
      <c r="C1430" s="1" t="n">
        <v>1360</v>
      </c>
      <c r="D1430" s="1" t="n">
        <v>90</v>
      </c>
    </row>
    <row r="1431" customFormat="false" ht="15" hidden="false" customHeight="true" outlineLevel="0" collapsed="false">
      <c r="A1431" s="3" t="n">
        <v>46168.8584837963</v>
      </c>
      <c r="B1431" s="1" t="s">
        <v>4</v>
      </c>
      <c r="C1431" s="1" t="n">
        <v>1535</v>
      </c>
      <c r="D1431" s="1" t="n">
        <v>84</v>
      </c>
    </row>
    <row r="1432" customFormat="false" ht="15" hidden="false" customHeight="true" outlineLevel="0" collapsed="false">
      <c r="A1432" s="3" t="n">
        <v>46168.8584953704</v>
      </c>
      <c r="B1432" s="1" t="s">
        <v>7</v>
      </c>
      <c r="C1432" s="1" t="n">
        <v>2164</v>
      </c>
      <c r="D1432" s="1" t="n">
        <v>59</v>
      </c>
    </row>
    <row r="1433" customFormat="false" ht="15" hidden="false" customHeight="true" outlineLevel="0" collapsed="false">
      <c r="A1433" s="3" t="n">
        <v>46168.8584953704</v>
      </c>
      <c r="B1433" s="1" t="s">
        <v>8</v>
      </c>
      <c r="C1433" s="1" t="n">
        <v>2242</v>
      </c>
      <c r="D1433" s="1" t="n">
        <v>56</v>
      </c>
    </row>
    <row r="1434" customFormat="false" ht="15" hidden="false" customHeight="true" outlineLevel="0" collapsed="false">
      <c r="A1434" s="3" t="n">
        <v>46168.8584953704</v>
      </c>
      <c r="B1434" s="1" t="s">
        <v>9</v>
      </c>
      <c r="C1434" s="1" t="n">
        <v>2163</v>
      </c>
      <c r="D1434" s="1" t="n">
        <v>63</v>
      </c>
    </row>
    <row r="1435" customFormat="false" ht="15" hidden="false" customHeight="true" outlineLevel="0" collapsed="false">
      <c r="A1435" s="3" t="n">
        <v>46168.8588310185</v>
      </c>
      <c r="B1435" s="1" t="s">
        <v>4</v>
      </c>
      <c r="C1435" s="1" t="n">
        <v>1535</v>
      </c>
      <c r="D1435" s="1" t="n">
        <v>84</v>
      </c>
    </row>
    <row r="1436" customFormat="false" ht="15" hidden="false" customHeight="true" outlineLevel="0" collapsed="false">
      <c r="A1436" s="3" t="n">
        <v>46168.8588310185</v>
      </c>
      <c r="B1436" s="1" t="s">
        <v>5</v>
      </c>
      <c r="D1436" s="1" t="n">
        <v>58.4</v>
      </c>
    </row>
    <row r="1437" customFormat="false" ht="15" hidden="false" customHeight="true" outlineLevel="0" collapsed="false">
      <c r="A1437" s="3" t="n">
        <v>46168.8588425926</v>
      </c>
      <c r="B1437" s="1" t="s">
        <v>6</v>
      </c>
      <c r="C1437" s="1" t="n">
        <v>1366</v>
      </c>
      <c r="D1437" s="1" t="n">
        <v>89</v>
      </c>
    </row>
    <row r="1438" customFormat="false" ht="15" hidden="false" customHeight="true" outlineLevel="0" collapsed="false">
      <c r="A1438" s="3" t="n">
        <v>46168.8588425926</v>
      </c>
      <c r="B1438" s="1" t="s">
        <v>7</v>
      </c>
      <c r="C1438" s="1" t="n">
        <v>2161</v>
      </c>
      <c r="D1438" s="1" t="n">
        <v>59</v>
      </c>
    </row>
    <row r="1439" customFormat="false" ht="15" hidden="false" customHeight="true" outlineLevel="0" collapsed="false">
      <c r="A1439" s="3" t="n">
        <v>46168.8588425926</v>
      </c>
      <c r="B1439" s="1" t="s">
        <v>8</v>
      </c>
      <c r="C1439" s="1" t="n">
        <v>2241</v>
      </c>
      <c r="D1439" s="1" t="n">
        <v>56</v>
      </c>
    </row>
    <row r="1440" customFormat="false" ht="15" hidden="false" customHeight="true" outlineLevel="0" collapsed="false">
      <c r="A1440" s="3" t="n">
        <v>46168.8588425926</v>
      </c>
      <c r="B1440" s="1" t="s">
        <v>9</v>
      </c>
      <c r="C1440" s="1" t="n">
        <v>2164</v>
      </c>
      <c r="D1440" s="1" t="n">
        <v>63</v>
      </c>
    </row>
    <row r="1441" customFormat="false" ht="15" hidden="false" customHeight="true" outlineLevel="0" collapsed="false">
      <c r="A1441" s="3" t="n">
        <v>46168.8591782407</v>
      </c>
      <c r="B1441" s="1" t="s">
        <v>6</v>
      </c>
      <c r="C1441" s="1" t="n">
        <v>1350</v>
      </c>
      <c r="D1441" s="1" t="n">
        <v>90</v>
      </c>
    </row>
    <row r="1442" customFormat="false" ht="15" hidden="false" customHeight="true" outlineLevel="0" collapsed="false">
      <c r="A1442" s="3" t="n">
        <v>46168.8591782407</v>
      </c>
      <c r="B1442" s="1" t="s">
        <v>4</v>
      </c>
      <c r="C1442" s="1" t="n">
        <v>1535</v>
      </c>
      <c r="D1442" s="1" t="n">
        <v>84</v>
      </c>
    </row>
    <row r="1443" customFormat="false" ht="15" hidden="false" customHeight="true" outlineLevel="0" collapsed="false">
      <c r="A1443" s="3" t="n">
        <v>46168.8591782407</v>
      </c>
      <c r="B1443" s="1" t="s">
        <v>5</v>
      </c>
      <c r="D1443" s="1" t="n">
        <v>0</v>
      </c>
    </row>
    <row r="1444" customFormat="false" ht="15" hidden="false" customHeight="true" outlineLevel="0" collapsed="false">
      <c r="A1444" s="3" t="n">
        <v>46168.8591898148</v>
      </c>
      <c r="B1444" s="1" t="s">
        <v>7</v>
      </c>
      <c r="C1444" s="1" t="n">
        <v>4095</v>
      </c>
      <c r="D1444" s="1" t="n">
        <v>0</v>
      </c>
    </row>
    <row r="1445" customFormat="false" ht="15" hidden="false" customHeight="true" outlineLevel="0" collapsed="false">
      <c r="A1445" s="3" t="n">
        <v>46168.8591898148</v>
      </c>
      <c r="B1445" s="1" t="s">
        <v>8</v>
      </c>
      <c r="C1445" s="1" t="n">
        <v>2240</v>
      </c>
      <c r="D1445" s="1" t="n">
        <v>56</v>
      </c>
    </row>
    <row r="1446" customFormat="false" ht="15" hidden="false" customHeight="true" outlineLevel="0" collapsed="false">
      <c r="A1446" s="3" t="n">
        <v>46168.8591898148</v>
      </c>
      <c r="B1446" s="1" t="s">
        <v>9</v>
      </c>
      <c r="C1446" s="1" t="n">
        <v>4095</v>
      </c>
      <c r="D1446" s="1" t="n">
        <v>0</v>
      </c>
    </row>
    <row r="1447" customFormat="false" ht="15" hidden="false" customHeight="true" outlineLevel="0" collapsed="false">
      <c r="A1447" s="3" t="n">
        <v>46168.859525463</v>
      </c>
      <c r="B1447" s="1" t="s">
        <v>6</v>
      </c>
      <c r="C1447" s="1" t="n">
        <v>2415</v>
      </c>
      <c r="D1447" s="1" t="n">
        <v>20</v>
      </c>
    </row>
    <row r="1448" customFormat="false" ht="15" hidden="false" customHeight="true" outlineLevel="0" collapsed="false">
      <c r="A1448" s="3" t="n">
        <v>46168.859525463</v>
      </c>
      <c r="B1448" s="1" t="s">
        <v>4</v>
      </c>
      <c r="C1448" s="1" t="n">
        <v>2465</v>
      </c>
      <c r="D1448" s="1" t="n">
        <v>22</v>
      </c>
    </row>
    <row r="1449" customFormat="false" ht="15" hidden="false" customHeight="true" outlineLevel="0" collapsed="false">
      <c r="A1449" s="3" t="n">
        <v>46168.859525463</v>
      </c>
      <c r="B1449" s="1" t="s">
        <v>5</v>
      </c>
      <c r="D1449" s="1" t="n">
        <v>0</v>
      </c>
    </row>
    <row r="1450" customFormat="false" ht="15" hidden="false" customHeight="true" outlineLevel="0" collapsed="false">
      <c r="A1450" s="3" t="n">
        <v>46168.859537037</v>
      </c>
      <c r="B1450" s="1" t="s">
        <v>7</v>
      </c>
      <c r="C1450" s="1" t="n">
        <v>4095</v>
      </c>
      <c r="D1450" s="1" t="n">
        <v>0</v>
      </c>
    </row>
    <row r="1451" customFormat="false" ht="15" hidden="false" customHeight="true" outlineLevel="0" collapsed="false">
      <c r="A1451" s="3" t="n">
        <v>46168.859537037</v>
      </c>
      <c r="B1451" s="1" t="s">
        <v>8</v>
      </c>
      <c r="C1451" s="1" t="n">
        <v>4095</v>
      </c>
      <c r="D1451" s="1" t="n">
        <v>0</v>
      </c>
    </row>
    <row r="1452" customFormat="false" ht="15" hidden="false" customHeight="true" outlineLevel="0" collapsed="false">
      <c r="A1452" s="3" t="n">
        <v>46168.859537037</v>
      </c>
      <c r="B1452" s="1" t="s">
        <v>9</v>
      </c>
      <c r="C1452" s="1" t="n">
        <v>4095</v>
      </c>
      <c r="D1452" s="1" t="n">
        <v>0</v>
      </c>
    </row>
    <row r="1453" customFormat="false" ht="15" hidden="false" customHeight="true" outlineLevel="0" collapsed="false">
      <c r="A1453" s="3" t="n">
        <v>46168.8598726852</v>
      </c>
      <c r="B1453" s="1" t="s">
        <v>6</v>
      </c>
      <c r="C1453" s="1" t="n">
        <v>2480</v>
      </c>
      <c r="D1453" s="1" t="n">
        <v>16</v>
      </c>
    </row>
    <row r="1454" customFormat="false" ht="15" hidden="false" customHeight="true" outlineLevel="0" collapsed="false">
      <c r="A1454" s="3" t="n">
        <v>46168.8598726852</v>
      </c>
      <c r="B1454" s="1" t="s">
        <v>4</v>
      </c>
      <c r="C1454" s="1" t="n">
        <v>2500</v>
      </c>
      <c r="D1454" s="1" t="n">
        <v>20</v>
      </c>
    </row>
    <row r="1455" customFormat="false" ht="15" hidden="false" customHeight="true" outlineLevel="0" collapsed="false">
      <c r="A1455" s="3" t="n">
        <v>46168.8598726852</v>
      </c>
      <c r="B1455" s="1" t="s">
        <v>5</v>
      </c>
      <c r="D1455" s="1" t="n">
        <v>0</v>
      </c>
    </row>
    <row r="1456" customFormat="false" ht="15" hidden="false" customHeight="true" outlineLevel="0" collapsed="false">
      <c r="A1456" s="3" t="n">
        <v>46168.8598842593</v>
      </c>
      <c r="B1456" s="1" t="s">
        <v>7</v>
      </c>
      <c r="C1456" s="1" t="n">
        <v>4095</v>
      </c>
      <c r="D1456" s="1" t="n">
        <v>0</v>
      </c>
    </row>
    <row r="1457" customFormat="false" ht="15" hidden="false" customHeight="true" outlineLevel="0" collapsed="false">
      <c r="A1457" s="3" t="n">
        <v>46168.8598842593</v>
      </c>
      <c r="B1457" s="1" t="s">
        <v>8</v>
      </c>
      <c r="C1457" s="1" t="n">
        <v>4095</v>
      </c>
      <c r="D1457" s="1" t="n">
        <v>0</v>
      </c>
    </row>
    <row r="1458" customFormat="false" ht="15" hidden="false" customHeight="true" outlineLevel="0" collapsed="false">
      <c r="A1458" s="3" t="n">
        <v>46168.8598842593</v>
      </c>
      <c r="B1458" s="1" t="s">
        <v>9</v>
      </c>
      <c r="C1458" s="1" t="n">
        <v>4095</v>
      </c>
      <c r="D1458" s="1" t="n">
        <v>0</v>
      </c>
    </row>
    <row r="1459" customFormat="false" ht="15" hidden="false" customHeight="true" outlineLevel="0" collapsed="false">
      <c r="A1459" s="3" t="n">
        <v>46168.8602199074</v>
      </c>
      <c r="B1459" s="1" t="s">
        <v>4</v>
      </c>
      <c r="C1459" s="1" t="n">
        <v>2518</v>
      </c>
      <c r="D1459" s="1" t="n">
        <v>19</v>
      </c>
    </row>
    <row r="1460" customFormat="false" ht="15" hidden="false" customHeight="true" outlineLevel="0" collapsed="false">
      <c r="A1460" s="3" t="n">
        <v>46168.8602199074</v>
      </c>
      <c r="B1460" s="1" t="s">
        <v>5</v>
      </c>
      <c r="D1460" s="1" t="n">
        <v>0</v>
      </c>
    </row>
    <row r="1461" customFormat="false" ht="15" hidden="false" customHeight="true" outlineLevel="0" collapsed="false">
      <c r="A1461" s="3" t="n">
        <v>46168.8602314815</v>
      </c>
      <c r="B1461" s="1" t="s">
        <v>6</v>
      </c>
      <c r="C1461" s="1" t="n">
        <v>2486</v>
      </c>
      <c r="D1461" s="1" t="n">
        <v>16</v>
      </c>
    </row>
    <row r="1462" customFormat="false" ht="15" hidden="false" customHeight="true" outlineLevel="0" collapsed="false">
      <c r="A1462" s="3" t="n">
        <v>46168.8602314815</v>
      </c>
      <c r="B1462" s="1" t="s">
        <v>7</v>
      </c>
      <c r="C1462" s="1" t="n">
        <v>4095</v>
      </c>
      <c r="D1462" s="1" t="n">
        <v>0</v>
      </c>
    </row>
    <row r="1463" customFormat="false" ht="15" hidden="false" customHeight="true" outlineLevel="0" collapsed="false">
      <c r="A1463" s="3" t="n">
        <v>46168.8602314815</v>
      </c>
      <c r="B1463" s="1" t="s">
        <v>8</v>
      </c>
      <c r="C1463" s="1" t="n">
        <v>4095</v>
      </c>
      <c r="D1463" s="1" t="n">
        <v>0</v>
      </c>
    </row>
    <row r="1464" customFormat="false" ht="15" hidden="false" customHeight="true" outlineLevel="0" collapsed="false">
      <c r="A1464" s="3" t="n">
        <v>46168.8602314815</v>
      </c>
      <c r="B1464" s="1" t="s">
        <v>9</v>
      </c>
      <c r="C1464" s="1" t="n">
        <v>4095</v>
      </c>
      <c r="D1464" s="1" t="n">
        <v>0</v>
      </c>
    </row>
    <row r="1465" customFormat="false" ht="15" hidden="false" customHeight="true" outlineLevel="0" collapsed="false">
      <c r="A1465" s="3" t="n">
        <v>46168.8605671296</v>
      </c>
      <c r="B1465" s="1" t="s">
        <v>6</v>
      </c>
      <c r="C1465" s="1" t="n">
        <v>2475</v>
      </c>
      <c r="D1465" s="1" t="n">
        <v>16</v>
      </c>
    </row>
    <row r="1466" customFormat="false" ht="15" hidden="false" customHeight="true" outlineLevel="0" collapsed="false">
      <c r="A1466" s="3" t="n">
        <v>46168.8605671296</v>
      </c>
      <c r="B1466" s="1" t="s">
        <v>4</v>
      </c>
      <c r="C1466" s="1" t="n">
        <v>2587</v>
      </c>
      <c r="D1466" s="1" t="n">
        <v>14</v>
      </c>
    </row>
    <row r="1467" customFormat="false" ht="15" hidden="false" customHeight="true" outlineLevel="0" collapsed="false">
      <c r="A1467" s="3" t="n">
        <v>46168.8605671296</v>
      </c>
      <c r="B1467" s="1" t="s">
        <v>5</v>
      </c>
      <c r="D1467" s="1" t="n">
        <v>62.3</v>
      </c>
    </row>
    <row r="1468" customFormat="false" ht="15" hidden="false" customHeight="true" outlineLevel="0" collapsed="false">
      <c r="A1468" s="3" t="n">
        <v>46168.8605787037</v>
      </c>
      <c r="B1468" s="1" t="s">
        <v>7</v>
      </c>
      <c r="C1468" s="1" t="n">
        <v>4095</v>
      </c>
      <c r="D1468" s="1" t="n">
        <v>0</v>
      </c>
    </row>
    <row r="1469" customFormat="false" ht="15" hidden="false" customHeight="true" outlineLevel="0" collapsed="false">
      <c r="A1469" s="3" t="n">
        <v>46168.8605787037</v>
      </c>
      <c r="B1469" s="1" t="s">
        <v>8</v>
      </c>
      <c r="C1469" s="1" t="n">
        <v>4095</v>
      </c>
      <c r="D1469" s="1" t="n">
        <v>0</v>
      </c>
    </row>
    <row r="1470" customFormat="false" ht="15" hidden="false" customHeight="true" outlineLevel="0" collapsed="false">
      <c r="A1470" s="3" t="n">
        <v>46168.8605787037</v>
      </c>
      <c r="B1470" s="1" t="s">
        <v>9</v>
      </c>
      <c r="C1470" s="1" t="n">
        <v>4095</v>
      </c>
      <c r="D1470" s="1" t="n">
        <v>0</v>
      </c>
    </row>
    <row r="1471" customFormat="false" ht="15" hidden="false" customHeight="true" outlineLevel="0" collapsed="false">
      <c r="A1471" s="3" t="n">
        <v>46168.8609143519</v>
      </c>
      <c r="B1471" s="1" t="s">
        <v>4</v>
      </c>
      <c r="C1471" s="1" t="n">
        <v>2543</v>
      </c>
      <c r="D1471" s="1" t="n">
        <v>17</v>
      </c>
    </row>
    <row r="1472" customFormat="false" ht="15" hidden="false" customHeight="true" outlineLevel="0" collapsed="false">
      <c r="A1472" s="3" t="n">
        <v>46168.8609143519</v>
      </c>
      <c r="B1472" s="1" t="s">
        <v>5</v>
      </c>
      <c r="D1472" s="1" t="n">
        <v>62.1</v>
      </c>
    </row>
    <row r="1473" customFormat="false" ht="15" hidden="false" customHeight="true" outlineLevel="0" collapsed="false">
      <c r="A1473" s="3" t="n">
        <v>46168.8609259259</v>
      </c>
      <c r="B1473" s="1" t="s">
        <v>6</v>
      </c>
      <c r="C1473" s="1" t="n">
        <v>2527</v>
      </c>
      <c r="D1473" s="1" t="n">
        <v>13</v>
      </c>
    </row>
    <row r="1474" customFormat="false" ht="15" hidden="false" customHeight="true" outlineLevel="0" collapsed="false">
      <c r="A1474" s="3" t="n">
        <v>46168.8609259259</v>
      </c>
      <c r="B1474" s="1" t="s">
        <v>7</v>
      </c>
      <c r="C1474" s="1" t="n">
        <v>4095</v>
      </c>
      <c r="D1474" s="1" t="n">
        <v>0</v>
      </c>
    </row>
    <row r="1475" customFormat="false" ht="15" hidden="false" customHeight="true" outlineLevel="0" collapsed="false">
      <c r="A1475" s="3" t="n">
        <v>46168.8609259259</v>
      </c>
      <c r="B1475" s="1" t="s">
        <v>8</v>
      </c>
      <c r="C1475" s="1" t="n">
        <v>4095</v>
      </c>
      <c r="D1475" s="1" t="n">
        <v>0</v>
      </c>
    </row>
    <row r="1476" customFormat="false" ht="15" hidden="false" customHeight="true" outlineLevel="0" collapsed="false">
      <c r="A1476" s="3" t="n">
        <v>46168.8609375</v>
      </c>
      <c r="B1476" s="1" t="s">
        <v>9</v>
      </c>
      <c r="C1476" s="1" t="n">
        <v>4095</v>
      </c>
      <c r="D1476" s="1" t="n">
        <v>0</v>
      </c>
    </row>
    <row r="1477" customFormat="false" ht="15" hidden="false" customHeight="true" outlineLevel="0" collapsed="false">
      <c r="A1477" s="3" t="n">
        <v>46168.8612615741</v>
      </c>
      <c r="B1477" s="1" t="s">
        <v>4</v>
      </c>
      <c r="C1477" s="1" t="n">
        <v>2608</v>
      </c>
      <c r="D1477" s="1" t="n">
        <v>13</v>
      </c>
    </row>
    <row r="1478" customFormat="false" ht="15" hidden="false" customHeight="true" outlineLevel="0" collapsed="false">
      <c r="A1478" s="3" t="n">
        <v>46168.8612615741</v>
      </c>
      <c r="B1478" s="1" t="s">
        <v>5</v>
      </c>
      <c r="D1478" s="1" t="n">
        <v>61.9</v>
      </c>
    </row>
    <row r="1479" customFormat="false" ht="15" hidden="false" customHeight="true" outlineLevel="0" collapsed="false">
      <c r="A1479" s="3" t="n">
        <v>46168.8612731482</v>
      </c>
      <c r="B1479" s="1" t="s">
        <v>6</v>
      </c>
      <c r="C1479" s="1" t="n">
        <v>2585</v>
      </c>
      <c r="D1479" s="1" t="n">
        <v>9</v>
      </c>
    </row>
    <row r="1480" customFormat="false" ht="15" hidden="false" customHeight="true" outlineLevel="0" collapsed="false">
      <c r="A1480" s="3" t="n">
        <v>46168.8612731482</v>
      </c>
      <c r="B1480" s="1" t="s">
        <v>7</v>
      </c>
      <c r="C1480" s="1" t="n">
        <v>4095</v>
      </c>
      <c r="D1480" s="1" t="n">
        <v>0</v>
      </c>
    </row>
    <row r="1481" customFormat="false" ht="15" hidden="false" customHeight="true" outlineLevel="0" collapsed="false">
      <c r="A1481" s="3" t="n">
        <v>46168.8612847222</v>
      </c>
      <c r="B1481" s="1" t="s">
        <v>8</v>
      </c>
      <c r="C1481" s="1" t="n">
        <v>4095</v>
      </c>
      <c r="D1481" s="1" t="n">
        <v>0</v>
      </c>
    </row>
    <row r="1482" customFormat="false" ht="15" hidden="false" customHeight="true" outlineLevel="0" collapsed="false">
      <c r="A1482" s="3" t="n">
        <v>46168.8612847222</v>
      </c>
      <c r="B1482" s="1" t="s">
        <v>9</v>
      </c>
      <c r="C1482" s="1" t="n">
        <v>4095</v>
      </c>
      <c r="D1482" s="1" t="n">
        <v>0</v>
      </c>
    </row>
    <row r="1483" customFormat="false" ht="15" hidden="false" customHeight="true" outlineLevel="0" collapsed="false">
      <c r="A1483" s="3" t="n">
        <v>46168.8616203704</v>
      </c>
      <c r="B1483" s="1" t="s">
        <v>5</v>
      </c>
      <c r="D1483" s="1" t="n">
        <v>0</v>
      </c>
    </row>
    <row r="1484" customFormat="false" ht="15" hidden="false" customHeight="true" outlineLevel="0" collapsed="false">
      <c r="A1484" s="3" t="n">
        <v>46168.8616319444</v>
      </c>
      <c r="B1484" s="1" t="s">
        <v>6</v>
      </c>
      <c r="C1484" s="1" t="n">
        <v>2609</v>
      </c>
      <c r="D1484" s="1" t="n">
        <v>8</v>
      </c>
    </row>
    <row r="1485" customFormat="false" ht="15" hidden="false" customHeight="true" outlineLevel="0" collapsed="false">
      <c r="A1485" s="3" t="n">
        <v>46168.8616319444</v>
      </c>
      <c r="B1485" s="1" t="s">
        <v>7</v>
      </c>
      <c r="C1485" s="1" t="n">
        <v>4095</v>
      </c>
      <c r="D1485" s="1" t="n">
        <v>0</v>
      </c>
    </row>
    <row r="1486" customFormat="false" ht="15" hidden="false" customHeight="true" outlineLevel="0" collapsed="false">
      <c r="A1486" s="3" t="n">
        <v>46168.8616319444</v>
      </c>
      <c r="B1486" s="1" t="s">
        <v>4</v>
      </c>
      <c r="C1486" s="1" t="n">
        <v>2598</v>
      </c>
      <c r="D1486" s="1" t="n">
        <v>14</v>
      </c>
    </row>
    <row r="1487" customFormat="false" ht="15" hidden="false" customHeight="true" outlineLevel="0" collapsed="false">
      <c r="A1487" s="3" t="n">
        <v>46168.8616319444</v>
      </c>
      <c r="B1487" s="1" t="s">
        <v>8</v>
      </c>
      <c r="C1487" s="1" t="n">
        <v>4095</v>
      </c>
      <c r="D1487" s="1" t="n">
        <v>0</v>
      </c>
    </row>
    <row r="1488" customFormat="false" ht="15" hidden="false" customHeight="true" outlineLevel="0" collapsed="false">
      <c r="A1488" s="3" t="n">
        <v>46168.8616435185</v>
      </c>
      <c r="B1488" s="1" t="s">
        <v>9</v>
      </c>
      <c r="C1488" s="1" t="n">
        <v>4095</v>
      </c>
      <c r="D1488" s="1" t="n">
        <v>0</v>
      </c>
    </row>
    <row r="1489" customFormat="false" ht="15" hidden="false" customHeight="true" outlineLevel="0" collapsed="false">
      <c r="A1489" s="3" t="n">
        <v>46168.8619675926</v>
      </c>
      <c r="B1489" s="1" t="s">
        <v>6</v>
      </c>
      <c r="C1489" s="1" t="n">
        <v>2638</v>
      </c>
      <c r="D1489" s="1" t="n">
        <v>6</v>
      </c>
    </row>
    <row r="1490" customFormat="false" ht="15" hidden="false" customHeight="true" outlineLevel="0" collapsed="false">
      <c r="A1490" s="3" t="n">
        <v>46168.8619675926</v>
      </c>
      <c r="B1490" s="1" t="s">
        <v>4</v>
      </c>
      <c r="C1490" s="1" t="n">
        <v>2609</v>
      </c>
      <c r="D1490" s="1" t="n">
        <v>13</v>
      </c>
    </row>
    <row r="1491" customFormat="false" ht="15" hidden="false" customHeight="true" outlineLevel="0" collapsed="false">
      <c r="A1491" s="3" t="n">
        <v>46168.8619675926</v>
      </c>
      <c r="B1491" s="1" t="s">
        <v>5</v>
      </c>
      <c r="D1491" s="1" t="n">
        <v>0</v>
      </c>
    </row>
    <row r="1492" customFormat="false" ht="15" hidden="false" customHeight="true" outlineLevel="0" collapsed="false">
      <c r="A1492" s="3" t="n">
        <v>46168.8619791667</v>
      </c>
      <c r="B1492" s="1" t="s">
        <v>7</v>
      </c>
      <c r="C1492" s="1" t="n">
        <v>4095</v>
      </c>
      <c r="D1492" s="1" t="n">
        <v>0</v>
      </c>
    </row>
    <row r="1493" customFormat="false" ht="15" hidden="false" customHeight="true" outlineLevel="0" collapsed="false">
      <c r="A1493" s="3" t="n">
        <v>46168.8619791667</v>
      </c>
      <c r="B1493" s="1" t="s">
        <v>8</v>
      </c>
      <c r="C1493" s="1" t="n">
        <v>4095</v>
      </c>
      <c r="D1493" s="1" t="n">
        <v>0</v>
      </c>
    </row>
    <row r="1494" customFormat="false" ht="15" hidden="false" customHeight="true" outlineLevel="0" collapsed="false">
      <c r="A1494" s="3" t="n">
        <v>46168.8619791667</v>
      </c>
      <c r="B1494" s="1" t="s">
        <v>9</v>
      </c>
      <c r="C1494" s="1" t="n">
        <v>4095</v>
      </c>
      <c r="D1494" s="1" t="n">
        <v>0</v>
      </c>
    </row>
    <row r="1495" customFormat="false" ht="15" hidden="false" customHeight="true" outlineLevel="0" collapsed="false">
      <c r="A1495" s="3" t="n">
        <v>46168.8623148148</v>
      </c>
      <c r="B1495" s="1" t="s">
        <v>4</v>
      </c>
      <c r="C1495" s="1" t="n">
        <v>2612</v>
      </c>
      <c r="D1495" s="1" t="n">
        <v>13</v>
      </c>
    </row>
    <row r="1496" customFormat="false" ht="15" hidden="false" customHeight="true" outlineLevel="0" collapsed="false">
      <c r="A1496" s="3" t="n">
        <v>46168.8623148148</v>
      </c>
      <c r="B1496" s="1" t="s">
        <v>5</v>
      </c>
      <c r="D1496" s="1" t="n">
        <v>88.1</v>
      </c>
    </row>
    <row r="1497" customFormat="false" ht="15" hidden="false" customHeight="true" outlineLevel="0" collapsed="false">
      <c r="A1497" s="3" t="n">
        <v>46168.8623263889</v>
      </c>
      <c r="B1497" s="1" t="s">
        <v>6</v>
      </c>
      <c r="C1497" s="1" t="n">
        <v>2631</v>
      </c>
      <c r="D1497" s="1" t="n">
        <v>6</v>
      </c>
    </row>
    <row r="1498" customFormat="false" ht="15" hidden="false" customHeight="true" outlineLevel="0" collapsed="false">
      <c r="A1498" s="3" t="n">
        <v>46168.8623263889</v>
      </c>
      <c r="B1498" s="1" t="s">
        <v>7</v>
      </c>
      <c r="C1498" s="1" t="n">
        <v>4095</v>
      </c>
      <c r="D1498" s="1" t="n">
        <v>0</v>
      </c>
    </row>
    <row r="1499" customFormat="false" ht="15" hidden="false" customHeight="true" outlineLevel="0" collapsed="false">
      <c r="A1499" s="3" t="n">
        <v>46168.8623263889</v>
      </c>
      <c r="B1499" s="1" t="s">
        <v>8</v>
      </c>
      <c r="C1499" s="1" t="n">
        <v>4095</v>
      </c>
      <c r="D1499" s="1" t="n">
        <v>0</v>
      </c>
    </row>
    <row r="1500" customFormat="false" ht="15" hidden="false" customHeight="true" outlineLevel="0" collapsed="false">
      <c r="A1500" s="3" t="n">
        <v>46168.862337963</v>
      </c>
      <c r="B1500" s="1" t="s">
        <v>9</v>
      </c>
      <c r="C1500" s="1" t="n">
        <v>4095</v>
      </c>
      <c r="D1500" s="1" t="n">
        <v>0</v>
      </c>
    </row>
    <row r="1501" customFormat="false" ht="15" hidden="false" customHeight="true" outlineLevel="0" collapsed="false">
      <c r="A1501" s="3" t="n">
        <v>46168.862662037</v>
      </c>
      <c r="B1501" s="1" t="s">
        <v>5</v>
      </c>
      <c r="D1501" s="1" t="n">
        <v>87.7</v>
      </c>
    </row>
    <row r="1502" customFormat="false" ht="15" hidden="false" customHeight="true" outlineLevel="0" collapsed="false">
      <c r="A1502" s="3" t="n">
        <v>46168.8626736111</v>
      </c>
      <c r="B1502" s="1" t="s">
        <v>6</v>
      </c>
      <c r="C1502" s="1" t="n">
        <v>2640</v>
      </c>
      <c r="D1502" s="1" t="n">
        <v>5</v>
      </c>
    </row>
    <row r="1503" customFormat="false" ht="15" hidden="false" customHeight="true" outlineLevel="0" collapsed="false">
      <c r="A1503" s="3" t="n">
        <v>46168.8626736111</v>
      </c>
      <c r="B1503" s="1" t="s">
        <v>7</v>
      </c>
      <c r="C1503" s="1" t="n">
        <v>4095</v>
      </c>
      <c r="D1503" s="1" t="n">
        <v>0</v>
      </c>
    </row>
    <row r="1504" customFormat="false" ht="15" hidden="false" customHeight="true" outlineLevel="0" collapsed="false">
      <c r="A1504" s="3" t="n">
        <v>46168.8626736111</v>
      </c>
      <c r="B1504" s="1" t="s">
        <v>4</v>
      </c>
      <c r="C1504" s="1" t="n">
        <v>2599</v>
      </c>
      <c r="D1504" s="1" t="n">
        <v>13</v>
      </c>
    </row>
    <row r="1505" customFormat="false" ht="15" hidden="false" customHeight="true" outlineLevel="0" collapsed="false">
      <c r="A1505" s="3" t="n">
        <v>46168.8626736111</v>
      </c>
      <c r="B1505" s="1" t="s">
        <v>8</v>
      </c>
      <c r="C1505" s="1" t="n">
        <v>4095</v>
      </c>
      <c r="D1505" s="1" t="n">
        <v>0</v>
      </c>
    </row>
    <row r="1506" customFormat="false" ht="15" hidden="false" customHeight="true" outlineLevel="0" collapsed="false">
      <c r="A1506" s="3" t="n">
        <v>46168.8626851852</v>
      </c>
      <c r="B1506" s="1" t="s">
        <v>9</v>
      </c>
      <c r="C1506" s="1" t="n">
        <v>4095</v>
      </c>
      <c r="D1506" s="1" t="n">
        <v>0</v>
      </c>
    </row>
    <row r="1507" customFormat="false" ht="15" hidden="false" customHeight="true" outlineLevel="0" collapsed="false">
      <c r="A1507" s="3" t="n">
        <v>46168.8630092593</v>
      </c>
      <c r="B1507" s="1" t="s">
        <v>5</v>
      </c>
      <c r="D1507" s="1" t="n">
        <v>87.7</v>
      </c>
    </row>
    <row r="1508" customFormat="false" ht="15" hidden="false" customHeight="true" outlineLevel="0" collapsed="false">
      <c r="A1508" s="3" t="n">
        <v>46168.8630208333</v>
      </c>
      <c r="B1508" s="1" t="s">
        <v>6</v>
      </c>
      <c r="C1508" s="1" t="n">
        <v>2636</v>
      </c>
      <c r="D1508" s="1" t="n">
        <v>6</v>
      </c>
    </row>
    <row r="1509" customFormat="false" ht="15" hidden="false" customHeight="true" outlineLevel="0" collapsed="false">
      <c r="A1509" s="3" t="n">
        <v>46168.8630208333</v>
      </c>
      <c r="B1509" s="1" t="s">
        <v>7</v>
      </c>
      <c r="C1509" s="1" t="n">
        <v>4095</v>
      </c>
      <c r="D1509" s="1" t="n">
        <v>0</v>
      </c>
    </row>
    <row r="1510" customFormat="false" ht="15" hidden="false" customHeight="true" outlineLevel="0" collapsed="false">
      <c r="A1510" s="3" t="n">
        <v>46168.8630208333</v>
      </c>
      <c r="B1510" s="1" t="s">
        <v>4</v>
      </c>
      <c r="C1510" s="1" t="n">
        <v>2526</v>
      </c>
      <c r="D1510" s="1" t="n">
        <v>18</v>
      </c>
    </row>
    <row r="1511" customFormat="false" ht="15" hidden="false" customHeight="true" outlineLevel="0" collapsed="false">
      <c r="A1511" s="3" t="n">
        <v>46168.8630208333</v>
      </c>
      <c r="B1511" s="1" t="s">
        <v>8</v>
      </c>
      <c r="C1511" s="1" t="n">
        <v>4095</v>
      </c>
      <c r="D1511" s="1" t="n">
        <v>0</v>
      </c>
    </row>
    <row r="1512" customFormat="false" ht="15" hidden="false" customHeight="true" outlineLevel="0" collapsed="false">
      <c r="A1512" s="3" t="n">
        <v>46168.8630324074</v>
      </c>
      <c r="B1512" s="1" t="s">
        <v>9</v>
      </c>
      <c r="C1512" s="1" t="n">
        <v>4095</v>
      </c>
      <c r="D1512" s="1" t="n">
        <v>0</v>
      </c>
    </row>
    <row r="1513" customFormat="false" ht="15" hidden="false" customHeight="true" outlineLevel="0" collapsed="false">
      <c r="A1513" s="3" t="n">
        <v>46168.8633564815</v>
      </c>
      <c r="B1513" s="1" t="s">
        <v>5</v>
      </c>
      <c r="D1513" s="1" t="n">
        <v>87.7</v>
      </c>
    </row>
    <row r="1514" customFormat="false" ht="15" hidden="false" customHeight="true" outlineLevel="0" collapsed="false">
      <c r="A1514" s="3" t="n">
        <v>46168.8633680556</v>
      </c>
      <c r="B1514" s="1" t="s">
        <v>6</v>
      </c>
      <c r="C1514" s="1" t="n">
        <v>2639</v>
      </c>
      <c r="D1514" s="1" t="n">
        <v>6</v>
      </c>
    </row>
    <row r="1515" customFormat="false" ht="15" hidden="false" customHeight="true" outlineLevel="0" collapsed="false">
      <c r="A1515" s="3" t="n">
        <v>46168.8633680556</v>
      </c>
      <c r="B1515" s="1" t="s">
        <v>7</v>
      </c>
      <c r="C1515" s="1" t="n">
        <v>4095</v>
      </c>
      <c r="D1515" s="1" t="n">
        <v>0</v>
      </c>
    </row>
    <row r="1516" customFormat="false" ht="15" hidden="false" customHeight="true" outlineLevel="0" collapsed="false">
      <c r="A1516" s="3" t="n">
        <v>46168.8633680556</v>
      </c>
      <c r="B1516" s="1" t="s">
        <v>4</v>
      </c>
      <c r="C1516" s="1" t="n">
        <v>2607</v>
      </c>
      <c r="D1516" s="1" t="n">
        <v>13</v>
      </c>
    </row>
    <row r="1517" customFormat="false" ht="15" hidden="false" customHeight="true" outlineLevel="0" collapsed="false">
      <c r="A1517" s="3" t="n">
        <v>46168.8633680556</v>
      </c>
      <c r="B1517" s="1" t="s">
        <v>8</v>
      </c>
      <c r="C1517" s="1" t="n">
        <v>4095</v>
      </c>
      <c r="D1517" s="1" t="n">
        <v>0</v>
      </c>
    </row>
    <row r="1518" customFormat="false" ht="15" hidden="false" customHeight="true" outlineLevel="0" collapsed="false">
      <c r="A1518" s="3" t="n">
        <v>46168.8633796296</v>
      </c>
      <c r="B1518" s="1" t="s">
        <v>9</v>
      </c>
      <c r="C1518" s="1" t="n">
        <v>4095</v>
      </c>
      <c r="D1518" s="1" t="n">
        <v>0</v>
      </c>
    </row>
    <row r="1519" customFormat="false" ht="15" hidden="false" customHeight="true" outlineLevel="0" collapsed="false">
      <c r="A1519" s="3" t="n">
        <v>46168.8637037037</v>
      </c>
      <c r="B1519" s="1" t="s">
        <v>5</v>
      </c>
      <c r="D1519" s="1" t="n">
        <v>87.7</v>
      </c>
    </row>
    <row r="1520" customFormat="false" ht="15" hidden="false" customHeight="true" outlineLevel="0" collapsed="false">
      <c r="A1520" s="3" t="n">
        <v>46168.8637152778</v>
      </c>
      <c r="B1520" s="1" t="s">
        <v>6</v>
      </c>
      <c r="C1520" s="1" t="n">
        <v>2640</v>
      </c>
      <c r="D1520" s="1" t="n">
        <v>5</v>
      </c>
    </row>
    <row r="1521" customFormat="false" ht="15" hidden="false" customHeight="true" outlineLevel="0" collapsed="false">
      <c r="A1521" s="3" t="n">
        <v>46168.8637152778</v>
      </c>
      <c r="B1521" s="1" t="s">
        <v>7</v>
      </c>
      <c r="C1521" s="1" t="n">
        <v>1477</v>
      </c>
      <c r="D1521" s="1" t="n">
        <v>100</v>
      </c>
    </row>
    <row r="1522" customFormat="false" ht="15" hidden="false" customHeight="true" outlineLevel="0" collapsed="false">
      <c r="A1522" s="3" t="n">
        <v>46168.8637152778</v>
      </c>
      <c r="B1522" s="1" t="s">
        <v>4</v>
      </c>
      <c r="C1522" s="1" t="n">
        <v>2681</v>
      </c>
      <c r="D1522" s="1" t="n">
        <v>8</v>
      </c>
    </row>
    <row r="1523" customFormat="false" ht="15" hidden="false" customHeight="true" outlineLevel="0" collapsed="false">
      <c r="A1523" s="3" t="n">
        <v>46168.8637152778</v>
      </c>
      <c r="B1523" s="1" t="s">
        <v>8</v>
      </c>
      <c r="C1523" s="1" t="n">
        <v>1728</v>
      </c>
      <c r="D1523" s="1" t="n">
        <v>100</v>
      </c>
    </row>
    <row r="1524" customFormat="false" ht="15" hidden="false" customHeight="true" outlineLevel="0" collapsed="false">
      <c r="A1524" s="3" t="n">
        <v>46168.8637268519</v>
      </c>
      <c r="B1524" s="1" t="s">
        <v>9</v>
      </c>
      <c r="C1524" s="1" t="n">
        <v>1596</v>
      </c>
      <c r="D1524" s="1" t="n">
        <v>100</v>
      </c>
    </row>
    <row r="1525" customFormat="false" ht="15" hidden="false" customHeight="true" outlineLevel="0" collapsed="false">
      <c r="A1525" s="3" t="n">
        <v>46168.8640509259</v>
      </c>
      <c r="B1525" s="1" t="s">
        <v>5</v>
      </c>
      <c r="D1525" s="1" t="n">
        <v>87.7</v>
      </c>
    </row>
    <row r="1526" customFormat="false" ht="15" hidden="false" customHeight="true" outlineLevel="0" collapsed="false">
      <c r="A1526" s="3" t="n">
        <v>46168.8640625</v>
      </c>
      <c r="B1526" s="1" t="s">
        <v>6</v>
      </c>
      <c r="C1526" s="1" t="n">
        <v>1199</v>
      </c>
      <c r="D1526" s="1" t="n">
        <v>100</v>
      </c>
    </row>
    <row r="1527" customFormat="false" ht="15" hidden="false" customHeight="true" outlineLevel="0" collapsed="false">
      <c r="A1527" s="3" t="n">
        <v>46168.8640625</v>
      </c>
      <c r="B1527" s="1" t="s">
        <v>7</v>
      </c>
      <c r="C1527" s="1" t="n">
        <v>1826</v>
      </c>
      <c r="D1527" s="1" t="n">
        <v>91</v>
      </c>
    </row>
    <row r="1528" customFormat="false" ht="15" hidden="false" customHeight="true" outlineLevel="0" collapsed="false">
      <c r="A1528" s="3" t="n">
        <v>46168.8640625</v>
      </c>
      <c r="B1528" s="1" t="s">
        <v>4</v>
      </c>
      <c r="C1528" s="1" t="n">
        <v>1319</v>
      </c>
      <c r="D1528" s="1" t="n">
        <v>98</v>
      </c>
    </row>
    <row r="1529" customFormat="false" ht="15" hidden="false" customHeight="true" outlineLevel="0" collapsed="false">
      <c r="A1529" s="3" t="n">
        <v>46168.8640625</v>
      </c>
      <c r="B1529" s="1" t="s">
        <v>8</v>
      </c>
      <c r="C1529" s="1" t="n">
        <v>2000</v>
      </c>
      <c r="D1529" s="1" t="n">
        <v>85</v>
      </c>
    </row>
    <row r="1530" customFormat="false" ht="15" hidden="false" customHeight="true" outlineLevel="0" collapsed="false">
      <c r="A1530" s="3" t="n">
        <v>46168.8640740741</v>
      </c>
      <c r="B1530" s="1" t="s">
        <v>9</v>
      </c>
      <c r="C1530" s="1" t="n">
        <v>1859</v>
      </c>
      <c r="D1530" s="1" t="n">
        <v>100</v>
      </c>
    </row>
    <row r="1531" customFormat="false" ht="15" hidden="false" customHeight="true" outlineLevel="0" collapsed="false">
      <c r="A1531" s="3" t="n">
        <v>46168.8644097222</v>
      </c>
      <c r="B1531" s="1" t="s">
        <v>6</v>
      </c>
      <c r="C1531" s="1" t="n">
        <v>1200</v>
      </c>
      <c r="D1531" s="1" t="n">
        <v>100</v>
      </c>
    </row>
    <row r="1532" customFormat="false" ht="15" hidden="false" customHeight="true" outlineLevel="0" collapsed="false">
      <c r="A1532" s="3" t="n">
        <v>46168.8644097222</v>
      </c>
      <c r="B1532" s="1" t="s">
        <v>7</v>
      </c>
      <c r="C1532" s="1" t="n">
        <v>1891</v>
      </c>
      <c r="D1532" s="1" t="n">
        <v>85</v>
      </c>
    </row>
    <row r="1533" customFormat="false" ht="15" hidden="false" customHeight="true" outlineLevel="0" collapsed="false">
      <c r="A1533" s="3" t="n">
        <v>46168.8644097222</v>
      </c>
      <c r="B1533" s="1" t="s">
        <v>4</v>
      </c>
      <c r="C1533" s="1" t="n">
        <v>1297</v>
      </c>
      <c r="D1533" s="1" t="n">
        <v>100</v>
      </c>
    </row>
    <row r="1534" customFormat="false" ht="15" hidden="false" customHeight="true" outlineLevel="0" collapsed="false">
      <c r="A1534" s="3" t="n">
        <v>46168.8644097222</v>
      </c>
      <c r="B1534" s="1" t="s">
        <v>5</v>
      </c>
      <c r="D1534" s="1" t="n">
        <v>87.7</v>
      </c>
    </row>
    <row r="1535" customFormat="false" ht="15" hidden="false" customHeight="true" outlineLevel="0" collapsed="false">
      <c r="A1535" s="3" t="n">
        <v>46168.8644212963</v>
      </c>
      <c r="B1535" s="1" t="s">
        <v>8</v>
      </c>
      <c r="C1535" s="1" t="n">
        <v>2063</v>
      </c>
      <c r="D1535" s="1" t="n">
        <v>77</v>
      </c>
    </row>
    <row r="1536" customFormat="false" ht="15" hidden="false" customHeight="true" outlineLevel="0" collapsed="false">
      <c r="A1536" s="3" t="n">
        <v>46168.8644212963</v>
      </c>
      <c r="B1536" s="1" t="s">
        <v>9</v>
      </c>
      <c r="C1536" s="1" t="n">
        <v>1927</v>
      </c>
      <c r="D1536" s="1" t="n">
        <v>100</v>
      </c>
    </row>
    <row r="1537" customFormat="false" ht="15" hidden="false" customHeight="true" outlineLevel="0" collapsed="false">
      <c r="A1537" s="3" t="n">
        <v>46168.8647569444</v>
      </c>
      <c r="B1537" s="1" t="s">
        <v>6</v>
      </c>
      <c r="C1537" s="1" t="n">
        <v>1210</v>
      </c>
      <c r="D1537" s="1" t="n">
        <v>100</v>
      </c>
    </row>
    <row r="1538" customFormat="false" ht="15" hidden="false" customHeight="true" outlineLevel="0" collapsed="false">
      <c r="A1538" s="3" t="n">
        <v>46168.8647569444</v>
      </c>
      <c r="B1538" s="1" t="s">
        <v>4</v>
      </c>
      <c r="C1538" s="1" t="n">
        <v>1284</v>
      </c>
      <c r="D1538" s="1" t="n">
        <v>100</v>
      </c>
    </row>
    <row r="1539" customFormat="false" ht="15" hidden="false" customHeight="true" outlineLevel="0" collapsed="false">
      <c r="A1539" s="3" t="n">
        <v>46168.8647569444</v>
      </c>
      <c r="B1539" s="1" t="s">
        <v>5</v>
      </c>
      <c r="D1539" s="1" t="n">
        <v>87.6</v>
      </c>
    </row>
    <row r="1540" customFormat="false" ht="15" hidden="false" customHeight="true" outlineLevel="0" collapsed="false">
      <c r="A1540" s="3" t="n">
        <v>46168.8647685185</v>
      </c>
      <c r="B1540" s="1" t="s">
        <v>7</v>
      </c>
      <c r="C1540" s="1" t="n">
        <v>1930</v>
      </c>
      <c r="D1540" s="1" t="n">
        <v>81</v>
      </c>
    </row>
    <row r="1541" customFormat="false" ht="15" hidden="false" customHeight="true" outlineLevel="0" collapsed="false">
      <c r="A1541" s="3" t="n">
        <v>46168.8647685185</v>
      </c>
      <c r="B1541" s="1" t="s">
        <v>8</v>
      </c>
      <c r="C1541" s="1" t="n">
        <v>2086</v>
      </c>
      <c r="D1541" s="1" t="n">
        <v>75</v>
      </c>
    </row>
    <row r="1542" customFormat="false" ht="15" hidden="false" customHeight="true" outlineLevel="0" collapsed="false">
      <c r="A1542" s="3" t="n">
        <v>46168.8647685185</v>
      </c>
      <c r="B1542" s="1" t="s">
        <v>9</v>
      </c>
      <c r="C1542" s="1" t="n">
        <v>1968</v>
      </c>
      <c r="D1542" s="1" t="n">
        <v>97</v>
      </c>
    </row>
    <row r="1543" customFormat="false" ht="15" hidden="false" customHeight="true" outlineLevel="0" collapsed="false">
      <c r="A1543" s="3" t="n">
        <v>46168.8651041667</v>
      </c>
      <c r="B1543" s="1" t="s">
        <v>4</v>
      </c>
      <c r="C1543" s="1" t="n">
        <v>1286</v>
      </c>
      <c r="D1543" s="1" t="n">
        <v>100</v>
      </c>
    </row>
    <row r="1544" customFormat="false" ht="15" hidden="false" customHeight="true" outlineLevel="0" collapsed="false">
      <c r="A1544" s="3" t="n">
        <v>46168.8651041667</v>
      </c>
      <c r="B1544" s="1" t="s">
        <v>5</v>
      </c>
      <c r="D1544" s="1" t="n">
        <v>87.6</v>
      </c>
    </row>
    <row r="1545" customFormat="false" ht="15" hidden="false" customHeight="true" outlineLevel="0" collapsed="false">
      <c r="A1545" s="3" t="n">
        <v>46168.8651157407</v>
      </c>
      <c r="B1545" s="1" t="s">
        <v>6</v>
      </c>
      <c r="C1545" s="1" t="n">
        <v>1289</v>
      </c>
      <c r="D1545" s="1" t="n">
        <v>94</v>
      </c>
    </row>
    <row r="1546" customFormat="false" ht="15" hidden="false" customHeight="true" outlineLevel="0" collapsed="false">
      <c r="A1546" s="3" t="n">
        <v>46168.8651157407</v>
      </c>
      <c r="B1546" s="1" t="s">
        <v>7</v>
      </c>
      <c r="C1546" s="1" t="n">
        <v>1941</v>
      </c>
      <c r="D1546" s="1" t="n">
        <v>80</v>
      </c>
    </row>
    <row r="1547" customFormat="false" ht="15" hidden="false" customHeight="true" outlineLevel="0" collapsed="false">
      <c r="A1547" s="3" t="n">
        <v>46168.8651273148</v>
      </c>
      <c r="B1547" s="1" t="s">
        <v>8</v>
      </c>
      <c r="C1547" s="1" t="n">
        <v>2101</v>
      </c>
      <c r="D1547" s="1" t="n">
        <v>73</v>
      </c>
    </row>
    <row r="1548" customFormat="false" ht="15" hidden="false" customHeight="true" outlineLevel="0" collapsed="false">
      <c r="A1548" s="3" t="n">
        <v>46168.8651273148</v>
      </c>
      <c r="B1548" s="1" t="s">
        <v>9</v>
      </c>
      <c r="C1548" s="1" t="n">
        <v>1994</v>
      </c>
      <c r="D1548" s="1" t="n">
        <v>93</v>
      </c>
    </row>
    <row r="1549" customFormat="false" ht="15" hidden="false" customHeight="true" outlineLevel="0" collapsed="false">
      <c r="A1549" s="3" t="n">
        <v>46168.865462963</v>
      </c>
      <c r="B1549" s="1" t="s">
        <v>6</v>
      </c>
      <c r="C1549" s="1" t="n">
        <v>1199</v>
      </c>
      <c r="D1549" s="1" t="n">
        <v>100</v>
      </c>
    </row>
    <row r="1550" customFormat="false" ht="15" hidden="false" customHeight="true" outlineLevel="0" collapsed="false">
      <c r="A1550" s="3" t="n">
        <v>46168.865462963</v>
      </c>
      <c r="B1550" s="1" t="s">
        <v>4</v>
      </c>
      <c r="C1550" s="1" t="n">
        <v>1255</v>
      </c>
      <c r="D1550" s="1" t="n">
        <v>100</v>
      </c>
    </row>
    <row r="1551" customFormat="false" ht="15" hidden="false" customHeight="true" outlineLevel="0" collapsed="false">
      <c r="A1551" s="3" t="n">
        <v>46168.865462963</v>
      </c>
      <c r="B1551" s="1" t="s">
        <v>5</v>
      </c>
      <c r="D1551" s="1" t="n">
        <v>87.6</v>
      </c>
    </row>
    <row r="1552" customFormat="false" ht="15" hidden="false" customHeight="true" outlineLevel="0" collapsed="false">
      <c r="A1552" s="3" t="n">
        <v>46168.865474537</v>
      </c>
      <c r="B1552" s="1" t="s">
        <v>7</v>
      </c>
      <c r="C1552" s="1" t="n">
        <v>1967</v>
      </c>
      <c r="D1552" s="1" t="n">
        <v>78</v>
      </c>
    </row>
    <row r="1553" customFormat="false" ht="15" hidden="false" customHeight="true" outlineLevel="0" collapsed="false">
      <c r="A1553" s="3" t="n">
        <v>46168.865474537</v>
      </c>
      <c r="B1553" s="1" t="s">
        <v>8</v>
      </c>
      <c r="C1553" s="1" t="n">
        <v>2108</v>
      </c>
      <c r="D1553" s="1" t="n">
        <v>72</v>
      </c>
    </row>
    <row r="1554" customFormat="false" ht="15" hidden="false" customHeight="true" outlineLevel="0" collapsed="false">
      <c r="A1554" s="3" t="n">
        <v>46168.865474537</v>
      </c>
      <c r="B1554" s="1" t="s">
        <v>9</v>
      </c>
      <c r="C1554" s="1" t="n">
        <v>2016</v>
      </c>
      <c r="D1554" s="1" t="n">
        <v>89</v>
      </c>
    </row>
    <row r="1555" customFormat="false" ht="15" hidden="false" customHeight="true" outlineLevel="0" collapsed="false">
      <c r="A1555" s="3" t="n">
        <v>46168.8658101852</v>
      </c>
      <c r="B1555" s="1" t="s">
        <v>4</v>
      </c>
      <c r="C1555" s="1" t="n">
        <v>1296</v>
      </c>
      <c r="D1555" s="1" t="n">
        <v>100</v>
      </c>
    </row>
    <row r="1556" customFormat="false" ht="15" hidden="false" customHeight="true" outlineLevel="0" collapsed="false">
      <c r="A1556" s="3" t="n">
        <v>46168.8658101852</v>
      </c>
      <c r="B1556" s="1" t="s">
        <v>5</v>
      </c>
      <c r="D1556" s="1" t="n">
        <v>87.6</v>
      </c>
    </row>
    <row r="1557" customFormat="false" ht="15" hidden="false" customHeight="true" outlineLevel="0" collapsed="false">
      <c r="A1557" s="3" t="n">
        <v>46168.8658217593</v>
      </c>
      <c r="B1557" s="1" t="s">
        <v>6</v>
      </c>
      <c r="C1557" s="1" t="n">
        <v>1197</v>
      </c>
      <c r="D1557" s="1" t="n">
        <v>100</v>
      </c>
    </row>
    <row r="1558" customFormat="false" ht="15" hidden="false" customHeight="true" outlineLevel="0" collapsed="false">
      <c r="A1558" s="3" t="n">
        <v>46168.8658217593</v>
      </c>
      <c r="B1558" s="1" t="s">
        <v>7</v>
      </c>
      <c r="C1558" s="1" t="n">
        <v>1970</v>
      </c>
      <c r="D1558" s="1" t="n">
        <v>78</v>
      </c>
    </row>
    <row r="1559" customFormat="false" ht="15" hidden="false" customHeight="true" outlineLevel="0" collapsed="false">
      <c r="A1559" s="3" t="n">
        <v>46168.8658217593</v>
      </c>
      <c r="B1559" s="1" t="s">
        <v>8</v>
      </c>
      <c r="C1559" s="1" t="n">
        <v>2113</v>
      </c>
      <c r="D1559" s="1" t="n">
        <v>71</v>
      </c>
    </row>
    <row r="1560" customFormat="false" ht="15" hidden="false" customHeight="true" outlineLevel="0" collapsed="false">
      <c r="A1560" s="3" t="n">
        <v>46168.8658217593</v>
      </c>
      <c r="B1560" s="1" t="s">
        <v>9</v>
      </c>
      <c r="C1560" s="1" t="n">
        <v>2013</v>
      </c>
      <c r="D1560" s="1" t="n">
        <v>89</v>
      </c>
    </row>
    <row r="1561" customFormat="false" ht="15" hidden="false" customHeight="true" outlineLevel="0" collapsed="false">
      <c r="A1561" s="3" t="n">
        <v>46168.8661574074</v>
      </c>
      <c r="B1561" s="1" t="s">
        <v>4</v>
      </c>
      <c r="C1561" s="1" t="n">
        <v>1268</v>
      </c>
      <c r="D1561" s="1" t="n">
        <v>100</v>
      </c>
    </row>
    <row r="1562" customFormat="false" ht="15" hidden="false" customHeight="true" outlineLevel="0" collapsed="false">
      <c r="A1562" s="3" t="n">
        <v>46168.8661574074</v>
      </c>
      <c r="B1562" s="1" t="s">
        <v>5</v>
      </c>
      <c r="D1562" s="1" t="n">
        <v>87.6</v>
      </c>
    </row>
    <row r="1563" customFormat="false" ht="15" hidden="false" customHeight="true" outlineLevel="0" collapsed="false">
      <c r="A1563" s="3" t="n">
        <v>46168.8661689815</v>
      </c>
      <c r="B1563" s="1" t="s">
        <v>6</v>
      </c>
      <c r="C1563" s="1" t="n">
        <v>1312</v>
      </c>
      <c r="D1563" s="1" t="n">
        <v>93</v>
      </c>
    </row>
    <row r="1564" customFormat="false" ht="15" hidden="false" customHeight="true" outlineLevel="0" collapsed="false">
      <c r="A1564" s="3" t="n">
        <v>46168.8661689815</v>
      </c>
      <c r="B1564" s="1" t="s">
        <v>7</v>
      </c>
      <c r="C1564" s="1" t="n">
        <v>1983</v>
      </c>
      <c r="D1564" s="1" t="n">
        <v>76</v>
      </c>
    </row>
    <row r="1565" customFormat="false" ht="15" hidden="false" customHeight="true" outlineLevel="0" collapsed="false">
      <c r="A1565" s="3" t="n">
        <v>46168.8661689815</v>
      </c>
      <c r="B1565" s="1" t="s">
        <v>8</v>
      </c>
      <c r="C1565" s="1" t="n">
        <v>2123</v>
      </c>
      <c r="D1565" s="1" t="n">
        <v>70</v>
      </c>
    </row>
    <row r="1566" customFormat="false" ht="15" hidden="false" customHeight="true" outlineLevel="0" collapsed="false">
      <c r="A1566" s="3" t="n">
        <v>46168.8661805556</v>
      </c>
      <c r="B1566" s="1" t="s">
        <v>9</v>
      </c>
      <c r="C1566" s="1" t="n">
        <v>2023</v>
      </c>
      <c r="D1566" s="1" t="n">
        <v>88</v>
      </c>
    </row>
    <row r="1567" customFormat="false" ht="15" hidden="false" customHeight="true" outlineLevel="0" collapsed="false">
      <c r="A1567" s="3" t="n">
        <v>46168.8665046296</v>
      </c>
      <c r="B1567" s="1" t="s">
        <v>5</v>
      </c>
      <c r="D1567" s="1" t="n">
        <v>87.6</v>
      </c>
    </row>
    <row r="1568" customFormat="false" ht="15" hidden="false" customHeight="true" outlineLevel="0" collapsed="false">
      <c r="A1568" s="3" t="n">
        <v>46168.8665162037</v>
      </c>
      <c r="B1568" s="1" t="s">
        <v>6</v>
      </c>
      <c r="C1568" s="1" t="n">
        <v>1227</v>
      </c>
      <c r="D1568" s="1" t="n">
        <v>99</v>
      </c>
    </row>
    <row r="1569" customFormat="false" ht="15" hidden="false" customHeight="true" outlineLevel="0" collapsed="false">
      <c r="A1569" s="3" t="n">
        <v>46168.8665162037</v>
      </c>
      <c r="B1569" s="1" t="s">
        <v>4</v>
      </c>
      <c r="C1569" s="1" t="n">
        <v>1264</v>
      </c>
      <c r="D1569" s="1" t="n">
        <v>100</v>
      </c>
    </row>
    <row r="1570" customFormat="false" ht="15" hidden="false" customHeight="true" outlineLevel="0" collapsed="false">
      <c r="A1570" s="3" t="n">
        <v>46168.8665393519</v>
      </c>
      <c r="B1570" s="1" t="s">
        <v>7</v>
      </c>
      <c r="C1570" s="1" t="n">
        <v>1993</v>
      </c>
      <c r="D1570" s="1" t="n">
        <v>75</v>
      </c>
    </row>
    <row r="1571" customFormat="false" ht="15" hidden="false" customHeight="true" outlineLevel="0" collapsed="false">
      <c r="A1571" s="3" t="n">
        <v>46168.8665393519</v>
      </c>
      <c r="B1571" s="1" t="s">
        <v>8</v>
      </c>
      <c r="C1571" s="1" t="n">
        <v>2083</v>
      </c>
      <c r="D1571" s="1" t="n">
        <v>75</v>
      </c>
    </row>
    <row r="1572" customFormat="false" ht="15" hidden="false" customHeight="true" outlineLevel="0" collapsed="false">
      <c r="A1572" s="3" t="n">
        <v>46168.8665509259</v>
      </c>
      <c r="B1572" s="1" t="s">
        <v>9</v>
      </c>
      <c r="C1572" s="1" t="n">
        <v>2032</v>
      </c>
      <c r="D1572" s="1" t="n">
        <v>86</v>
      </c>
    </row>
    <row r="1573" customFormat="false" ht="15" hidden="false" customHeight="true" outlineLevel="0" collapsed="false">
      <c r="A1573" s="3" t="n">
        <v>46168.8668518519</v>
      </c>
      <c r="B1573" s="1" t="s">
        <v>5</v>
      </c>
      <c r="D1573" s="1" t="n">
        <v>87.4</v>
      </c>
    </row>
    <row r="1574" customFormat="false" ht="15" hidden="false" customHeight="true" outlineLevel="0" collapsed="false">
      <c r="A1574" s="3" t="n">
        <v>46168.8668634259</v>
      </c>
      <c r="B1574" s="1" t="s">
        <v>4</v>
      </c>
      <c r="C1574" s="1" t="n">
        <v>1270</v>
      </c>
      <c r="D1574" s="1" t="n">
        <v>100</v>
      </c>
    </row>
    <row r="1575" customFormat="false" ht="15" hidden="false" customHeight="true" outlineLevel="0" collapsed="false">
      <c r="A1575" s="3" t="n">
        <v>46168.866875</v>
      </c>
      <c r="B1575" s="1" t="s">
        <v>6</v>
      </c>
      <c r="C1575" s="1" t="n">
        <v>1253</v>
      </c>
      <c r="D1575" s="1" t="n">
        <v>97</v>
      </c>
    </row>
    <row r="1576" customFormat="false" ht="15" hidden="false" customHeight="true" outlineLevel="0" collapsed="false">
      <c r="A1576" s="3" t="n">
        <v>46168.8668865741</v>
      </c>
      <c r="B1576" s="1" t="s">
        <v>7</v>
      </c>
      <c r="C1576" s="1" t="n">
        <v>2000</v>
      </c>
      <c r="D1576" s="1" t="n">
        <v>75</v>
      </c>
    </row>
    <row r="1577" customFormat="false" ht="15" hidden="false" customHeight="true" outlineLevel="0" collapsed="false">
      <c r="A1577" s="3" t="n">
        <v>46168.8668865741</v>
      </c>
      <c r="B1577" s="1" t="s">
        <v>8</v>
      </c>
      <c r="C1577" s="1" t="n">
        <v>2125</v>
      </c>
      <c r="D1577" s="1" t="n">
        <v>70</v>
      </c>
    </row>
    <row r="1578" customFormat="false" ht="15" hidden="false" customHeight="true" outlineLevel="0" collapsed="false">
      <c r="A1578" s="3" t="n">
        <v>46168.8668865741</v>
      </c>
      <c r="B1578" s="1" t="s">
        <v>9</v>
      </c>
      <c r="C1578" s="1" t="n">
        <v>2033</v>
      </c>
      <c r="D1578" s="1" t="n">
        <v>86</v>
      </c>
    </row>
    <row r="1579" customFormat="false" ht="15" hidden="false" customHeight="true" outlineLevel="0" collapsed="false">
      <c r="A1579" s="3" t="n">
        <v>46168.8671990741</v>
      </c>
      <c r="B1579" s="1" t="s">
        <v>5</v>
      </c>
      <c r="D1579" s="1" t="n">
        <v>87.6</v>
      </c>
    </row>
    <row r="1580" customFormat="false" ht="15" hidden="false" customHeight="true" outlineLevel="0" collapsed="false">
      <c r="A1580" s="3" t="n">
        <v>46168.8672106482</v>
      </c>
      <c r="B1580" s="1" t="s">
        <v>4</v>
      </c>
      <c r="C1580" s="1" t="n">
        <v>1261</v>
      </c>
      <c r="D1580" s="1" t="n">
        <v>100</v>
      </c>
    </row>
    <row r="1581" customFormat="false" ht="15" hidden="false" customHeight="true" outlineLevel="0" collapsed="false">
      <c r="A1581" s="3" t="n">
        <v>46168.8672222222</v>
      </c>
      <c r="B1581" s="1" t="s">
        <v>6</v>
      </c>
      <c r="C1581" s="1" t="n">
        <v>1231</v>
      </c>
      <c r="D1581" s="1" t="n">
        <v>98</v>
      </c>
    </row>
    <row r="1582" customFormat="false" ht="15" hidden="false" customHeight="true" outlineLevel="0" collapsed="false">
      <c r="A1582" s="3" t="n">
        <v>46168.8672337963</v>
      </c>
      <c r="B1582" s="1" t="s">
        <v>7</v>
      </c>
      <c r="C1582" s="1" t="n">
        <v>2011</v>
      </c>
      <c r="D1582" s="1" t="n">
        <v>74</v>
      </c>
    </row>
    <row r="1583" customFormat="false" ht="15" hidden="false" customHeight="true" outlineLevel="0" collapsed="false">
      <c r="A1583" s="3" t="n">
        <v>46168.8672337963</v>
      </c>
      <c r="B1583" s="1" t="s">
        <v>8</v>
      </c>
      <c r="C1583" s="1" t="n">
        <v>2128</v>
      </c>
      <c r="D1583" s="1" t="n">
        <v>70</v>
      </c>
    </row>
    <row r="1584" customFormat="false" ht="15" hidden="false" customHeight="true" outlineLevel="0" collapsed="false">
      <c r="A1584" s="3" t="n">
        <v>46168.8672337963</v>
      </c>
      <c r="B1584" s="1" t="s">
        <v>9</v>
      </c>
      <c r="C1584" s="1" t="n">
        <v>2043</v>
      </c>
      <c r="D1584" s="1" t="n">
        <v>84</v>
      </c>
    </row>
    <row r="1585" customFormat="false" ht="15" hidden="false" customHeight="true" outlineLevel="0" collapsed="false">
      <c r="A1585" s="3" t="n">
        <v>46168.8675694445</v>
      </c>
      <c r="B1585" s="1" t="s">
        <v>6</v>
      </c>
      <c r="C1585" s="1" t="n">
        <v>1197</v>
      </c>
      <c r="D1585" s="1" t="n">
        <v>100</v>
      </c>
    </row>
    <row r="1586" customFormat="false" ht="15" hidden="false" customHeight="true" outlineLevel="0" collapsed="false">
      <c r="A1586" s="3" t="n">
        <v>46168.8675694445</v>
      </c>
      <c r="B1586" s="1" t="s">
        <v>4</v>
      </c>
      <c r="C1586" s="1" t="n">
        <v>1264</v>
      </c>
      <c r="D1586" s="1" t="n">
        <v>100</v>
      </c>
    </row>
    <row r="1587" customFormat="false" ht="15" hidden="false" customHeight="true" outlineLevel="0" collapsed="false">
      <c r="A1587" s="3" t="n">
        <v>46168.8675694445</v>
      </c>
      <c r="B1587" s="1" t="s">
        <v>5</v>
      </c>
      <c r="D1587" s="1" t="n">
        <v>87.6</v>
      </c>
    </row>
    <row r="1588" customFormat="false" ht="15" hidden="false" customHeight="true" outlineLevel="0" collapsed="false">
      <c r="A1588" s="3" t="n">
        <v>46168.8675810185</v>
      </c>
      <c r="B1588" s="1" t="s">
        <v>7</v>
      </c>
      <c r="C1588" s="1" t="n">
        <v>2015</v>
      </c>
      <c r="D1588" s="1" t="n">
        <v>73</v>
      </c>
    </row>
    <row r="1589" customFormat="false" ht="15" hidden="false" customHeight="true" outlineLevel="0" collapsed="false">
      <c r="A1589" s="3" t="n">
        <v>46168.8675925926</v>
      </c>
      <c r="B1589" s="1" t="s">
        <v>8</v>
      </c>
      <c r="C1589" s="1" t="n">
        <v>2128</v>
      </c>
      <c r="D1589" s="1" t="n">
        <v>70</v>
      </c>
    </row>
    <row r="1590" customFormat="false" ht="15" hidden="false" customHeight="true" outlineLevel="0" collapsed="false">
      <c r="A1590" s="3" t="n">
        <v>46168.8675925926</v>
      </c>
      <c r="B1590" s="1" t="s">
        <v>9</v>
      </c>
      <c r="C1590" s="1" t="n">
        <v>2047</v>
      </c>
      <c r="D1590" s="1" t="n">
        <v>84</v>
      </c>
    </row>
    <row r="1591" customFormat="false" ht="15" hidden="false" customHeight="true" outlineLevel="0" collapsed="false">
      <c r="A1591" s="3" t="n">
        <v>46168.8679166667</v>
      </c>
      <c r="B1591" s="1" t="s">
        <v>4</v>
      </c>
      <c r="C1591" s="1" t="n">
        <v>1296</v>
      </c>
      <c r="D1591" s="1" t="n">
        <v>100</v>
      </c>
    </row>
    <row r="1592" customFormat="false" ht="15" hidden="false" customHeight="true" outlineLevel="0" collapsed="false">
      <c r="A1592" s="3" t="n">
        <v>46168.8679166667</v>
      </c>
      <c r="B1592" s="1" t="s">
        <v>5</v>
      </c>
      <c r="D1592" s="1" t="n">
        <v>87.6</v>
      </c>
    </row>
    <row r="1593" customFormat="false" ht="15" hidden="false" customHeight="true" outlineLevel="0" collapsed="false">
      <c r="A1593" s="3" t="n">
        <v>46168.8679282407</v>
      </c>
      <c r="B1593" s="1" t="s">
        <v>6</v>
      </c>
      <c r="C1593" s="1" t="n">
        <v>1197</v>
      </c>
      <c r="D1593" s="1" t="n">
        <v>100</v>
      </c>
    </row>
    <row r="1594" customFormat="false" ht="15" hidden="false" customHeight="true" outlineLevel="0" collapsed="false">
      <c r="A1594" s="3" t="n">
        <v>46168.8679282407</v>
      </c>
      <c r="B1594" s="1" t="s">
        <v>7</v>
      </c>
      <c r="C1594" s="1" t="n">
        <v>2014</v>
      </c>
      <c r="D1594" s="1" t="n">
        <v>73</v>
      </c>
    </row>
    <row r="1595" customFormat="false" ht="15" hidden="false" customHeight="true" outlineLevel="0" collapsed="false">
      <c r="A1595" s="3" t="n">
        <v>46168.8679282407</v>
      </c>
      <c r="B1595" s="1" t="s">
        <v>8</v>
      </c>
      <c r="C1595" s="1" t="n">
        <v>2133</v>
      </c>
      <c r="D1595" s="1" t="n">
        <v>69</v>
      </c>
    </row>
    <row r="1596" customFormat="false" ht="15" hidden="false" customHeight="true" outlineLevel="0" collapsed="false">
      <c r="A1596" s="3" t="n">
        <v>46168.8679282407</v>
      </c>
      <c r="B1596" s="1" t="s">
        <v>9</v>
      </c>
      <c r="C1596" s="1" t="n">
        <v>2057</v>
      </c>
      <c r="D1596" s="1" t="n">
        <v>82</v>
      </c>
    </row>
    <row r="1597" customFormat="false" ht="15" hidden="false" customHeight="true" outlineLevel="0" collapsed="false">
      <c r="A1597" s="3" t="n">
        <v>46168.8682638889</v>
      </c>
      <c r="B1597" s="1" t="s">
        <v>5</v>
      </c>
      <c r="D1597" s="1" t="n">
        <v>87.6</v>
      </c>
    </row>
    <row r="1598" customFormat="false" ht="15" hidden="false" customHeight="true" outlineLevel="0" collapsed="false">
      <c r="A1598" s="3" t="n">
        <v>46168.868275463</v>
      </c>
      <c r="B1598" s="1" t="s">
        <v>6</v>
      </c>
      <c r="C1598" s="1" t="n">
        <v>1161</v>
      </c>
      <c r="D1598" s="1" t="n">
        <v>100</v>
      </c>
    </row>
    <row r="1599" customFormat="false" ht="15" hidden="false" customHeight="true" outlineLevel="0" collapsed="false">
      <c r="A1599" s="3" t="n">
        <v>46168.868275463</v>
      </c>
      <c r="B1599" s="1" t="s">
        <v>7</v>
      </c>
      <c r="C1599" s="1" t="n">
        <v>2022</v>
      </c>
      <c r="D1599" s="1" t="n">
        <v>73</v>
      </c>
    </row>
    <row r="1600" customFormat="false" ht="15" hidden="false" customHeight="true" outlineLevel="0" collapsed="false">
      <c r="A1600" s="3" t="n">
        <v>46168.868275463</v>
      </c>
      <c r="B1600" s="1" t="s">
        <v>4</v>
      </c>
      <c r="C1600" s="1" t="n">
        <v>1262</v>
      </c>
      <c r="D1600" s="1" t="n">
        <v>100</v>
      </c>
    </row>
    <row r="1601" customFormat="false" ht="15" hidden="false" customHeight="true" outlineLevel="0" collapsed="false">
      <c r="A1601" s="3" t="n">
        <v>46168.868275463</v>
      </c>
      <c r="B1601" s="1" t="s">
        <v>8</v>
      </c>
      <c r="C1601" s="1" t="n">
        <v>2138</v>
      </c>
      <c r="D1601" s="1" t="n">
        <v>68</v>
      </c>
    </row>
    <row r="1602" customFormat="false" ht="15" hidden="false" customHeight="true" outlineLevel="0" collapsed="false">
      <c r="A1602" s="3" t="n">
        <v>46168.868287037</v>
      </c>
      <c r="B1602" s="1" t="s">
        <v>9</v>
      </c>
      <c r="C1602" s="1" t="n">
        <v>2059</v>
      </c>
      <c r="D1602" s="1" t="n">
        <v>81</v>
      </c>
    </row>
    <row r="1603" customFormat="false" ht="15" hidden="false" customHeight="true" outlineLevel="0" collapsed="false">
      <c r="A1603" s="3" t="n">
        <v>46168.8686111111</v>
      </c>
      <c r="B1603" s="1" t="s">
        <v>5</v>
      </c>
      <c r="D1603" s="1" t="n">
        <v>87.6</v>
      </c>
    </row>
    <row r="1604" customFormat="false" ht="15" hidden="false" customHeight="true" outlineLevel="0" collapsed="false">
      <c r="A1604" s="3" t="n">
        <v>46168.8686226852</v>
      </c>
      <c r="B1604" s="1" t="s">
        <v>6</v>
      </c>
      <c r="C1604" s="1" t="n">
        <v>1200</v>
      </c>
      <c r="D1604" s="1" t="n">
        <v>100</v>
      </c>
    </row>
    <row r="1605" customFormat="false" ht="15" hidden="false" customHeight="true" outlineLevel="0" collapsed="false">
      <c r="A1605" s="3" t="n">
        <v>46168.8686226852</v>
      </c>
      <c r="B1605" s="1" t="s">
        <v>7</v>
      </c>
      <c r="C1605" s="1" t="n">
        <v>2027</v>
      </c>
      <c r="D1605" s="1" t="n">
        <v>72</v>
      </c>
    </row>
    <row r="1606" customFormat="false" ht="15" hidden="false" customHeight="true" outlineLevel="0" collapsed="false">
      <c r="A1606" s="3" t="n">
        <v>46168.8686226852</v>
      </c>
      <c r="B1606" s="1" t="s">
        <v>4</v>
      </c>
      <c r="C1606" s="1" t="n">
        <v>1275</v>
      </c>
      <c r="D1606" s="1" t="n">
        <v>100</v>
      </c>
    </row>
    <row r="1607" customFormat="false" ht="15" hidden="false" customHeight="true" outlineLevel="0" collapsed="false">
      <c r="A1607" s="3" t="n">
        <v>46168.8686226852</v>
      </c>
      <c r="B1607" s="1" t="s">
        <v>8</v>
      </c>
      <c r="C1607" s="1" t="n">
        <v>2143</v>
      </c>
      <c r="D1607" s="1" t="n">
        <v>68</v>
      </c>
    </row>
    <row r="1608" customFormat="false" ht="15" hidden="false" customHeight="true" outlineLevel="0" collapsed="false">
      <c r="A1608" s="3" t="n">
        <v>46168.8686342593</v>
      </c>
      <c r="B1608" s="1" t="s">
        <v>9</v>
      </c>
      <c r="C1608" s="1" t="n">
        <v>2063</v>
      </c>
      <c r="D1608" s="1" t="n">
        <v>81</v>
      </c>
    </row>
    <row r="1609" customFormat="false" ht="15" hidden="false" customHeight="true" outlineLevel="0" collapsed="false">
      <c r="A1609" s="3" t="n">
        <v>46168.8689583333</v>
      </c>
      <c r="B1609" s="1" t="s">
        <v>5</v>
      </c>
      <c r="D1609" s="1" t="n">
        <v>87.6</v>
      </c>
    </row>
    <row r="1610" customFormat="false" ht="15" hidden="false" customHeight="true" outlineLevel="0" collapsed="false">
      <c r="A1610" s="3" t="n">
        <v>46168.8689699074</v>
      </c>
      <c r="B1610" s="1" t="s">
        <v>6</v>
      </c>
      <c r="C1610" s="1" t="n">
        <v>1197</v>
      </c>
      <c r="D1610" s="1" t="n">
        <v>100</v>
      </c>
    </row>
    <row r="1611" customFormat="false" ht="15" hidden="false" customHeight="true" outlineLevel="0" collapsed="false">
      <c r="A1611" s="3" t="n">
        <v>46168.8689699074</v>
      </c>
      <c r="B1611" s="1" t="s">
        <v>7</v>
      </c>
      <c r="C1611" s="1" t="n">
        <v>2032</v>
      </c>
      <c r="D1611" s="1" t="n">
        <v>72</v>
      </c>
    </row>
    <row r="1612" customFormat="false" ht="15" hidden="false" customHeight="true" outlineLevel="0" collapsed="false">
      <c r="A1612" s="3" t="n">
        <v>46168.8689699074</v>
      </c>
      <c r="B1612" s="1" t="s">
        <v>4</v>
      </c>
      <c r="C1612" s="1" t="n">
        <v>1291</v>
      </c>
      <c r="D1612" s="1" t="n">
        <v>100</v>
      </c>
    </row>
    <row r="1613" customFormat="false" ht="15" hidden="false" customHeight="true" outlineLevel="0" collapsed="false">
      <c r="A1613" s="3" t="n">
        <v>46168.8689814815</v>
      </c>
      <c r="B1613" s="1" t="s">
        <v>8</v>
      </c>
      <c r="C1613" s="1" t="n">
        <v>2142</v>
      </c>
      <c r="D1613" s="1" t="n">
        <v>68</v>
      </c>
    </row>
    <row r="1614" customFormat="false" ht="15" hidden="false" customHeight="true" outlineLevel="0" collapsed="false">
      <c r="A1614" s="3" t="n">
        <v>46168.8689814815</v>
      </c>
      <c r="B1614" s="1" t="s">
        <v>9</v>
      </c>
      <c r="C1614" s="1" t="n">
        <v>2067</v>
      </c>
      <c r="D1614" s="1" t="n">
        <v>80</v>
      </c>
    </row>
    <row r="1615" customFormat="false" ht="15" hidden="false" customHeight="true" outlineLevel="0" collapsed="false">
      <c r="A1615" s="3" t="n">
        <v>46168.8693055556</v>
      </c>
      <c r="B1615" s="1" t="s">
        <v>5</v>
      </c>
      <c r="D1615" s="1" t="n">
        <v>87.4</v>
      </c>
    </row>
    <row r="1616" customFormat="false" ht="15" hidden="false" customHeight="true" outlineLevel="0" collapsed="false">
      <c r="A1616" s="3" t="n">
        <v>46168.8693171296</v>
      </c>
      <c r="B1616" s="1" t="s">
        <v>6</v>
      </c>
      <c r="C1616" s="1" t="n">
        <v>1200</v>
      </c>
      <c r="D1616" s="1" t="n">
        <v>100</v>
      </c>
    </row>
    <row r="1617" customFormat="false" ht="15" hidden="false" customHeight="true" outlineLevel="0" collapsed="false">
      <c r="A1617" s="3" t="n">
        <v>46168.8693171296</v>
      </c>
      <c r="B1617" s="1" t="s">
        <v>7</v>
      </c>
      <c r="C1617" s="1" t="n">
        <v>2033</v>
      </c>
      <c r="D1617" s="1" t="n">
        <v>72</v>
      </c>
    </row>
    <row r="1618" customFormat="false" ht="15" hidden="false" customHeight="true" outlineLevel="0" collapsed="false">
      <c r="A1618" s="3" t="n">
        <v>46168.8693171296</v>
      </c>
      <c r="B1618" s="1" t="s">
        <v>4</v>
      </c>
      <c r="C1618" s="1" t="n">
        <v>1278</v>
      </c>
      <c r="D1618" s="1" t="n">
        <v>100</v>
      </c>
    </row>
    <row r="1619" customFormat="false" ht="15" hidden="false" customHeight="true" outlineLevel="0" collapsed="false">
      <c r="A1619" s="3" t="n">
        <v>46168.8693287037</v>
      </c>
      <c r="B1619" s="1" t="s">
        <v>8</v>
      </c>
      <c r="C1619" s="1" t="n">
        <v>2143</v>
      </c>
      <c r="D1619" s="1" t="n">
        <v>68</v>
      </c>
    </row>
    <row r="1620" customFormat="false" ht="15" hidden="false" customHeight="true" outlineLevel="0" collapsed="false">
      <c r="A1620" s="3" t="n">
        <v>46168.8693287037</v>
      </c>
      <c r="B1620" s="1" t="s">
        <v>9</v>
      </c>
      <c r="C1620" s="1" t="n">
        <v>2073</v>
      </c>
      <c r="D1620" s="1" t="n">
        <v>79</v>
      </c>
    </row>
    <row r="1621" customFormat="false" ht="15" hidden="false" customHeight="true" outlineLevel="0" collapsed="false">
      <c r="A1621" s="3" t="n">
        <v>46168.8696643519</v>
      </c>
      <c r="B1621" s="1" t="s">
        <v>6</v>
      </c>
      <c r="C1621" s="1" t="n">
        <v>1200</v>
      </c>
      <c r="D1621" s="1" t="n">
        <v>100</v>
      </c>
    </row>
    <row r="1622" customFormat="false" ht="15" hidden="false" customHeight="true" outlineLevel="0" collapsed="false">
      <c r="A1622" s="3" t="n">
        <v>46168.8696643519</v>
      </c>
      <c r="B1622" s="1" t="s">
        <v>7</v>
      </c>
      <c r="C1622" s="1" t="n">
        <v>2037</v>
      </c>
      <c r="D1622" s="1" t="n">
        <v>71</v>
      </c>
    </row>
    <row r="1623" customFormat="false" ht="15" hidden="false" customHeight="true" outlineLevel="0" collapsed="false">
      <c r="A1623" s="3" t="n">
        <v>46168.8696643519</v>
      </c>
      <c r="B1623" s="1" t="s">
        <v>4</v>
      </c>
      <c r="C1623" s="1" t="n">
        <v>1285</v>
      </c>
      <c r="D1623" s="1" t="n">
        <v>100</v>
      </c>
    </row>
    <row r="1624" customFormat="false" ht="15" hidden="false" customHeight="true" outlineLevel="0" collapsed="false">
      <c r="A1624" s="3" t="n">
        <v>46168.8696643519</v>
      </c>
      <c r="B1624" s="1" t="s">
        <v>8</v>
      </c>
      <c r="C1624" s="1" t="n">
        <v>2143</v>
      </c>
      <c r="D1624" s="1" t="n">
        <v>68</v>
      </c>
    </row>
    <row r="1625" customFormat="false" ht="15" hidden="false" customHeight="true" outlineLevel="0" collapsed="false">
      <c r="A1625" s="3" t="n">
        <v>46168.8696643519</v>
      </c>
      <c r="B1625" s="1" t="s">
        <v>5</v>
      </c>
      <c r="D1625" s="1" t="n">
        <v>87.6</v>
      </c>
    </row>
    <row r="1626" customFormat="false" ht="15" hidden="false" customHeight="true" outlineLevel="0" collapsed="false">
      <c r="A1626" s="3" t="n">
        <v>46168.8696759259</v>
      </c>
      <c r="B1626" s="1" t="s">
        <v>9</v>
      </c>
      <c r="C1626" s="1" t="n">
        <v>2077</v>
      </c>
      <c r="D1626" s="1" t="n">
        <v>78</v>
      </c>
    </row>
    <row r="1627" customFormat="false" ht="15" hidden="false" customHeight="true" outlineLevel="0" collapsed="false">
      <c r="A1627" s="3" t="n">
        <v>46168.8700115741</v>
      </c>
      <c r="B1627" s="1" t="s">
        <v>6</v>
      </c>
      <c r="C1627" s="1" t="n">
        <v>1197</v>
      </c>
      <c r="D1627" s="1" t="n">
        <v>100</v>
      </c>
    </row>
    <row r="1628" customFormat="false" ht="15" hidden="false" customHeight="true" outlineLevel="0" collapsed="false">
      <c r="A1628" s="3" t="n">
        <v>46168.8700115741</v>
      </c>
      <c r="B1628" s="1" t="s">
        <v>7</v>
      </c>
      <c r="C1628" s="1" t="n">
        <v>2042</v>
      </c>
      <c r="D1628" s="1" t="n">
        <v>71</v>
      </c>
    </row>
    <row r="1629" customFormat="false" ht="15" hidden="false" customHeight="true" outlineLevel="0" collapsed="false">
      <c r="A1629" s="3" t="n">
        <v>46168.8700115741</v>
      </c>
      <c r="B1629" s="1" t="s">
        <v>4</v>
      </c>
      <c r="C1629" s="1" t="n">
        <v>1281</v>
      </c>
      <c r="D1629" s="1" t="n">
        <v>100</v>
      </c>
    </row>
    <row r="1630" customFormat="false" ht="15" hidden="false" customHeight="true" outlineLevel="0" collapsed="false">
      <c r="A1630" s="3" t="n">
        <v>46168.8700115741</v>
      </c>
      <c r="B1630" s="1" t="s">
        <v>8</v>
      </c>
      <c r="C1630" s="1" t="n">
        <v>2145</v>
      </c>
      <c r="D1630" s="1" t="n">
        <v>68</v>
      </c>
    </row>
    <row r="1631" customFormat="false" ht="15" hidden="false" customHeight="true" outlineLevel="0" collapsed="false">
      <c r="A1631" s="3" t="n">
        <v>46168.8700115741</v>
      </c>
      <c r="B1631" s="1" t="s">
        <v>5</v>
      </c>
      <c r="D1631" s="1" t="n">
        <v>87.4</v>
      </c>
    </row>
    <row r="1632" customFormat="false" ht="15" hidden="false" customHeight="true" outlineLevel="0" collapsed="false">
      <c r="A1632" s="3" t="n">
        <v>46168.8700231482</v>
      </c>
      <c r="B1632" s="1" t="s">
        <v>9</v>
      </c>
      <c r="C1632" s="1" t="n">
        <v>2078</v>
      </c>
      <c r="D1632" s="1" t="n">
        <v>78</v>
      </c>
    </row>
    <row r="1633" customFormat="false" ht="15" hidden="false" customHeight="true" outlineLevel="0" collapsed="false">
      <c r="A1633" s="3" t="n">
        <v>46168.8703587963</v>
      </c>
      <c r="B1633" s="1" t="s">
        <v>6</v>
      </c>
      <c r="C1633" s="1" t="n">
        <v>1153</v>
      </c>
      <c r="D1633" s="1" t="n">
        <v>100</v>
      </c>
    </row>
    <row r="1634" customFormat="false" ht="15" hidden="false" customHeight="true" outlineLevel="0" collapsed="false">
      <c r="A1634" s="3" t="n">
        <v>46168.8703587963</v>
      </c>
      <c r="B1634" s="1" t="s">
        <v>4</v>
      </c>
      <c r="C1634" s="1" t="n">
        <v>1281</v>
      </c>
      <c r="D1634" s="1" t="n">
        <v>100</v>
      </c>
    </row>
    <row r="1635" customFormat="false" ht="15" hidden="false" customHeight="true" outlineLevel="0" collapsed="false">
      <c r="A1635" s="3" t="n">
        <v>46168.8703587963</v>
      </c>
      <c r="B1635" s="1" t="s">
        <v>5</v>
      </c>
      <c r="D1635" s="1" t="n">
        <v>87.6</v>
      </c>
    </row>
    <row r="1636" customFormat="false" ht="15" hidden="false" customHeight="true" outlineLevel="0" collapsed="false">
      <c r="A1636" s="3" t="n">
        <v>46168.8703703704</v>
      </c>
      <c r="B1636" s="1" t="s">
        <v>7</v>
      </c>
      <c r="C1636" s="1" t="n">
        <v>2045</v>
      </c>
      <c r="D1636" s="1" t="n">
        <v>70</v>
      </c>
    </row>
    <row r="1637" customFormat="false" ht="15" hidden="false" customHeight="true" outlineLevel="0" collapsed="false">
      <c r="A1637" s="3" t="n">
        <v>46168.8703703704</v>
      </c>
      <c r="B1637" s="1" t="s">
        <v>8</v>
      </c>
      <c r="C1637" s="1" t="n">
        <v>2147</v>
      </c>
      <c r="D1637" s="1" t="n">
        <v>67</v>
      </c>
    </row>
    <row r="1638" customFormat="false" ht="15" hidden="false" customHeight="true" outlineLevel="0" collapsed="false">
      <c r="A1638" s="3" t="n">
        <v>46168.8703703704</v>
      </c>
      <c r="B1638" s="1" t="s">
        <v>9</v>
      </c>
      <c r="C1638" s="1" t="n">
        <v>2079</v>
      </c>
      <c r="D1638" s="1" t="n">
        <v>78</v>
      </c>
    </row>
    <row r="1639" customFormat="false" ht="15" hidden="false" customHeight="true" outlineLevel="0" collapsed="false">
      <c r="A1639" s="3" t="n">
        <v>46168.8707060185</v>
      </c>
      <c r="B1639" s="1" t="s">
        <v>6</v>
      </c>
      <c r="C1639" s="1" t="n">
        <v>1198</v>
      </c>
      <c r="D1639" s="1" t="n">
        <v>100</v>
      </c>
    </row>
    <row r="1640" customFormat="false" ht="15" hidden="false" customHeight="true" outlineLevel="0" collapsed="false">
      <c r="A1640" s="3" t="n">
        <v>46168.8707060185</v>
      </c>
      <c r="B1640" s="1" t="s">
        <v>7</v>
      </c>
      <c r="C1640" s="1" t="n">
        <v>2047</v>
      </c>
      <c r="D1640" s="1" t="n">
        <v>70</v>
      </c>
    </row>
    <row r="1641" customFormat="false" ht="15" hidden="false" customHeight="true" outlineLevel="0" collapsed="false">
      <c r="A1641" s="3" t="n">
        <v>46168.8707060185</v>
      </c>
      <c r="B1641" s="1" t="s">
        <v>4</v>
      </c>
      <c r="C1641" s="1" t="n">
        <v>1287</v>
      </c>
      <c r="D1641" s="1" t="n">
        <v>100</v>
      </c>
    </row>
    <row r="1642" customFormat="false" ht="15" hidden="false" customHeight="true" outlineLevel="0" collapsed="false">
      <c r="A1642" s="3" t="n">
        <v>46168.8707060185</v>
      </c>
      <c r="B1642" s="1" t="s">
        <v>5</v>
      </c>
      <c r="D1642" s="1" t="n">
        <v>87.6</v>
      </c>
    </row>
    <row r="1643" customFormat="false" ht="15" hidden="false" customHeight="true" outlineLevel="0" collapsed="false">
      <c r="A1643" s="3" t="n">
        <v>46168.8707175926</v>
      </c>
      <c r="B1643" s="1" t="s">
        <v>8</v>
      </c>
      <c r="C1643" s="1" t="n">
        <v>2154</v>
      </c>
      <c r="D1643" s="1" t="n">
        <v>67</v>
      </c>
    </row>
    <row r="1644" customFormat="false" ht="15" hidden="false" customHeight="true" outlineLevel="0" collapsed="false">
      <c r="A1644" s="3" t="n">
        <v>46168.8707175926</v>
      </c>
      <c r="B1644" s="1" t="s">
        <v>9</v>
      </c>
      <c r="C1644" s="1" t="n">
        <v>2083</v>
      </c>
      <c r="D1644" s="1" t="n">
        <v>77</v>
      </c>
    </row>
    <row r="1645" customFormat="false" ht="15" hidden="false" customHeight="true" outlineLevel="0" collapsed="false">
      <c r="A1645" s="3" t="n">
        <v>46168.8710532407</v>
      </c>
      <c r="B1645" s="1" t="s">
        <v>6</v>
      </c>
      <c r="C1645" s="1" t="n">
        <v>1190</v>
      </c>
      <c r="D1645" s="1" t="n">
        <v>100</v>
      </c>
    </row>
    <row r="1646" customFormat="false" ht="15" hidden="false" customHeight="true" outlineLevel="0" collapsed="false">
      <c r="A1646" s="3" t="n">
        <v>46168.8710532407</v>
      </c>
      <c r="B1646" s="1" t="s">
        <v>4</v>
      </c>
      <c r="C1646" s="1" t="n">
        <v>1264</v>
      </c>
      <c r="D1646" s="1" t="n">
        <v>100</v>
      </c>
    </row>
    <row r="1647" customFormat="false" ht="15" hidden="false" customHeight="true" outlineLevel="0" collapsed="false">
      <c r="A1647" s="3" t="n">
        <v>46168.8710532407</v>
      </c>
      <c r="B1647" s="1" t="s">
        <v>5</v>
      </c>
      <c r="D1647" s="1" t="n">
        <v>87.4</v>
      </c>
    </row>
    <row r="1648" customFormat="false" ht="15" hidden="false" customHeight="true" outlineLevel="0" collapsed="false">
      <c r="A1648" s="3" t="n">
        <v>46168.8710648148</v>
      </c>
      <c r="B1648" s="1" t="s">
        <v>7</v>
      </c>
      <c r="C1648" s="1" t="n">
        <v>2055</v>
      </c>
      <c r="D1648" s="1" t="n">
        <v>69</v>
      </c>
    </row>
    <row r="1649" customFormat="false" ht="15" hidden="false" customHeight="true" outlineLevel="0" collapsed="false">
      <c r="A1649" s="3" t="n">
        <v>46168.8710648148</v>
      </c>
      <c r="B1649" s="1" t="s">
        <v>8</v>
      </c>
      <c r="C1649" s="1" t="n">
        <v>2153</v>
      </c>
      <c r="D1649" s="1" t="n">
        <v>67</v>
      </c>
    </row>
    <row r="1650" customFormat="false" ht="15" hidden="false" customHeight="true" outlineLevel="0" collapsed="false">
      <c r="A1650" s="3" t="n">
        <v>46168.8710648148</v>
      </c>
      <c r="B1650" s="1" t="s">
        <v>9</v>
      </c>
      <c r="C1650" s="1" t="n">
        <v>2085</v>
      </c>
      <c r="D1650" s="1" t="n">
        <v>77</v>
      </c>
    </row>
    <row r="1651" customFormat="false" ht="15" hidden="false" customHeight="true" outlineLevel="0" collapsed="false">
      <c r="A1651" s="3" t="n">
        <v>46168.871400463</v>
      </c>
      <c r="B1651" s="1" t="s">
        <v>6</v>
      </c>
      <c r="C1651" s="1" t="n">
        <v>1201</v>
      </c>
      <c r="D1651" s="1" t="n">
        <v>100</v>
      </c>
    </row>
    <row r="1652" customFormat="false" ht="15" hidden="false" customHeight="true" outlineLevel="0" collapsed="false">
      <c r="A1652" s="3" t="n">
        <v>46168.871400463</v>
      </c>
      <c r="B1652" s="1" t="s">
        <v>7</v>
      </c>
      <c r="C1652" s="1" t="n">
        <v>2057</v>
      </c>
      <c r="D1652" s="1" t="n">
        <v>69</v>
      </c>
    </row>
    <row r="1653" customFormat="false" ht="15" hidden="false" customHeight="true" outlineLevel="0" collapsed="false">
      <c r="A1653" s="3" t="n">
        <v>46168.871400463</v>
      </c>
      <c r="B1653" s="1" t="s">
        <v>4</v>
      </c>
      <c r="C1653" s="1" t="n">
        <v>1284</v>
      </c>
      <c r="D1653" s="1" t="n">
        <v>100</v>
      </c>
    </row>
    <row r="1654" customFormat="false" ht="15" hidden="false" customHeight="true" outlineLevel="0" collapsed="false">
      <c r="A1654" s="3" t="n">
        <v>46168.871400463</v>
      </c>
      <c r="B1654" s="1" t="s">
        <v>5</v>
      </c>
      <c r="D1654" s="1" t="n">
        <v>87.6</v>
      </c>
    </row>
    <row r="1655" customFormat="false" ht="15" hidden="false" customHeight="true" outlineLevel="0" collapsed="false">
      <c r="A1655" s="3" t="n">
        <v>46168.871412037</v>
      </c>
      <c r="B1655" s="1" t="s">
        <v>8</v>
      </c>
      <c r="C1655" s="1" t="n">
        <v>2155</v>
      </c>
      <c r="D1655" s="1" t="n">
        <v>66</v>
      </c>
    </row>
    <row r="1656" customFormat="false" ht="15" hidden="false" customHeight="true" outlineLevel="0" collapsed="false">
      <c r="A1656" s="3" t="n">
        <v>46168.871412037</v>
      </c>
      <c r="B1656" s="1" t="s">
        <v>9</v>
      </c>
      <c r="C1656" s="1" t="n">
        <v>2089</v>
      </c>
      <c r="D1656" s="1" t="n">
        <v>76</v>
      </c>
    </row>
    <row r="1657" customFormat="false" ht="15" hidden="false" customHeight="true" outlineLevel="0" collapsed="false">
      <c r="A1657" s="3" t="n">
        <v>46168.8717476852</v>
      </c>
      <c r="B1657" s="1" t="s">
        <v>6</v>
      </c>
      <c r="C1657" s="1" t="n">
        <v>1189</v>
      </c>
      <c r="D1657" s="1" t="n">
        <v>100</v>
      </c>
    </row>
    <row r="1658" customFormat="false" ht="15" hidden="false" customHeight="true" outlineLevel="0" collapsed="false">
      <c r="A1658" s="3" t="n">
        <v>46168.8717476852</v>
      </c>
      <c r="B1658" s="1" t="s">
        <v>7</v>
      </c>
      <c r="C1658" s="1" t="n">
        <v>2064</v>
      </c>
      <c r="D1658" s="1" t="n">
        <v>69</v>
      </c>
    </row>
    <row r="1659" customFormat="false" ht="15" hidden="false" customHeight="true" outlineLevel="0" collapsed="false">
      <c r="A1659" s="3" t="n">
        <v>46168.8717476852</v>
      </c>
      <c r="B1659" s="1" t="s">
        <v>4</v>
      </c>
      <c r="C1659" s="1" t="n">
        <v>1264</v>
      </c>
      <c r="D1659" s="1" t="n">
        <v>100</v>
      </c>
    </row>
    <row r="1660" customFormat="false" ht="15" hidden="false" customHeight="true" outlineLevel="0" collapsed="false">
      <c r="A1660" s="3" t="n">
        <v>46168.8717476852</v>
      </c>
      <c r="B1660" s="1" t="s">
        <v>5</v>
      </c>
      <c r="D1660" s="1" t="n">
        <v>87.6</v>
      </c>
    </row>
    <row r="1661" customFormat="false" ht="15" hidden="false" customHeight="true" outlineLevel="0" collapsed="false">
      <c r="A1661" s="3" t="n">
        <v>46168.8717592593</v>
      </c>
      <c r="B1661" s="1" t="s">
        <v>8</v>
      </c>
      <c r="C1661" s="1" t="n">
        <v>2154</v>
      </c>
      <c r="D1661" s="1" t="n">
        <v>67</v>
      </c>
    </row>
    <row r="1662" customFormat="false" ht="15" hidden="false" customHeight="true" outlineLevel="0" collapsed="false">
      <c r="A1662" s="3" t="n">
        <v>46168.8717592593</v>
      </c>
      <c r="B1662" s="1" t="s">
        <v>9</v>
      </c>
      <c r="C1662" s="1" t="n">
        <v>2096</v>
      </c>
      <c r="D1662" s="1" t="n">
        <v>75</v>
      </c>
    </row>
    <row r="1663" customFormat="false" ht="15" hidden="false" customHeight="true" outlineLevel="0" collapsed="false">
      <c r="A1663" s="3" t="n">
        <v>46168.8720949074</v>
      </c>
      <c r="B1663" s="1" t="s">
        <v>6</v>
      </c>
      <c r="C1663" s="1" t="n">
        <v>1198</v>
      </c>
      <c r="D1663" s="1" t="n">
        <v>100</v>
      </c>
    </row>
    <row r="1664" customFormat="false" ht="15" hidden="false" customHeight="true" outlineLevel="0" collapsed="false">
      <c r="A1664" s="3" t="n">
        <v>46168.8720949074</v>
      </c>
      <c r="B1664" s="1" t="s">
        <v>4</v>
      </c>
      <c r="C1664" s="1" t="n">
        <v>1275</v>
      </c>
      <c r="D1664" s="1" t="n">
        <v>100</v>
      </c>
    </row>
    <row r="1665" customFormat="false" ht="15" hidden="false" customHeight="true" outlineLevel="0" collapsed="false">
      <c r="A1665" s="3" t="n">
        <v>46168.8720949074</v>
      </c>
      <c r="B1665" s="1" t="s">
        <v>5</v>
      </c>
      <c r="D1665" s="1" t="n">
        <v>87.4</v>
      </c>
    </row>
    <row r="1666" customFormat="false" ht="15" hidden="false" customHeight="true" outlineLevel="0" collapsed="false">
      <c r="A1666" s="3" t="n">
        <v>46168.8721064815</v>
      </c>
      <c r="B1666" s="1" t="s">
        <v>7</v>
      </c>
      <c r="C1666" s="1" t="n">
        <v>2066</v>
      </c>
      <c r="D1666" s="1" t="n">
        <v>68</v>
      </c>
    </row>
    <row r="1667" customFormat="false" ht="15" hidden="false" customHeight="true" outlineLevel="0" collapsed="false">
      <c r="A1667" s="3" t="n">
        <v>46168.8721064815</v>
      </c>
      <c r="B1667" s="1" t="s">
        <v>8</v>
      </c>
      <c r="C1667" s="1" t="n">
        <v>2157</v>
      </c>
      <c r="D1667" s="1" t="n">
        <v>66</v>
      </c>
    </row>
    <row r="1668" customFormat="false" ht="15" hidden="false" customHeight="true" outlineLevel="0" collapsed="false">
      <c r="A1668" s="3" t="n">
        <v>46168.8721064815</v>
      </c>
      <c r="B1668" s="1" t="s">
        <v>9</v>
      </c>
      <c r="C1668" s="1" t="n">
        <v>2095</v>
      </c>
      <c r="D1668" s="1" t="n">
        <v>75</v>
      </c>
    </row>
    <row r="1669" customFormat="false" ht="15" hidden="false" customHeight="true" outlineLevel="0" collapsed="false">
      <c r="A1669" s="3" t="n">
        <v>46168.8724421296</v>
      </c>
      <c r="B1669" s="1" t="s">
        <v>6</v>
      </c>
      <c r="C1669" s="1" t="n">
        <v>1174</v>
      </c>
      <c r="D1669" s="1" t="n">
        <v>100</v>
      </c>
    </row>
    <row r="1670" customFormat="false" ht="15" hidden="false" customHeight="true" outlineLevel="0" collapsed="false">
      <c r="A1670" s="3" t="n">
        <v>46168.8724421296</v>
      </c>
      <c r="B1670" s="1" t="s">
        <v>4</v>
      </c>
      <c r="C1670" s="1" t="n">
        <v>1281</v>
      </c>
      <c r="D1670" s="1" t="n">
        <v>100</v>
      </c>
    </row>
    <row r="1671" customFormat="false" ht="15" hidden="false" customHeight="true" outlineLevel="0" collapsed="false">
      <c r="A1671" s="3" t="n">
        <v>46168.8724421296</v>
      </c>
      <c r="B1671" s="1" t="s">
        <v>5</v>
      </c>
      <c r="D1671" s="1" t="n">
        <v>87.4</v>
      </c>
    </row>
    <row r="1672" customFormat="false" ht="15" hidden="false" customHeight="true" outlineLevel="0" collapsed="false">
      <c r="A1672" s="3" t="n">
        <v>46168.8724537037</v>
      </c>
      <c r="B1672" s="1" t="s">
        <v>7</v>
      </c>
      <c r="C1672" s="1" t="n">
        <v>2066</v>
      </c>
      <c r="D1672" s="1" t="n">
        <v>68</v>
      </c>
    </row>
    <row r="1673" customFormat="false" ht="15" hidden="false" customHeight="true" outlineLevel="0" collapsed="false">
      <c r="A1673" s="3" t="n">
        <v>46168.8724537037</v>
      </c>
      <c r="B1673" s="1" t="s">
        <v>8</v>
      </c>
      <c r="C1673" s="1" t="n">
        <v>2153</v>
      </c>
      <c r="D1673" s="1" t="n">
        <v>67</v>
      </c>
    </row>
    <row r="1674" customFormat="false" ht="15" hidden="false" customHeight="true" outlineLevel="0" collapsed="false">
      <c r="A1674" s="3" t="n">
        <v>46168.8724537037</v>
      </c>
      <c r="B1674" s="1" t="s">
        <v>9</v>
      </c>
      <c r="C1674" s="1" t="n">
        <v>2097</v>
      </c>
      <c r="D1674" s="1" t="n">
        <v>75</v>
      </c>
    </row>
    <row r="1675" customFormat="false" ht="15" hidden="false" customHeight="true" outlineLevel="0" collapsed="false">
      <c r="A1675" s="3" t="n">
        <v>46168.8727893519</v>
      </c>
      <c r="B1675" s="1" t="s">
        <v>6</v>
      </c>
      <c r="C1675" s="1" t="n">
        <v>1182</v>
      </c>
      <c r="D1675" s="1" t="n">
        <v>100</v>
      </c>
    </row>
    <row r="1676" customFormat="false" ht="15" hidden="false" customHeight="true" outlineLevel="0" collapsed="false">
      <c r="A1676" s="3" t="n">
        <v>46168.8727893519</v>
      </c>
      <c r="B1676" s="1" t="s">
        <v>4</v>
      </c>
      <c r="C1676" s="1" t="n">
        <v>1264</v>
      </c>
      <c r="D1676" s="1" t="n">
        <v>100</v>
      </c>
    </row>
    <row r="1677" customFormat="false" ht="15" hidden="false" customHeight="true" outlineLevel="0" collapsed="false">
      <c r="A1677" s="3" t="n">
        <v>46168.8727893519</v>
      </c>
      <c r="B1677" s="1" t="s">
        <v>5</v>
      </c>
      <c r="D1677" s="1" t="n">
        <v>87.4</v>
      </c>
    </row>
    <row r="1678" customFormat="false" ht="15" hidden="false" customHeight="true" outlineLevel="0" collapsed="false">
      <c r="A1678" s="3" t="n">
        <v>46168.8728009259</v>
      </c>
      <c r="B1678" s="1" t="s">
        <v>7</v>
      </c>
      <c r="C1678" s="1" t="n">
        <v>2065</v>
      </c>
      <c r="D1678" s="1" t="n">
        <v>68</v>
      </c>
    </row>
    <row r="1679" customFormat="false" ht="15" hidden="false" customHeight="true" outlineLevel="0" collapsed="false">
      <c r="A1679" s="3" t="n">
        <v>46168.8728009259</v>
      </c>
      <c r="B1679" s="1" t="s">
        <v>8</v>
      </c>
      <c r="C1679" s="1" t="n">
        <v>2157</v>
      </c>
      <c r="D1679" s="1" t="n">
        <v>66</v>
      </c>
    </row>
    <row r="1680" customFormat="false" ht="15" hidden="false" customHeight="true" outlineLevel="0" collapsed="false">
      <c r="A1680" s="3" t="n">
        <v>46168.8728009259</v>
      </c>
      <c r="B1680" s="1" t="s">
        <v>9</v>
      </c>
      <c r="C1680" s="1" t="n">
        <v>2096</v>
      </c>
      <c r="D1680" s="1" t="n">
        <v>75</v>
      </c>
    </row>
    <row r="1681" customFormat="false" ht="15" hidden="false" customHeight="true" outlineLevel="0" collapsed="false">
      <c r="A1681" s="3" t="n">
        <v>46168.8731365741</v>
      </c>
      <c r="B1681" s="1" t="s">
        <v>5</v>
      </c>
      <c r="D1681" s="1" t="n">
        <v>87.6</v>
      </c>
    </row>
    <row r="1682" customFormat="false" ht="15" hidden="false" customHeight="true" outlineLevel="0" collapsed="false">
      <c r="A1682" s="3" t="n">
        <v>46168.8731712963</v>
      </c>
      <c r="B1682" s="1" t="s">
        <v>4</v>
      </c>
      <c r="C1682" s="1" t="n">
        <v>1238</v>
      </c>
      <c r="D1682" s="1" t="n">
        <v>100</v>
      </c>
    </row>
    <row r="1683" customFormat="false" ht="15" hidden="false" customHeight="true" outlineLevel="0" collapsed="false">
      <c r="A1683" s="3" t="n">
        <v>46168.8731828704</v>
      </c>
      <c r="B1683" s="1" t="s">
        <v>6</v>
      </c>
      <c r="C1683" s="1" t="n">
        <v>1273</v>
      </c>
      <c r="D1683" s="1" t="n">
        <v>96</v>
      </c>
    </row>
    <row r="1684" customFormat="false" ht="15" hidden="false" customHeight="true" outlineLevel="0" collapsed="false">
      <c r="A1684" s="3" t="n">
        <v>46168.8731828704</v>
      </c>
      <c r="B1684" s="1" t="s">
        <v>7</v>
      </c>
      <c r="C1684" s="1" t="n">
        <v>2066</v>
      </c>
      <c r="D1684" s="1" t="n">
        <v>68</v>
      </c>
    </row>
    <row r="1685" customFormat="false" ht="15" hidden="false" customHeight="true" outlineLevel="0" collapsed="false">
      <c r="A1685" s="3" t="n">
        <v>46168.8731828704</v>
      </c>
      <c r="B1685" s="1" t="s">
        <v>8</v>
      </c>
      <c r="C1685" s="1" t="n">
        <v>2159</v>
      </c>
      <c r="D1685" s="1" t="n">
        <v>66</v>
      </c>
    </row>
    <row r="1686" customFormat="false" ht="15" hidden="false" customHeight="true" outlineLevel="0" collapsed="false">
      <c r="A1686" s="3" t="n">
        <v>46168.8731828704</v>
      </c>
      <c r="B1686" s="1" t="s">
        <v>9</v>
      </c>
      <c r="C1686" s="1" t="n">
        <v>2103</v>
      </c>
      <c r="D1686" s="1" t="n">
        <v>74</v>
      </c>
    </row>
    <row r="1687" customFormat="false" ht="15" hidden="false" customHeight="true" outlineLevel="0" collapsed="false">
      <c r="A1687" s="3" t="n">
        <v>46168.8734837963</v>
      </c>
      <c r="B1687" s="1" t="s">
        <v>5</v>
      </c>
      <c r="D1687" s="1" t="n">
        <v>87.6</v>
      </c>
    </row>
    <row r="1688" customFormat="false" ht="15" hidden="false" customHeight="true" outlineLevel="0" collapsed="false">
      <c r="A1688" s="3" t="n">
        <v>46168.8734953704</v>
      </c>
      <c r="B1688" s="1" t="s">
        <v>6</v>
      </c>
      <c r="C1688" s="1" t="n">
        <v>1179</v>
      </c>
      <c r="D1688" s="1" t="n">
        <v>100</v>
      </c>
    </row>
    <row r="1689" customFormat="false" ht="15" hidden="false" customHeight="true" outlineLevel="0" collapsed="false">
      <c r="A1689" s="3" t="n">
        <v>46168.8734953704</v>
      </c>
      <c r="B1689" s="1" t="s">
        <v>7</v>
      </c>
      <c r="C1689" s="1" t="n">
        <v>2066</v>
      </c>
      <c r="D1689" s="1" t="n">
        <v>68</v>
      </c>
    </row>
    <row r="1690" customFormat="false" ht="15" hidden="false" customHeight="true" outlineLevel="0" collapsed="false">
      <c r="A1690" s="3" t="n">
        <v>46168.8734953704</v>
      </c>
      <c r="B1690" s="1" t="s">
        <v>4</v>
      </c>
      <c r="C1690" s="1" t="n">
        <v>1280</v>
      </c>
      <c r="D1690" s="1" t="n">
        <v>100</v>
      </c>
    </row>
    <row r="1691" customFormat="false" ht="15" hidden="false" customHeight="true" outlineLevel="0" collapsed="false">
      <c r="A1691" s="3" t="n">
        <v>46168.8735069444</v>
      </c>
      <c r="B1691" s="1" t="s">
        <v>8</v>
      </c>
      <c r="C1691" s="1" t="n">
        <v>2159</v>
      </c>
      <c r="D1691" s="1" t="n">
        <v>66</v>
      </c>
    </row>
    <row r="1692" customFormat="false" ht="15" hidden="false" customHeight="true" outlineLevel="0" collapsed="false">
      <c r="A1692" s="3" t="n">
        <v>46168.8735069444</v>
      </c>
      <c r="B1692" s="1" t="s">
        <v>9</v>
      </c>
      <c r="C1692" s="1" t="n">
        <v>2101</v>
      </c>
      <c r="D1692" s="1" t="n">
        <v>74</v>
      </c>
    </row>
    <row r="1693" customFormat="false" ht="15" hidden="false" customHeight="true" outlineLevel="0" collapsed="false">
      <c r="A1693" s="3" t="n">
        <v>46168.8738310185</v>
      </c>
      <c r="B1693" s="1" t="s">
        <v>5</v>
      </c>
      <c r="D1693" s="1" t="n">
        <v>87.6</v>
      </c>
    </row>
    <row r="1694" customFormat="false" ht="15" hidden="false" customHeight="true" outlineLevel="0" collapsed="false">
      <c r="A1694" s="3" t="n">
        <v>46168.8738425926</v>
      </c>
      <c r="B1694" s="1" t="s">
        <v>6</v>
      </c>
      <c r="C1694" s="1" t="n">
        <v>1198</v>
      </c>
      <c r="D1694" s="1" t="n">
        <v>100</v>
      </c>
    </row>
    <row r="1695" customFormat="false" ht="15" hidden="false" customHeight="true" outlineLevel="0" collapsed="false">
      <c r="A1695" s="3" t="n">
        <v>46168.8738425926</v>
      </c>
      <c r="B1695" s="1" t="s">
        <v>7</v>
      </c>
      <c r="C1695" s="1" t="n">
        <v>2070</v>
      </c>
      <c r="D1695" s="1" t="n">
        <v>68</v>
      </c>
    </row>
    <row r="1696" customFormat="false" ht="15" hidden="false" customHeight="true" outlineLevel="0" collapsed="false">
      <c r="A1696" s="3" t="n">
        <v>46168.8738425926</v>
      </c>
      <c r="B1696" s="1" t="s">
        <v>4</v>
      </c>
      <c r="C1696" s="1" t="n">
        <v>1250</v>
      </c>
      <c r="D1696" s="1" t="n">
        <v>100</v>
      </c>
    </row>
    <row r="1697" customFormat="false" ht="15" hidden="false" customHeight="true" outlineLevel="0" collapsed="false">
      <c r="A1697" s="3" t="n">
        <v>46168.8738541667</v>
      </c>
      <c r="B1697" s="1" t="s">
        <v>8</v>
      </c>
      <c r="C1697" s="1" t="n">
        <v>2160</v>
      </c>
      <c r="D1697" s="1" t="n">
        <v>66</v>
      </c>
    </row>
    <row r="1698" customFormat="false" ht="15" hidden="false" customHeight="true" outlineLevel="0" collapsed="false">
      <c r="A1698" s="3" t="n">
        <v>46168.8738541667</v>
      </c>
      <c r="B1698" s="1" t="s">
        <v>9</v>
      </c>
      <c r="C1698" s="1" t="n">
        <v>2101</v>
      </c>
      <c r="D1698" s="1" t="n">
        <v>74</v>
      </c>
    </row>
    <row r="1699" customFormat="false" ht="15" hidden="false" customHeight="true" outlineLevel="0" collapsed="false">
      <c r="A1699" s="3" t="n">
        <v>46168.8741782407</v>
      </c>
      <c r="B1699" s="1" t="s">
        <v>5</v>
      </c>
      <c r="D1699" s="1" t="n">
        <v>87.4</v>
      </c>
    </row>
    <row r="1700" customFormat="false" ht="15" hidden="false" customHeight="true" outlineLevel="0" collapsed="false">
      <c r="A1700" s="3" t="n">
        <v>46168.8741898148</v>
      </c>
      <c r="B1700" s="1" t="s">
        <v>6</v>
      </c>
      <c r="C1700" s="1" t="n">
        <v>1204</v>
      </c>
      <c r="D1700" s="1" t="n">
        <v>100</v>
      </c>
    </row>
    <row r="1701" customFormat="false" ht="15" hidden="false" customHeight="true" outlineLevel="0" collapsed="false">
      <c r="A1701" s="3" t="n">
        <v>46168.8741898148</v>
      </c>
      <c r="B1701" s="1" t="s">
        <v>7</v>
      </c>
      <c r="C1701" s="1" t="n">
        <v>2072</v>
      </c>
      <c r="D1701" s="1" t="n">
        <v>68</v>
      </c>
    </row>
    <row r="1702" customFormat="false" ht="15" hidden="false" customHeight="true" outlineLevel="0" collapsed="false">
      <c r="A1702" s="3" t="n">
        <v>46168.8741898148</v>
      </c>
      <c r="B1702" s="1" t="s">
        <v>4</v>
      </c>
      <c r="C1702" s="1" t="n">
        <v>1257</v>
      </c>
      <c r="D1702" s="1" t="n">
        <v>100</v>
      </c>
    </row>
    <row r="1703" customFormat="false" ht="15" hidden="false" customHeight="true" outlineLevel="0" collapsed="false">
      <c r="A1703" s="3" t="n">
        <v>46168.8742013889</v>
      </c>
      <c r="B1703" s="1" t="s">
        <v>8</v>
      </c>
      <c r="C1703" s="1" t="n">
        <v>2160</v>
      </c>
      <c r="D1703" s="1" t="n">
        <v>66</v>
      </c>
    </row>
    <row r="1704" customFormat="false" ht="15" hidden="false" customHeight="true" outlineLevel="0" collapsed="false">
      <c r="A1704" s="3" t="n">
        <v>46168.8742013889</v>
      </c>
      <c r="B1704" s="1" t="s">
        <v>9</v>
      </c>
      <c r="C1704" s="1" t="n">
        <v>2106</v>
      </c>
      <c r="D1704" s="1" t="n">
        <v>73</v>
      </c>
    </row>
    <row r="1705" customFormat="false" ht="15" hidden="false" customHeight="true" outlineLevel="0" collapsed="false">
      <c r="A1705" s="3" t="n">
        <v>46168.874525463</v>
      </c>
      <c r="B1705" s="1" t="s">
        <v>5</v>
      </c>
      <c r="D1705" s="1" t="n">
        <v>87.6</v>
      </c>
    </row>
    <row r="1706" customFormat="false" ht="15" hidden="false" customHeight="true" outlineLevel="0" collapsed="false">
      <c r="A1706" s="3" t="n">
        <v>46168.874537037</v>
      </c>
      <c r="B1706" s="1" t="s">
        <v>6</v>
      </c>
      <c r="C1706" s="1" t="n">
        <v>1194</v>
      </c>
      <c r="D1706" s="1" t="n">
        <v>100</v>
      </c>
    </row>
    <row r="1707" customFormat="false" ht="15" hidden="false" customHeight="true" outlineLevel="0" collapsed="false">
      <c r="A1707" s="3" t="n">
        <v>46168.874537037</v>
      </c>
      <c r="B1707" s="1" t="s">
        <v>4</v>
      </c>
      <c r="C1707" s="1" t="n">
        <v>1292</v>
      </c>
      <c r="D1707" s="1" t="n">
        <v>100</v>
      </c>
    </row>
    <row r="1708" customFormat="false" ht="15" hidden="false" customHeight="true" outlineLevel="0" collapsed="false">
      <c r="A1708" s="3" t="n">
        <v>46168.8745486111</v>
      </c>
      <c r="B1708" s="1" t="s">
        <v>7</v>
      </c>
      <c r="C1708" s="1" t="n">
        <v>2075</v>
      </c>
      <c r="D1708" s="1" t="n">
        <v>68</v>
      </c>
    </row>
    <row r="1709" customFormat="false" ht="15" hidden="false" customHeight="true" outlineLevel="0" collapsed="false">
      <c r="A1709" s="3" t="n">
        <v>46168.8745486111</v>
      </c>
      <c r="B1709" s="1" t="s">
        <v>8</v>
      </c>
      <c r="C1709" s="1" t="n">
        <v>2160</v>
      </c>
      <c r="D1709" s="1" t="n">
        <v>66</v>
      </c>
    </row>
    <row r="1710" customFormat="false" ht="15" hidden="false" customHeight="true" outlineLevel="0" collapsed="false">
      <c r="A1710" s="3" t="n">
        <v>46168.8745486111</v>
      </c>
      <c r="B1710" s="1" t="s">
        <v>9</v>
      </c>
      <c r="C1710" s="1" t="n">
        <v>2107</v>
      </c>
      <c r="D1710" s="1" t="n">
        <v>73</v>
      </c>
    </row>
    <row r="1711" customFormat="false" ht="15" hidden="false" customHeight="true" outlineLevel="0" collapsed="false">
      <c r="A1711" s="3" t="n">
        <v>46168.8748842593</v>
      </c>
      <c r="B1711" s="1" t="s">
        <v>5</v>
      </c>
      <c r="D1711" s="1" t="n">
        <v>87.6</v>
      </c>
    </row>
    <row r="1712" customFormat="false" ht="15" hidden="false" customHeight="true" outlineLevel="0" collapsed="false">
      <c r="A1712" s="3" t="n">
        <v>46168.8748958333</v>
      </c>
      <c r="B1712" s="1" t="s">
        <v>6</v>
      </c>
      <c r="C1712" s="1" t="n">
        <v>1197</v>
      </c>
      <c r="D1712" s="1" t="n">
        <v>100</v>
      </c>
    </row>
    <row r="1713" customFormat="false" ht="15" hidden="false" customHeight="true" outlineLevel="0" collapsed="false">
      <c r="A1713" s="3" t="n">
        <v>46168.8748958333</v>
      </c>
      <c r="B1713" s="1" t="s">
        <v>7</v>
      </c>
      <c r="C1713" s="1" t="n">
        <v>2077</v>
      </c>
      <c r="D1713" s="1" t="n">
        <v>67</v>
      </c>
    </row>
    <row r="1714" customFormat="false" ht="15" hidden="false" customHeight="true" outlineLevel="0" collapsed="false">
      <c r="A1714" s="3" t="n">
        <v>46168.8748958333</v>
      </c>
      <c r="B1714" s="1" t="s">
        <v>4</v>
      </c>
      <c r="C1714" s="1" t="n">
        <v>1273</v>
      </c>
      <c r="D1714" s="1" t="n">
        <v>100</v>
      </c>
    </row>
    <row r="1715" customFormat="false" ht="15" hidden="false" customHeight="true" outlineLevel="0" collapsed="false">
      <c r="A1715" s="3" t="n">
        <v>46168.8749074074</v>
      </c>
      <c r="B1715" s="1" t="s">
        <v>8</v>
      </c>
      <c r="C1715" s="1" t="n">
        <v>2163</v>
      </c>
      <c r="D1715" s="1" t="n">
        <v>65</v>
      </c>
    </row>
    <row r="1716" customFormat="false" ht="15" hidden="false" customHeight="true" outlineLevel="0" collapsed="false">
      <c r="A1716" s="3" t="n">
        <v>46168.8749074074</v>
      </c>
      <c r="B1716" s="1" t="s">
        <v>9</v>
      </c>
      <c r="C1716" s="1" t="n">
        <v>2109</v>
      </c>
      <c r="D1716" s="1" t="n">
        <v>73</v>
      </c>
    </row>
    <row r="1717" customFormat="false" ht="15" hidden="false" customHeight="true" outlineLevel="0" collapsed="false">
      <c r="A1717" s="3" t="n">
        <v>46168.8752430556</v>
      </c>
      <c r="B1717" s="1" t="s">
        <v>6</v>
      </c>
      <c r="C1717" s="1" t="n">
        <v>1185</v>
      </c>
      <c r="D1717" s="1" t="n">
        <v>100</v>
      </c>
    </row>
    <row r="1718" customFormat="false" ht="15" hidden="false" customHeight="true" outlineLevel="0" collapsed="false">
      <c r="A1718" s="3" t="n">
        <v>46168.8752430556</v>
      </c>
      <c r="B1718" s="1" t="s">
        <v>4</v>
      </c>
      <c r="C1718" s="1" t="n">
        <v>1277</v>
      </c>
      <c r="D1718" s="1" t="n">
        <v>100</v>
      </c>
    </row>
    <row r="1719" customFormat="false" ht="15" hidden="false" customHeight="true" outlineLevel="0" collapsed="false">
      <c r="A1719" s="3" t="n">
        <v>46168.8752430556</v>
      </c>
      <c r="B1719" s="1" t="s">
        <v>5</v>
      </c>
      <c r="D1719" s="1" t="n">
        <v>87.4</v>
      </c>
    </row>
    <row r="1720" customFormat="false" ht="15" hidden="false" customHeight="true" outlineLevel="0" collapsed="false">
      <c r="A1720" s="3" t="n">
        <v>46168.8752546296</v>
      </c>
      <c r="B1720" s="1" t="s">
        <v>7</v>
      </c>
      <c r="C1720" s="1" t="n">
        <v>2078</v>
      </c>
      <c r="D1720" s="1" t="n">
        <v>67</v>
      </c>
    </row>
    <row r="1721" customFormat="false" ht="15" hidden="false" customHeight="true" outlineLevel="0" collapsed="false">
      <c r="A1721" s="3" t="n">
        <v>46168.8752546296</v>
      </c>
      <c r="B1721" s="1" t="s">
        <v>8</v>
      </c>
      <c r="C1721" s="1" t="n">
        <v>2165</v>
      </c>
      <c r="D1721" s="1" t="n">
        <v>65</v>
      </c>
    </row>
    <row r="1722" customFormat="false" ht="15" hidden="false" customHeight="true" outlineLevel="0" collapsed="false">
      <c r="A1722" s="3" t="n">
        <v>46168.8752662037</v>
      </c>
      <c r="B1722" s="1" t="s">
        <v>9</v>
      </c>
      <c r="C1722" s="1" t="n">
        <v>2113</v>
      </c>
      <c r="D1722" s="1" t="n">
        <v>72</v>
      </c>
    </row>
    <row r="1723" customFormat="false" ht="15" hidden="false" customHeight="true" outlineLevel="0" collapsed="false">
      <c r="A1723" s="3" t="n">
        <v>46168.8755902778</v>
      </c>
      <c r="B1723" s="1" t="s">
        <v>4</v>
      </c>
      <c r="C1723" s="1" t="n">
        <v>1291</v>
      </c>
      <c r="D1723" s="1" t="n">
        <v>100</v>
      </c>
    </row>
    <row r="1724" customFormat="false" ht="15" hidden="false" customHeight="true" outlineLevel="0" collapsed="false">
      <c r="A1724" s="3" t="n">
        <v>46168.8755902778</v>
      </c>
      <c r="B1724" s="1" t="s">
        <v>5</v>
      </c>
      <c r="D1724" s="1" t="n">
        <v>87.4</v>
      </c>
    </row>
    <row r="1725" customFormat="false" ht="15" hidden="false" customHeight="true" outlineLevel="0" collapsed="false">
      <c r="A1725" s="3" t="n">
        <v>46168.8756018519</v>
      </c>
      <c r="B1725" s="1" t="s">
        <v>6</v>
      </c>
      <c r="C1725" s="1" t="n">
        <v>1195</v>
      </c>
      <c r="D1725" s="1" t="n">
        <v>100</v>
      </c>
    </row>
    <row r="1726" customFormat="false" ht="15" hidden="false" customHeight="true" outlineLevel="0" collapsed="false">
      <c r="A1726" s="3" t="n">
        <v>46168.8756018519</v>
      </c>
      <c r="B1726" s="1" t="s">
        <v>7</v>
      </c>
      <c r="C1726" s="1" t="n">
        <v>2082</v>
      </c>
      <c r="D1726" s="1" t="n">
        <v>67</v>
      </c>
    </row>
    <row r="1727" customFormat="false" ht="15" hidden="false" customHeight="true" outlineLevel="0" collapsed="false">
      <c r="A1727" s="3" t="n">
        <v>46168.8756018519</v>
      </c>
      <c r="B1727" s="1" t="s">
        <v>8</v>
      </c>
      <c r="C1727" s="1" t="n">
        <v>2159</v>
      </c>
      <c r="D1727" s="1" t="n">
        <v>66</v>
      </c>
    </row>
    <row r="1728" customFormat="false" ht="15" hidden="false" customHeight="true" outlineLevel="0" collapsed="false">
      <c r="A1728" s="3" t="n">
        <v>46168.8756134259</v>
      </c>
      <c r="B1728" s="1" t="s">
        <v>9</v>
      </c>
      <c r="C1728" s="1" t="n">
        <v>2115</v>
      </c>
      <c r="D1728" s="1" t="n">
        <v>72</v>
      </c>
    </row>
    <row r="1729" customFormat="false" ht="15" hidden="false" customHeight="true" outlineLevel="0" collapsed="false">
      <c r="A1729" s="3" t="n">
        <v>46168.8759375</v>
      </c>
      <c r="B1729" s="1" t="s">
        <v>5</v>
      </c>
      <c r="D1729" s="1" t="n">
        <v>87.4</v>
      </c>
    </row>
    <row r="1730" customFormat="false" ht="15" hidden="false" customHeight="true" outlineLevel="0" collapsed="false">
      <c r="A1730" s="3" t="n">
        <v>46168.8759490741</v>
      </c>
      <c r="B1730" s="1" t="s">
        <v>6</v>
      </c>
      <c r="C1730" s="1" t="n">
        <v>1195</v>
      </c>
      <c r="D1730" s="1" t="n">
        <v>100</v>
      </c>
    </row>
    <row r="1731" customFormat="false" ht="15" hidden="false" customHeight="true" outlineLevel="0" collapsed="false">
      <c r="A1731" s="3" t="n">
        <v>46168.8759490741</v>
      </c>
      <c r="B1731" s="1" t="s">
        <v>4</v>
      </c>
      <c r="C1731" s="1" t="n">
        <v>1309</v>
      </c>
      <c r="D1731" s="1" t="n">
        <v>99</v>
      </c>
    </row>
    <row r="1732" customFormat="false" ht="15" hidden="false" customHeight="true" outlineLevel="0" collapsed="false">
      <c r="A1732" s="3" t="n">
        <v>46168.8759606482</v>
      </c>
      <c r="B1732" s="1" t="s">
        <v>7</v>
      </c>
      <c r="C1732" s="1" t="n">
        <v>2083</v>
      </c>
      <c r="D1732" s="1" t="n">
        <v>67</v>
      </c>
    </row>
    <row r="1733" customFormat="false" ht="15" hidden="false" customHeight="true" outlineLevel="0" collapsed="false">
      <c r="A1733" s="3" t="n">
        <v>46168.8759606482</v>
      </c>
      <c r="B1733" s="1" t="s">
        <v>8</v>
      </c>
      <c r="C1733" s="1" t="n">
        <v>2166</v>
      </c>
      <c r="D1733" s="1" t="n">
        <v>65</v>
      </c>
    </row>
    <row r="1734" customFormat="false" ht="15" hidden="false" customHeight="true" outlineLevel="0" collapsed="false">
      <c r="A1734" s="3" t="n">
        <v>46168.8759606482</v>
      </c>
      <c r="B1734" s="1" t="s">
        <v>9</v>
      </c>
      <c r="C1734" s="1" t="n">
        <v>2112</v>
      </c>
      <c r="D1734" s="1" t="n">
        <v>72</v>
      </c>
    </row>
    <row r="1735" customFormat="false" ht="15" hidden="false" customHeight="true" outlineLevel="0" collapsed="false">
      <c r="A1735" s="3" t="n">
        <v>46168.8762962963</v>
      </c>
      <c r="B1735" s="1" t="s">
        <v>4</v>
      </c>
      <c r="C1735" s="1" t="n">
        <v>1270</v>
      </c>
      <c r="D1735" s="1" t="n">
        <v>100</v>
      </c>
    </row>
    <row r="1736" customFormat="false" ht="15" hidden="false" customHeight="true" outlineLevel="0" collapsed="false">
      <c r="A1736" s="3" t="n">
        <v>46168.8762962963</v>
      </c>
      <c r="B1736" s="1" t="s">
        <v>5</v>
      </c>
      <c r="D1736" s="1" t="n">
        <v>87.4</v>
      </c>
    </row>
    <row r="1737" customFormat="false" ht="15" hidden="false" customHeight="true" outlineLevel="0" collapsed="false">
      <c r="A1737" s="3" t="n">
        <v>46168.8763078704</v>
      </c>
      <c r="B1737" s="1" t="s">
        <v>6</v>
      </c>
      <c r="C1737" s="1" t="n">
        <v>1186</v>
      </c>
      <c r="D1737" s="1" t="n">
        <v>100</v>
      </c>
    </row>
    <row r="1738" customFormat="false" ht="15" hidden="false" customHeight="true" outlineLevel="0" collapsed="false">
      <c r="A1738" s="3" t="n">
        <v>46168.8763078704</v>
      </c>
      <c r="B1738" s="1" t="s">
        <v>7</v>
      </c>
      <c r="C1738" s="1" t="n">
        <v>2085</v>
      </c>
      <c r="D1738" s="1" t="n">
        <v>67</v>
      </c>
    </row>
    <row r="1739" customFormat="false" ht="15" hidden="false" customHeight="true" outlineLevel="0" collapsed="false">
      <c r="A1739" s="3" t="n">
        <v>46168.8763194445</v>
      </c>
      <c r="B1739" s="1" t="s">
        <v>8</v>
      </c>
      <c r="C1739" s="1" t="n">
        <v>2163</v>
      </c>
      <c r="D1739" s="1" t="n">
        <v>65</v>
      </c>
    </row>
    <row r="1740" customFormat="false" ht="15" hidden="false" customHeight="true" outlineLevel="0" collapsed="false">
      <c r="A1740" s="3" t="n">
        <v>46168.8763194445</v>
      </c>
      <c r="B1740" s="1" t="s">
        <v>9</v>
      </c>
      <c r="C1740" s="1" t="n">
        <v>2119</v>
      </c>
      <c r="D1740" s="1" t="n">
        <v>71</v>
      </c>
    </row>
    <row r="1741" customFormat="false" ht="15" hidden="false" customHeight="true" outlineLevel="0" collapsed="false">
      <c r="A1741" s="3" t="n">
        <v>46168.8766550926</v>
      </c>
      <c r="B1741" s="1" t="s">
        <v>6</v>
      </c>
      <c r="C1741" s="1" t="n">
        <v>1194</v>
      </c>
      <c r="D1741" s="1" t="n">
        <v>100</v>
      </c>
    </row>
    <row r="1742" customFormat="false" ht="15" hidden="false" customHeight="true" outlineLevel="0" collapsed="false">
      <c r="A1742" s="3" t="n">
        <v>46168.8766550926</v>
      </c>
      <c r="B1742" s="1" t="s">
        <v>4</v>
      </c>
      <c r="C1742" s="1" t="n">
        <v>1280</v>
      </c>
      <c r="D1742" s="1" t="n">
        <v>100</v>
      </c>
    </row>
    <row r="1743" customFormat="false" ht="15" hidden="false" customHeight="true" outlineLevel="0" collapsed="false">
      <c r="A1743" s="3" t="n">
        <v>46168.8766550926</v>
      </c>
      <c r="B1743" s="1" t="s">
        <v>5</v>
      </c>
      <c r="D1743" s="1" t="n">
        <v>87.6</v>
      </c>
    </row>
    <row r="1744" customFormat="false" ht="15" hidden="false" customHeight="true" outlineLevel="0" collapsed="false">
      <c r="A1744" s="3" t="n">
        <v>46168.8766666667</v>
      </c>
      <c r="B1744" s="1" t="s">
        <v>7</v>
      </c>
      <c r="C1744" s="1" t="n">
        <v>2086</v>
      </c>
      <c r="D1744" s="1" t="n">
        <v>66</v>
      </c>
    </row>
    <row r="1745" customFormat="false" ht="15" hidden="false" customHeight="true" outlineLevel="0" collapsed="false">
      <c r="A1745" s="3" t="n">
        <v>46168.8766666667</v>
      </c>
      <c r="B1745" s="1" t="s">
        <v>8</v>
      </c>
      <c r="C1745" s="1" t="n">
        <v>2164</v>
      </c>
      <c r="D1745" s="1" t="n">
        <v>65</v>
      </c>
    </row>
    <row r="1746" customFormat="false" ht="15" hidden="false" customHeight="true" outlineLevel="0" collapsed="false">
      <c r="A1746" s="3" t="n">
        <v>46168.8766782407</v>
      </c>
      <c r="B1746" s="1" t="s">
        <v>9</v>
      </c>
      <c r="C1746" s="1" t="n">
        <v>2112</v>
      </c>
      <c r="D1746" s="1" t="n">
        <v>72</v>
      </c>
    </row>
    <row r="1747" customFormat="false" ht="15" hidden="false" customHeight="true" outlineLevel="0" collapsed="false">
      <c r="A1747" s="3" t="n">
        <v>46168.8770023148</v>
      </c>
      <c r="B1747" s="1" t="s">
        <v>5</v>
      </c>
      <c r="D1747" s="1" t="n">
        <v>87.6</v>
      </c>
    </row>
    <row r="1748" customFormat="false" ht="15" hidden="false" customHeight="true" outlineLevel="0" collapsed="false">
      <c r="A1748" s="3" t="n">
        <v>46168.8770138889</v>
      </c>
      <c r="B1748" s="1" t="s">
        <v>6</v>
      </c>
      <c r="C1748" s="1" t="n">
        <v>1199</v>
      </c>
      <c r="D1748" s="1" t="n">
        <v>100</v>
      </c>
    </row>
    <row r="1749" customFormat="false" ht="15" hidden="false" customHeight="true" outlineLevel="0" collapsed="false">
      <c r="A1749" s="3" t="n">
        <v>46168.8770138889</v>
      </c>
      <c r="B1749" s="1" t="s">
        <v>4</v>
      </c>
      <c r="C1749" s="1" t="n">
        <v>1243</v>
      </c>
      <c r="D1749" s="1" t="n">
        <v>100</v>
      </c>
    </row>
    <row r="1750" customFormat="false" ht="15" hidden="false" customHeight="true" outlineLevel="0" collapsed="false">
      <c r="A1750" s="3" t="n">
        <v>46168.877025463</v>
      </c>
      <c r="B1750" s="1" t="s">
        <v>7</v>
      </c>
      <c r="C1750" s="1" t="n">
        <v>2077</v>
      </c>
      <c r="D1750" s="1" t="n">
        <v>67</v>
      </c>
    </row>
    <row r="1751" customFormat="false" ht="15" hidden="false" customHeight="true" outlineLevel="0" collapsed="false">
      <c r="A1751" s="3" t="n">
        <v>46168.877025463</v>
      </c>
      <c r="B1751" s="1" t="s">
        <v>8</v>
      </c>
      <c r="C1751" s="1" t="n">
        <v>2165</v>
      </c>
      <c r="D1751" s="1" t="n">
        <v>65</v>
      </c>
    </row>
    <row r="1752" customFormat="false" ht="15" hidden="false" customHeight="true" outlineLevel="0" collapsed="false">
      <c r="A1752" s="3" t="n">
        <v>46168.877037037</v>
      </c>
      <c r="B1752" s="1" t="s">
        <v>9</v>
      </c>
      <c r="C1752" s="1" t="n">
        <v>2117</v>
      </c>
      <c r="D1752" s="1" t="n">
        <v>71</v>
      </c>
    </row>
    <row r="1753" customFormat="false" ht="15" hidden="false" customHeight="true" outlineLevel="0" collapsed="false">
      <c r="A1753" s="3" t="n">
        <v>46168.8773611111</v>
      </c>
      <c r="B1753" s="1" t="s">
        <v>5</v>
      </c>
      <c r="D1753" s="1" t="n">
        <v>87.6</v>
      </c>
    </row>
    <row r="1754" customFormat="false" ht="15" hidden="false" customHeight="true" outlineLevel="0" collapsed="false">
      <c r="A1754" s="3" t="n">
        <v>46168.8773726852</v>
      </c>
      <c r="B1754" s="1" t="s">
        <v>6</v>
      </c>
      <c r="C1754" s="1" t="n">
        <v>1191</v>
      </c>
      <c r="D1754" s="1" t="n">
        <v>100</v>
      </c>
    </row>
    <row r="1755" customFormat="false" ht="15" hidden="false" customHeight="true" outlineLevel="0" collapsed="false">
      <c r="A1755" s="3" t="n">
        <v>46168.8773726852</v>
      </c>
      <c r="B1755" s="1" t="s">
        <v>7</v>
      </c>
      <c r="C1755" s="1" t="n">
        <v>2091</v>
      </c>
      <c r="D1755" s="1" t="n">
        <v>66</v>
      </c>
    </row>
    <row r="1756" customFormat="false" ht="15" hidden="false" customHeight="true" outlineLevel="0" collapsed="false">
      <c r="A1756" s="3" t="n">
        <v>46168.8773726852</v>
      </c>
      <c r="B1756" s="1" t="s">
        <v>4</v>
      </c>
      <c r="C1756" s="1" t="n">
        <v>1258</v>
      </c>
      <c r="D1756" s="1" t="n">
        <v>100</v>
      </c>
    </row>
    <row r="1757" customFormat="false" ht="15" hidden="false" customHeight="true" outlineLevel="0" collapsed="false">
      <c r="A1757" s="3" t="n">
        <v>46168.8773842593</v>
      </c>
      <c r="B1757" s="1" t="s">
        <v>8</v>
      </c>
      <c r="C1757" s="1" t="n">
        <v>2166</v>
      </c>
      <c r="D1757" s="1" t="n">
        <v>65</v>
      </c>
    </row>
    <row r="1758" customFormat="false" ht="15" hidden="false" customHeight="true" outlineLevel="0" collapsed="false">
      <c r="A1758" s="3" t="n">
        <v>46168.8773842593</v>
      </c>
      <c r="B1758" s="1" t="s">
        <v>9</v>
      </c>
      <c r="C1758" s="1" t="n">
        <v>2118</v>
      </c>
      <c r="D1758" s="1" t="n">
        <v>71</v>
      </c>
    </row>
    <row r="1759" customFormat="false" ht="15" hidden="false" customHeight="true" outlineLevel="0" collapsed="false">
      <c r="A1759" s="3" t="n">
        <v>46168.8777199074</v>
      </c>
      <c r="B1759" s="1" t="s">
        <v>4</v>
      </c>
      <c r="C1759" s="1" t="n">
        <v>1265</v>
      </c>
      <c r="D1759" s="1" t="n">
        <v>100</v>
      </c>
    </row>
    <row r="1760" customFormat="false" ht="15" hidden="false" customHeight="true" outlineLevel="0" collapsed="false">
      <c r="A1760" s="3" t="n">
        <v>46168.8777199074</v>
      </c>
      <c r="B1760" s="1" t="s">
        <v>5</v>
      </c>
      <c r="D1760" s="1" t="n">
        <v>87.6</v>
      </c>
    </row>
    <row r="1761" customFormat="false" ht="15" hidden="false" customHeight="true" outlineLevel="0" collapsed="false">
      <c r="A1761" s="3" t="n">
        <v>46168.8777314815</v>
      </c>
      <c r="B1761" s="1" t="s">
        <v>6</v>
      </c>
      <c r="C1761" s="1" t="n">
        <v>1214</v>
      </c>
      <c r="D1761" s="1" t="n">
        <v>99</v>
      </c>
    </row>
    <row r="1762" customFormat="false" ht="15" hidden="false" customHeight="true" outlineLevel="0" collapsed="false">
      <c r="A1762" s="3" t="n">
        <v>46168.8777314815</v>
      </c>
      <c r="B1762" s="1" t="s">
        <v>7</v>
      </c>
      <c r="C1762" s="1" t="n">
        <v>2090</v>
      </c>
      <c r="D1762" s="1" t="n">
        <v>66</v>
      </c>
    </row>
    <row r="1763" customFormat="false" ht="15" hidden="false" customHeight="true" outlineLevel="0" collapsed="false">
      <c r="A1763" s="3" t="n">
        <v>46168.8777314815</v>
      </c>
      <c r="B1763" s="1" t="s">
        <v>8</v>
      </c>
      <c r="C1763" s="1" t="n">
        <v>2167</v>
      </c>
      <c r="D1763" s="1" t="n">
        <v>65</v>
      </c>
    </row>
    <row r="1764" customFormat="false" ht="15" hidden="false" customHeight="true" outlineLevel="0" collapsed="false">
      <c r="A1764" s="3" t="n">
        <v>46168.8777430556</v>
      </c>
      <c r="B1764" s="1" t="s">
        <v>9</v>
      </c>
      <c r="C1764" s="1" t="n">
        <v>2119</v>
      </c>
      <c r="D1764" s="1" t="n">
        <v>71</v>
      </c>
    </row>
    <row r="1765" customFormat="false" ht="15" hidden="false" customHeight="true" outlineLevel="0" collapsed="false">
      <c r="A1765" s="3" t="n">
        <v>46168.8780671296</v>
      </c>
      <c r="B1765" s="1" t="s">
        <v>5</v>
      </c>
      <c r="D1765" s="1" t="n">
        <v>87.6</v>
      </c>
    </row>
    <row r="1766" customFormat="false" ht="15" hidden="false" customHeight="true" outlineLevel="0" collapsed="false">
      <c r="A1766" s="3" t="n">
        <v>46168.8780787037</v>
      </c>
      <c r="B1766" s="1" t="s">
        <v>6</v>
      </c>
      <c r="C1766" s="1" t="n">
        <v>1201</v>
      </c>
      <c r="D1766" s="1" t="n">
        <v>100</v>
      </c>
    </row>
    <row r="1767" customFormat="false" ht="15" hidden="false" customHeight="true" outlineLevel="0" collapsed="false">
      <c r="A1767" s="3" t="n">
        <v>46168.8780787037</v>
      </c>
      <c r="B1767" s="1" t="s">
        <v>7</v>
      </c>
      <c r="C1767" s="1" t="n">
        <v>2094</v>
      </c>
      <c r="D1767" s="1" t="n">
        <v>66</v>
      </c>
    </row>
    <row r="1768" customFormat="false" ht="15" hidden="false" customHeight="true" outlineLevel="0" collapsed="false">
      <c r="A1768" s="3" t="n">
        <v>46168.8780787037</v>
      </c>
      <c r="B1768" s="1" t="s">
        <v>4</v>
      </c>
      <c r="C1768" s="1" t="n">
        <v>1271</v>
      </c>
      <c r="D1768" s="1" t="n">
        <v>100</v>
      </c>
    </row>
    <row r="1769" customFormat="false" ht="15" hidden="false" customHeight="true" outlineLevel="0" collapsed="false">
      <c r="A1769" s="3" t="n">
        <v>46168.8780787037</v>
      </c>
      <c r="B1769" s="1" t="s">
        <v>8</v>
      </c>
      <c r="C1769" s="1" t="n">
        <v>2167</v>
      </c>
      <c r="D1769" s="1" t="n">
        <v>65</v>
      </c>
    </row>
    <row r="1770" customFormat="false" ht="15" hidden="false" customHeight="true" outlineLevel="0" collapsed="false">
      <c r="A1770" s="3" t="n">
        <v>46168.8780787037</v>
      </c>
      <c r="B1770" s="1" t="s">
        <v>9</v>
      </c>
      <c r="C1770" s="1" t="n">
        <v>2119</v>
      </c>
      <c r="D1770" s="1" t="n">
        <v>71</v>
      </c>
    </row>
    <row r="1771" customFormat="false" ht="15" hidden="false" customHeight="true" outlineLevel="0" collapsed="false">
      <c r="A1771" s="3" t="n">
        <v>46168.8784143519</v>
      </c>
      <c r="B1771" s="1" t="s">
        <v>5</v>
      </c>
      <c r="D1771" s="1" t="n">
        <v>87.4</v>
      </c>
    </row>
    <row r="1772" customFormat="false" ht="15" hidden="false" customHeight="true" outlineLevel="0" collapsed="false">
      <c r="A1772" s="3" t="n">
        <v>46168.8784259259</v>
      </c>
      <c r="B1772" s="1" t="s">
        <v>6</v>
      </c>
      <c r="C1772" s="1" t="n">
        <v>1195</v>
      </c>
      <c r="D1772" s="1" t="n">
        <v>100</v>
      </c>
    </row>
    <row r="1773" customFormat="false" ht="15" hidden="false" customHeight="true" outlineLevel="0" collapsed="false">
      <c r="A1773" s="3" t="n">
        <v>46168.8784259259</v>
      </c>
      <c r="B1773" s="1" t="s">
        <v>7</v>
      </c>
      <c r="C1773" s="1" t="n">
        <v>2095</v>
      </c>
      <c r="D1773" s="1" t="n">
        <v>66</v>
      </c>
    </row>
    <row r="1774" customFormat="false" ht="15" hidden="false" customHeight="true" outlineLevel="0" collapsed="false">
      <c r="A1774" s="3" t="n">
        <v>46168.8784259259</v>
      </c>
      <c r="B1774" s="1" t="s">
        <v>4</v>
      </c>
      <c r="C1774" s="1" t="n">
        <v>1276</v>
      </c>
      <c r="D1774" s="1" t="n">
        <v>100</v>
      </c>
    </row>
    <row r="1775" customFormat="false" ht="15" hidden="false" customHeight="true" outlineLevel="0" collapsed="false">
      <c r="A1775" s="3" t="n">
        <v>46168.8784259259</v>
      </c>
      <c r="B1775" s="1" t="s">
        <v>8</v>
      </c>
      <c r="C1775" s="1" t="n">
        <v>2170</v>
      </c>
      <c r="D1775" s="1" t="n">
        <v>65</v>
      </c>
    </row>
    <row r="1776" customFormat="false" ht="15" hidden="false" customHeight="true" outlineLevel="0" collapsed="false">
      <c r="A1776" s="3" t="n">
        <v>46168.8784375</v>
      </c>
      <c r="B1776" s="1" t="s">
        <v>9</v>
      </c>
      <c r="C1776" s="1" t="n">
        <v>2123</v>
      </c>
      <c r="D1776" s="1" t="n">
        <v>70</v>
      </c>
    </row>
    <row r="1777" customFormat="false" ht="15" hidden="false" customHeight="true" outlineLevel="0" collapsed="false">
      <c r="A1777" s="3" t="n">
        <v>46168.8787615741</v>
      </c>
      <c r="B1777" s="1" t="s">
        <v>5</v>
      </c>
      <c r="D1777" s="1" t="n">
        <v>87.6</v>
      </c>
    </row>
    <row r="1778" customFormat="false" ht="15" hidden="false" customHeight="true" outlineLevel="0" collapsed="false">
      <c r="A1778" s="3" t="n">
        <v>46168.8787731482</v>
      </c>
      <c r="B1778" s="1" t="s">
        <v>6</v>
      </c>
      <c r="C1778" s="1" t="n">
        <v>1198</v>
      </c>
      <c r="D1778" s="1" t="n">
        <v>100</v>
      </c>
    </row>
    <row r="1779" customFormat="false" ht="15" hidden="false" customHeight="true" outlineLevel="0" collapsed="false">
      <c r="A1779" s="3" t="n">
        <v>46168.8787731482</v>
      </c>
      <c r="B1779" s="1" t="s">
        <v>7</v>
      </c>
      <c r="C1779" s="1" t="n">
        <v>2096</v>
      </c>
      <c r="D1779" s="1" t="n">
        <v>65</v>
      </c>
    </row>
    <row r="1780" customFormat="false" ht="15" hidden="false" customHeight="true" outlineLevel="0" collapsed="false">
      <c r="A1780" s="3" t="n">
        <v>46168.8787731482</v>
      </c>
      <c r="B1780" s="1" t="s">
        <v>4</v>
      </c>
      <c r="C1780" s="1" t="n">
        <v>1264</v>
      </c>
      <c r="D1780" s="1" t="n">
        <v>100</v>
      </c>
    </row>
    <row r="1781" customFormat="false" ht="15" hidden="false" customHeight="true" outlineLevel="0" collapsed="false">
      <c r="A1781" s="3" t="n">
        <v>46168.8787847222</v>
      </c>
      <c r="B1781" s="1" t="s">
        <v>8</v>
      </c>
      <c r="C1781" s="1" t="n">
        <v>2173</v>
      </c>
      <c r="D1781" s="1" t="n">
        <v>64</v>
      </c>
    </row>
    <row r="1782" customFormat="false" ht="15" hidden="false" customHeight="true" outlineLevel="0" collapsed="false">
      <c r="A1782" s="3" t="n">
        <v>46168.8787847222</v>
      </c>
      <c r="B1782" s="1" t="s">
        <v>9</v>
      </c>
      <c r="C1782" s="1" t="n">
        <v>2119</v>
      </c>
      <c r="D1782" s="1" t="n">
        <v>71</v>
      </c>
    </row>
    <row r="1783" customFormat="false" ht="15" hidden="false" customHeight="true" outlineLevel="0" collapsed="false">
      <c r="A1783" s="3" t="n">
        <v>46168.8791203704</v>
      </c>
      <c r="B1783" s="1" t="s">
        <v>4</v>
      </c>
      <c r="C1783" s="1" t="n">
        <v>1266</v>
      </c>
      <c r="D1783" s="1" t="n">
        <v>100</v>
      </c>
    </row>
    <row r="1784" customFormat="false" ht="15" hidden="false" customHeight="true" outlineLevel="0" collapsed="false">
      <c r="A1784" s="3" t="n">
        <v>46168.8791203704</v>
      </c>
      <c r="B1784" s="1" t="s">
        <v>5</v>
      </c>
      <c r="D1784" s="1" t="n">
        <v>87.4</v>
      </c>
    </row>
    <row r="1785" customFormat="false" ht="15" hidden="false" customHeight="true" outlineLevel="0" collapsed="false">
      <c r="A1785" s="3" t="n">
        <v>46168.8791319444</v>
      </c>
      <c r="B1785" s="1" t="s">
        <v>6</v>
      </c>
      <c r="C1785" s="1" t="n">
        <v>1189</v>
      </c>
      <c r="D1785" s="1" t="n">
        <v>100</v>
      </c>
    </row>
    <row r="1786" customFormat="false" ht="15" hidden="false" customHeight="true" outlineLevel="0" collapsed="false">
      <c r="A1786" s="3" t="n">
        <v>46168.8791319444</v>
      </c>
      <c r="B1786" s="1" t="s">
        <v>7</v>
      </c>
      <c r="C1786" s="1" t="n">
        <v>2096</v>
      </c>
      <c r="D1786" s="1" t="n">
        <v>65</v>
      </c>
    </row>
    <row r="1787" customFormat="false" ht="15" hidden="false" customHeight="true" outlineLevel="0" collapsed="false">
      <c r="A1787" s="3" t="n">
        <v>46168.8791435185</v>
      </c>
      <c r="B1787" s="1" t="s">
        <v>8</v>
      </c>
      <c r="C1787" s="1" t="n">
        <v>2171</v>
      </c>
      <c r="D1787" s="1" t="n">
        <v>64</v>
      </c>
    </row>
    <row r="1788" customFormat="false" ht="15" hidden="false" customHeight="true" outlineLevel="0" collapsed="false">
      <c r="A1788" s="3" t="n">
        <v>46168.8791435185</v>
      </c>
      <c r="B1788" s="1" t="s">
        <v>9</v>
      </c>
      <c r="C1788" s="1" t="n">
        <v>2125</v>
      </c>
      <c r="D1788" s="1" t="n">
        <v>70</v>
      </c>
    </row>
    <row r="1789" customFormat="false" ht="15" hidden="false" customHeight="true" outlineLevel="0" collapsed="false">
      <c r="A1789" s="3" t="n">
        <v>46168.8794791667</v>
      </c>
      <c r="B1789" s="1" t="s">
        <v>6</v>
      </c>
      <c r="C1789" s="1" t="n">
        <v>1206</v>
      </c>
      <c r="D1789" s="1" t="n">
        <v>100</v>
      </c>
    </row>
    <row r="1790" customFormat="false" ht="15" hidden="false" customHeight="true" outlineLevel="0" collapsed="false">
      <c r="A1790" s="3" t="n">
        <v>46168.8794791667</v>
      </c>
      <c r="B1790" s="1" t="s">
        <v>4</v>
      </c>
      <c r="C1790" s="1" t="n">
        <v>1255</v>
      </c>
      <c r="D1790" s="1" t="n">
        <v>100</v>
      </c>
    </row>
    <row r="1791" customFormat="false" ht="15" hidden="false" customHeight="true" outlineLevel="0" collapsed="false">
      <c r="A1791" s="3" t="n">
        <v>46168.8794791667</v>
      </c>
      <c r="B1791" s="1" t="s">
        <v>5</v>
      </c>
      <c r="D1791" s="1" t="n">
        <v>87.6</v>
      </c>
    </row>
    <row r="1792" customFormat="false" ht="15" hidden="false" customHeight="true" outlineLevel="0" collapsed="false">
      <c r="A1792" s="3" t="n">
        <v>46168.8794907407</v>
      </c>
      <c r="B1792" s="1" t="s">
        <v>7</v>
      </c>
      <c r="C1792" s="1" t="n">
        <v>2096</v>
      </c>
      <c r="D1792" s="1" t="n">
        <v>65</v>
      </c>
    </row>
    <row r="1793" customFormat="false" ht="15" hidden="false" customHeight="true" outlineLevel="0" collapsed="false">
      <c r="A1793" s="3" t="n">
        <v>46168.8794907407</v>
      </c>
      <c r="B1793" s="1" t="s">
        <v>8</v>
      </c>
      <c r="C1793" s="1" t="n">
        <v>2175</v>
      </c>
      <c r="D1793" s="1" t="n">
        <v>64</v>
      </c>
    </row>
    <row r="1794" customFormat="false" ht="15" hidden="false" customHeight="true" outlineLevel="0" collapsed="false">
      <c r="A1794" s="3" t="n">
        <v>46168.8794907407</v>
      </c>
      <c r="B1794" s="1" t="s">
        <v>9</v>
      </c>
      <c r="C1794" s="1" t="n">
        <v>2117</v>
      </c>
      <c r="D1794" s="1" t="n">
        <v>71</v>
      </c>
    </row>
    <row r="1795" customFormat="false" ht="15" hidden="false" customHeight="true" outlineLevel="0" collapsed="false">
      <c r="A1795" s="3" t="n">
        <v>46168.8798263889</v>
      </c>
      <c r="B1795" s="1" t="s">
        <v>6</v>
      </c>
      <c r="C1795" s="1" t="n">
        <v>1168</v>
      </c>
      <c r="D1795" s="1" t="n">
        <v>100</v>
      </c>
    </row>
    <row r="1796" customFormat="false" ht="15" hidden="false" customHeight="true" outlineLevel="0" collapsed="false">
      <c r="A1796" s="3" t="n">
        <v>46168.8798263889</v>
      </c>
      <c r="B1796" s="1" t="s">
        <v>7</v>
      </c>
      <c r="C1796" s="1" t="n">
        <v>2099</v>
      </c>
      <c r="D1796" s="1" t="n">
        <v>65</v>
      </c>
    </row>
    <row r="1797" customFormat="false" ht="15" hidden="false" customHeight="true" outlineLevel="0" collapsed="false">
      <c r="A1797" s="3" t="n">
        <v>46168.8798263889</v>
      </c>
      <c r="B1797" s="1" t="s">
        <v>4</v>
      </c>
      <c r="C1797" s="1" t="n">
        <v>1252</v>
      </c>
      <c r="D1797" s="1" t="n">
        <v>100</v>
      </c>
    </row>
    <row r="1798" customFormat="false" ht="15" hidden="false" customHeight="true" outlineLevel="0" collapsed="false">
      <c r="A1798" s="3" t="n">
        <v>46168.8798263889</v>
      </c>
      <c r="B1798" s="1" t="s">
        <v>5</v>
      </c>
      <c r="D1798" s="1" t="n">
        <v>87.4</v>
      </c>
    </row>
    <row r="1799" customFormat="false" ht="15" hidden="false" customHeight="true" outlineLevel="0" collapsed="false">
      <c r="A1799" s="3" t="n">
        <v>46168.879837963</v>
      </c>
      <c r="B1799" s="1" t="s">
        <v>8</v>
      </c>
      <c r="C1799" s="1" t="n">
        <v>2170</v>
      </c>
      <c r="D1799" s="1" t="n">
        <v>65</v>
      </c>
    </row>
    <row r="1800" customFormat="false" ht="15" hidden="false" customHeight="true" outlineLevel="0" collapsed="false">
      <c r="A1800" s="3" t="n">
        <v>46168.879837963</v>
      </c>
      <c r="B1800" s="1" t="s">
        <v>9</v>
      </c>
      <c r="C1800" s="1" t="n">
        <v>2128</v>
      </c>
      <c r="D1800" s="1" t="n">
        <v>70</v>
      </c>
    </row>
    <row r="1801" customFormat="false" ht="15" hidden="false" customHeight="true" outlineLevel="0" collapsed="false">
      <c r="A1801" s="3" t="n">
        <v>46168.8801736111</v>
      </c>
      <c r="B1801" s="1" t="s">
        <v>6</v>
      </c>
      <c r="C1801" s="1" t="n">
        <v>1195</v>
      </c>
      <c r="D1801" s="1" t="n">
        <v>100</v>
      </c>
    </row>
    <row r="1802" customFormat="false" ht="15" hidden="false" customHeight="true" outlineLevel="0" collapsed="false">
      <c r="A1802" s="3" t="n">
        <v>46168.8801736111</v>
      </c>
      <c r="B1802" s="1" t="s">
        <v>7</v>
      </c>
      <c r="C1802" s="1" t="n">
        <v>2101</v>
      </c>
      <c r="D1802" s="1" t="n">
        <v>65</v>
      </c>
    </row>
    <row r="1803" customFormat="false" ht="15" hidden="false" customHeight="true" outlineLevel="0" collapsed="false">
      <c r="A1803" s="3" t="n">
        <v>46168.8801736111</v>
      </c>
      <c r="B1803" s="1" t="s">
        <v>4</v>
      </c>
      <c r="C1803" s="1" t="n">
        <v>1274</v>
      </c>
      <c r="D1803" s="1" t="n">
        <v>100</v>
      </c>
    </row>
    <row r="1804" customFormat="false" ht="15" hidden="false" customHeight="true" outlineLevel="0" collapsed="false">
      <c r="A1804" s="3" t="n">
        <v>46168.8801736111</v>
      </c>
      <c r="B1804" s="1" t="s">
        <v>5</v>
      </c>
      <c r="D1804" s="1" t="n">
        <v>87.4</v>
      </c>
    </row>
    <row r="1805" customFormat="false" ht="15" hidden="false" customHeight="true" outlineLevel="0" collapsed="false">
      <c r="A1805" s="3" t="n">
        <v>46168.8801851852</v>
      </c>
      <c r="B1805" s="1" t="s">
        <v>8</v>
      </c>
      <c r="C1805" s="1" t="n">
        <v>2172</v>
      </c>
      <c r="D1805" s="1" t="n">
        <v>64</v>
      </c>
    </row>
    <row r="1806" customFormat="false" ht="15" hidden="false" customHeight="true" outlineLevel="0" collapsed="false">
      <c r="A1806" s="3" t="n">
        <v>46168.8801851852</v>
      </c>
      <c r="B1806" s="1" t="s">
        <v>9</v>
      </c>
      <c r="C1806" s="1" t="n">
        <v>2128</v>
      </c>
      <c r="D1806" s="1" t="n">
        <v>70</v>
      </c>
    </row>
    <row r="1807" customFormat="false" ht="15" hidden="false" customHeight="true" outlineLevel="0" collapsed="false">
      <c r="A1807" s="3" t="n">
        <v>46168.8805208333</v>
      </c>
      <c r="B1807" s="1" t="s">
        <v>6</v>
      </c>
      <c r="C1807" s="1" t="n">
        <v>1199</v>
      </c>
      <c r="D1807" s="1" t="n">
        <v>100</v>
      </c>
    </row>
    <row r="1808" customFormat="false" ht="15" hidden="false" customHeight="true" outlineLevel="0" collapsed="false">
      <c r="A1808" s="3" t="n">
        <v>46168.8805208333</v>
      </c>
      <c r="B1808" s="1" t="s">
        <v>7</v>
      </c>
      <c r="C1808" s="1" t="n">
        <v>2100</v>
      </c>
      <c r="D1808" s="1" t="n">
        <v>65</v>
      </c>
    </row>
    <row r="1809" customFormat="false" ht="15" hidden="false" customHeight="true" outlineLevel="0" collapsed="false">
      <c r="A1809" s="3" t="n">
        <v>46168.8805208333</v>
      </c>
      <c r="B1809" s="1" t="s">
        <v>4</v>
      </c>
      <c r="C1809" s="1" t="n">
        <v>1273</v>
      </c>
      <c r="D1809" s="1" t="n">
        <v>100</v>
      </c>
    </row>
    <row r="1810" customFormat="false" ht="15" hidden="false" customHeight="true" outlineLevel="0" collapsed="false">
      <c r="A1810" s="3" t="n">
        <v>46168.8805208333</v>
      </c>
      <c r="B1810" s="1" t="s">
        <v>5</v>
      </c>
      <c r="D1810" s="1" t="n">
        <v>87.6</v>
      </c>
    </row>
    <row r="1811" customFormat="false" ht="15" hidden="false" customHeight="true" outlineLevel="0" collapsed="false">
      <c r="A1811" s="3" t="n">
        <v>46168.8805324074</v>
      </c>
      <c r="B1811" s="1" t="s">
        <v>8</v>
      </c>
      <c r="C1811" s="1" t="n">
        <v>2174</v>
      </c>
      <c r="D1811" s="1" t="n">
        <v>64</v>
      </c>
    </row>
    <row r="1812" customFormat="false" ht="15" hidden="false" customHeight="true" outlineLevel="0" collapsed="false">
      <c r="A1812" s="3" t="n">
        <v>46168.8805324074</v>
      </c>
      <c r="B1812" s="1" t="s">
        <v>9</v>
      </c>
      <c r="C1812" s="1" t="n">
        <v>2129</v>
      </c>
      <c r="D1812" s="1" t="n">
        <v>69</v>
      </c>
    </row>
    <row r="1813" customFormat="false" ht="15" hidden="false" customHeight="true" outlineLevel="0" collapsed="false">
      <c r="A1813" s="3" t="n">
        <v>46168.8808680556</v>
      </c>
      <c r="B1813" s="1" t="s">
        <v>6</v>
      </c>
      <c r="C1813" s="1" t="n">
        <v>1233</v>
      </c>
      <c r="D1813" s="1" t="n">
        <v>98</v>
      </c>
    </row>
    <row r="1814" customFormat="false" ht="15" hidden="false" customHeight="true" outlineLevel="0" collapsed="false">
      <c r="A1814" s="3" t="n">
        <v>46168.8808680556</v>
      </c>
      <c r="B1814" s="1" t="s">
        <v>4</v>
      </c>
      <c r="C1814" s="1" t="n">
        <v>1291</v>
      </c>
      <c r="D1814" s="1" t="n">
        <v>100</v>
      </c>
    </row>
    <row r="1815" customFormat="false" ht="15" hidden="false" customHeight="true" outlineLevel="0" collapsed="false">
      <c r="A1815" s="3" t="n">
        <v>46168.8808680556</v>
      </c>
      <c r="B1815" s="1" t="s">
        <v>5</v>
      </c>
      <c r="D1815" s="1" t="n">
        <v>87.6</v>
      </c>
    </row>
    <row r="1816" customFormat="false" ht="15" hidden="false" customHeight="true" outlineLevel="0" collapsed="false">
      <c r="A1816" s="3" t="n">
        <v>46168.8808796296</v>
      </c>
      <c r="B1816" s="1" t="s">
        <v>7</v>
      </c>
      <c r="C1816" s="1" t="n">
        <v>2071</v>
      </c>
      <c r="D1816" s="1" t="n">
        <v>68</v>
      </c>
    </row>
    <row r="1817" customFormat="false" ht="15" hidden="false" customHeight="true" outlineLevel="0" collapsed="false">
      <c r="A1817" s="3" t="n">
        <v>46168.8808796296</v>
      </c>
      <c r="B1817" s="1" t="s">
        <v>8</v>
      </c>
      <c r="C1817" s="1" t="n">
        <v>2175</v>
      </c>
      <c r="D1817" s="1" t="n">
        <v>64</v>
      </c>
    </row>
    <row r="1818" customFormat="false" ht="15" hidden="false" customHeight="true" outlineLevel="0" collapsed="false">
      <c r="A1818" s="3" t="n">
        <v>46168.8808796296</v>
      </c>
      <c r="B1818" s="1" t="s">
        <v>9</v>
      </c>
      <c r="C1818" s="1" t="n">
        <v>2130</v>
      </c>
      <c r="D1818" s="1" t="n">
        <v>69</v>
      </c>
    </row>
    <row r="1819" customFormat="false" ht="15" hidden="false" customHeight="true" outlineLevel="0" collapsed="false">
      <c r="A1819" s="3" t="n">
        <v>46168.8812152778</v>
      </c>
      <c r="B1819" s="1" t="s">
        <v>6</v>
      </c>
      <c r="C1819" s="1" t="n">
        <v>1193</v>
      </c>
      <c r="D1819" s="1" t="n">
        <v>100</v>
      </c>
    </row>
    <row r="1820" customFormat="false" ht="15" hidden="false" customHeight="true" outlineLevel="0" collapsed="false">
      <c r="A1820" s="3" t="n">
        <v>46168.8812152778</v>
      </c>
      <c r="B1820" s="1" t="s">
        <v>4</v>
      </c>
      <c r="C1820" s="1" t="n">
        <v>1262</v>
      </c>
      <c r="D1820" s="1" t="n">
        <v>100</v>
      </c>
    </row>
    <row r="1821" customFormat="false" ht="15" hidden="false" customHeight="true" outlineLevel="0" collapsed="false">
      <c r="A1821" s="3" t="n">
        <v>46168.8812152778</v>
      </c>
      <c r="B1821" s="1" t="s">
        <v>5</v>
      </c>
      <c r="D1821" s="1" t="n">
        <v>87.4</v>
      </c>
    </row>
    <row r="1822" customFormat="false" ht="15" hidden="false" customHeight="true" outlineLevel="0" collapsed="false">
      <c r="A1822" s="3" t="n">
        <v>46168.8812268519</v>
      </c>
      <c r="B1822" s="1" t="s">
        <v>7</v>
      </c>
      <c r="C1822" s="1" t="n">
        <v>2103</v>
      </c>
      <c r="D1822" s="1" t="n">
        <v>65</v>
      </c>
    </row>
    <row r="1823" customFormat="false" ht="15" hidden="false" customHeight="true" outlineLevel="0" collapsed="false">
      <c r="A1823" s="3" t="n">
        <v>46168.8812268519</v>
      </c>
      <c r="B1823" s="1" t="s">
        <v>8</v>
      </c>
      <c r="C1823" s="1" t="n">
        <v>2172</v>
      </c>
      <c r="D1823" s="1" t="n">
        <v>64</v>
      </c>
    </row>
    <row r="1824" customFormat="false" ht="15" hidden="false" customHeight="true" outlineLevel="0" collapsed="false">
      <c r="A1824" s="3" t="n">
        <v>46168.8812268519</v>
      </c>
      <c r="B1824" s="1" t="s">
        <v>9</v>
      </c>
      <c r="C1824" s="1" t="n">
        <v>2128</v>
      </c>
      <c r="D1824" s="1" t="n">
        <v>70</v>
      </c>
    </row>
    <row r="1825" customFormat="false" ht="15" hidden="false" customHeight="true" outlineLevel="0" collapsed="false">
      <c r="A1825" s="3" t="n">
        <v>46168.8815740741</v>
      </c>
      <c r="B1825" s="1" t="s">
        <v>6</v>
      </c>
      <c r="C1825" s="1" t="n">
        <v>1195</v>
      </c>
      <c r="D1825" s="1" t="n">
        <v>100</v>
      </c>
    </row>
    <row r="1826" customFormat="false" ht="15" hidden="false" customHeight="true" outlineLevel="0" collapsed="false">
      <c r="A1826" s="3" t="n">
        <v>46168.8815740741</v>
      </c>
      <c r="B1826" s="1" t="s">
        <v>7</v>
      </c>
      <c r="C1826" s="1" t="n">
        <v>2109</v>
      </c>
      <c r="D1826" s="1" t="n">
        <v>64</v>
      </c>
    </row>
    <row r="1827" customFormat="false" ht="15" hidden="false" customHeight="true" outlineLevel="0" collapsed="false">
      <c r="A1827" s="3" t="n">
        <v>46168.8815740741</v>
      </c>
      <c r="B1827" s="1" t="s">
        <v>4</v>
      </c>
      <c r="C1827" s="1" t="n">
        <v>1296</v>
      </c>
      <c r="D1827" s="1" t="n">
        <v>100</v>
      </c>
    </row>
    <row r="1828" customFormat="false" ht="15" hidden="false" customHeight="true" outlineLevel="0" collapsed="false">
      <c r="A1828" s="3" t="n">
        <v>46168.8815740741</v>
      </c>
      <c r="B1828" s="1" t="s">
        <v>5</v>
      </c>
      <c r="D1828" s="1" t="n">
        <v>87.4</v>
      </c>
    </row>
    <row r="1829" customFormat="false" ht="15" hidden="false" customHeight="true" outlineLevel="0" collapsed="false">
      <c r="A1829" s="3" t="n">
        <v>46168.8815856482</v>
      </c>
      <c r="B1829" s="1" t="s">
        <v>8</v>
      </c>
      <c r="C1829" s="1" t="n">
        <v>2175</v>
      </c>
      <c r="D1829" s="1" t="n">
        <v>64</v>
      </c>
    </row>
    <row r="1830" customFormat="false" ht="15" hidden="false" customHeight="true" outlineLevel="0" collapsed="false">
      <c r="A1830" s="3" t="n">
        <v>46168.8815856482</v>
      </c>
      <c r="B1830" s="1" t="s">
        <v>9</v>
      </c>
      <c r="C1830" s="1" t="n">
        <v>2129</v>
      </c>
      <c r="D1830" s="1" t="n">
        <v>69</v>
      </c>
    </row>
    <row r="1831" customFormat="false" ht="15" hidden="false" customHeight="true" outlineLevel="0" collapsed="false">
      <c r="A1831" s="3" t="n">
        <v>46168.8819212963</v>
      </c>
      <c r="B1831" s="1" t="s">
        <v>6</v>
      </c>
      <c r="C1831" s="1" t="n">
        <v>2320</v>
      </c>
      <c r="D1831" s="1" t="n">
        <v>27</v>
      </c>
    </row>
    <row r="1832" customFormat="false" ht="15" hidden="false" customHeight="true" outlineLevel="0" collapsed="false">
      <c r="A1832" s="3" t="n">
        <v>46168.8819212963</v>
      </c>
      <c r="B1832" s="1" t="s">
        <v>7</v>
      </c>
      <c r="C1832" s="1" t="n">
        <v>4095</v>
      </c>
      <c r="D1832" s="1" t="n">
        <v>0</v>
      </c>
    </row>
    <row r="1833" customFormat="false" ht="15" hidden="false" customHeight="true" outlineLevel="0" collapsed="false">
      <c r="A1833" s="3" t="n">
        <v>46168.8819212963</v>
      </c>
      <c r="B1833" s="1" t="s">
        <v>4</v>
      </c>
      <c r="C1833" s="1" t="n">
        <v>2381</v>
      </c>
      <c r="D1833" s="1" t="n">
        <v>28</v>
      </c>
    </row>
    <row r="1834" customFormat="false" ht="15" hidden="false" customHeight="true" outlineLevel="0" collapsed="false">
      <c r="A1834" s="3" t="n">
        <v>46168.8819212963</v>
      </c>
      <c r="B1834" s="1" t="s">
        <v>5</v>
      </c>
      <c r="D1834" s="1" t="n">
        <v>2.1</v>
      </c>
    </row>
    <row r="1835" customFormat="false" ht="15" hidden="false" customHeight="true" outlineLevel="0" collapsed="false">
      <c r="A1835" s="3" t="n">
        <v>46168.8819328704</v>
      </c>
      <c r="B1835" s="1" t="s">
        <v>8</v>
      </c>
      <c r="C1835" s="1" t="n">
        <v>4095</v>
      </c>
      <c r="D1835" s="1" t="n">
        <v>0</v>
      </c>
    </row>
    <row r="1836" customFormat="false" ht="15" hidden="false" customHeight="true" outlineLevel="0" collapsed="false">
      <c r="A1836" s="3" t="n">
        <v>46168.8819328704</v>
      </c>
      <c r="B1836" s="1" t="s">
        <v>9</v>
      </c>
      <c r="C1836" s="1" t="n">
        <v>4095</v>
      </c>
      <c r="D1836" s="1" t="n">
        <v>0</v>
      </c>
    </row>
    <row r="1837" customFormat="false" ht="15" hidden="false" customHeight="true" outlineLevel="0" collapsed="false">
      <c r="A1837" s="3" t="n">
        <v>46168.8822685185</v>
      </c>
      <c r="B1837" s="1" t="s">
        <v>6</v>
      </c>
      <c r="C1837" s="1" t="n">
        <v>2344</v>
      </c>
      <c r="D1837" s="1" t="n">
        <v>25</v>
      </c>
    </row>
    <row r="1838" customFormat="false" ht="15" hidden="false" customHeight="true" outlineLevel="0" collapsed="false">
      <c r="A1838" s="3" t="n">
        <v>46168.8822685185</v>
      </c>
      <c r="B1838" s="1" t="s">
        <v>4</v>
      </c>
      <c r="C1838" s="1" t="n">
        <v>2469</v>
      </c>
      <c r="D1838" s="1" t="n">
        <v>22</v>
      </c>
    </row>
    <row r="1839" customFormat="false" ht="15" hidden="false" customHeight="true" outlineLevel="0" collapsed="false">
      <c r="A1839" s="3" t="n">
        <v>46168.8822685185</v>
      </c>
      <c r="B1839" s="1" t="s">
        <v>5</v>
      </c>
      <c r="D1839" s="1" t="n">
        <v>2.1</v>
      </c>
    </row>
    <row r="1840" customFormat="false" ht="15" hidden="false" customHeight="true" outlineLevel="0" collapsed="false">
      <c r="A1840" s="3" t="n">
        <v>46168.8822800926</v>
      </c>
      <c r="B1840" s="1" t="s">
        <v>7</v>
      </c>
      <c r="C1840" s="1" t="n">
        <v>4095</v>
      </c>
      <c r="D1840" s="1" t="n">
        <v>0</v>
      </c>
    </row>
    <row r="1841" customFormat="false" ht="15" hidden="false" customHeight="true" outlineLevel="0" collapsed="false">
      <c r="A1841" s="3" t="n">
        <v>46168.8822800926</v>
      </c>
      <c r="B1841" s="1" t="s">
        <v>8</v>
      </c>
      <c r="C1841" s="1" t="n">
        <v>4095</v>
      </c>
      <c r="D1841" s="1" t="n">
        <v>0</v>
      </c>
    </row>
    <row r="1842" customFormat="false" ht="15" hidden="false" customHeight="true" outlineLevel="0" collapsed="false">
      <c r="A1842" s="3" t="n">
        <v>46168.8822800926</v>
      </c>
      <c r="B1842" s="1" t="s">
        <v>9</v>
      </c>
      <c r="C1842" s="1" t="n">
        <v>4095</v>
      </c>
      <c r="D1842" s="1" t="n">
        <v>0</v>
      </c>
    </row>
    <row r="1843" customFormat="false" ht="15" hidden="false" customHeight="true" outlineLevel="0" collapsed="false">
      <c r="A1843" s="3" t="n">
        <v>46168.8826157407</v>
      </c>
      <c r="B1843" s="1" t="s">
        <v>4</v>
      </c>
      <c r="C1843" s="1" t="n">
        <v>2469</v>
      </c>
      <c r="D1843" s="1" t="n">
        <v>22</v>
      </c>
    </row>
    <row r="1844" customFormat="false" ht="15" hidden="false" customHeight="true" outlineLevel="0" collapsed="false">
      <c r="A1844" s="3" t="n">
        <v>46168.8826157407</v>
      </c>
      <c r="B1844" s="1" t="s">
        <v>5</v>
      </c>
      <c r="D1844" s="1" t="n">
        <v>2.1</v>
      </c>
    </row>
    <row r="1845" customFormat="false" ht="15" hidden="false" customHeight="true" outlineLevel="0" collapsed="false">
      <c r="A1845" s="3" t="n">
        <v>46168.8826273148</v>
      </c>
      <c r="B1845" s="1" t="s">
        <v>6</v>
      </c>
      <c r="C1845" s="1" t="n">
        <v>2411</v>
      </c>
      <c r="D1845" s="1" t="n">
        <v>21</v>
      </c>
    </row>
    <row r="1846" customFormat="false" ht="15" hidden="false" customHeight="true" outlineLevel="0" collapsed="false">
      <c r="A1846" s="3" t="n">
        <v>46168.8826388889</v>
      </c>
      <c r="B1846" s="1" t="s">
        <v>7</v>
      </c>
      <c r="C1846" s="1" t="n">
        <v>4095</v>
      </c>
      <c r="D1846" s="1" t="n">
        <v>0</v>
      </c>
    </row>
    <row r="1847" customFormat="false" ht="15" hidden="false" customHeight="true" outlineLevel="0" collapsed="false">
      <c r="A1847" s="3" t="n">
        <v>46168.8826388889</v>
      </c>
      <c r="B1847" s="1" t="s">
        <v>8</v>
      </c>
      <c r="C1847" s="1" t="n">
        <v>4095</v>
      </c>
      <c r="D1847" s="1" t="n">
        <v>0</v>
      </c>
    </row>
    <row r="1848" customFormat="false" ht="15" hidden="false" customHeight="true" outlineLevel="0" collapsed="false">
      <c r="A1848" s="3" t="n">
        <v>46168.8826388889</v>
      </c>
      <c r="B1848" s="1" t="s">
        <v>9</v>
      </c>
      <c r="C1848" s="1" t="n">
        <v>4095</v>
      </c>
      <c r="D1848" s="1" t="n">
        <v>0</v>
      </c>
    </row>
    <row r="1849" customFormat="false" ht="15" hidden="false" customHeight="true" outlineLevel="0" collapsed="false">
      <c r="A1849" s="3" t="n">
        <v>46168.882974537</v>
      </c>
      <c r="B1849" s="1" t="s">
        <v>4</v>
      </c>
      <c r="C1849" s="1" t="n">
        <v>2480</v>
      </c>
      <c r="D1849" s="1" t="n">
        <v>21</v>
      </c>
    </row>
    <row r="1850" customFormat="false" ht="15" hidden="false" customHeight="true" outlineLevel="0" collapsed="false">
      <c r="A1850" s="3" t="n">
        <v>46168.882974537</v>
      </c>
      <c r="B1850" s="1" t="s">
        <v>5</v>
      </c>
      <c r="D1850" s="1" t="n">
        <v>2.1</v>
      </c>
    </row>
    <row r="1851" customFormat="false" ht="15" hidden="false" customHeight="true" outlineLevel="0" collapsed="false">
      <c r="A1851" s="3" t="n">
        <v>46168.8829861111</v>
      </c>
      <c r="B1851" s="1" t="s">
        <v>6</v>
      </c>
      <c r="C1851" s="1" t="n">
        <v>2422</v>
      </c>
      <c r="D1851" s="1" t="n">
        <v>20</v>
      </c>
    </row>
    <row r="1852" customFormat="false" ht="15" hidden="false" customHeight="true" outlineLevel="0" collapsed="false">
      <c r="A1852" s="3" t="n">
        <v>46168.8829861111</v>
      </c>
      <c r="B1852" s="1" t="s">
        <v>7</v>
      </c>
      <c r="C1852" s="1" t="n">
        <v>4095</v>
      </c>
      <c r="D1852" s="1" t="n">
        <v>0</v>
      </c>
    </row>
    <row r="1853" customFormat="false" ht="15" hidden="false" customHeight="true" outlineLevel="0" collapsed="false">
      <c r="A1853" s="3" t="n">
        <v>46168.8829861111</v>
      </c>
      <c r="B1853" s="1" t="s">
        <v>8</v>
      </c>
      <c r="C1853" s="1" t="n">
        <v>4095</v>
      </c>
      <c r="D1853" s="1" t="n">
        <v>0</v>
      </c>
    </row>
    <row r="1854" customFormat="false" ht="15" hidden="false" customHeight="true" outlineLevel="0" collapsed="false">
      <c r="A1854" s="3" t="n">
        <v>46168.8829976852</v>
      </c>
      <c r="B1854" s="1" t="s">
        <v>9</v>
      </c>
      <c r="C1854" s="1" t="n">
        <v>4095</v>
      </c>
      <c r="D1854" s="1" t="n">
        <v>0</v>
      </c>
    </row>
    <row r="1855" customFormat="false" ht="15" hidden="false" customHeight="true" outlineLevel="0" collapsed="false">
      <c r="A1855" s="3" t="n">
        <v>46168.8833333333</v>
      </c>
      <c r="B1855" s="1" t="s">
        <v>6</v>
      </c>
      <c r="C1855" s="1" t="n">
        <v>2443</v>
      </c>
      <c r="D1855" s="1" t="n">
        <v>18</v>
      </c>
    </row>
    <row r="1856" customFormat="false" ht="15" hidden="false" customHeight="true" outlineLevel="0" collapsed="false">
      <c r="A1856" s="3" t="n">
        <v>46168.8833333333</v>
      </c>
      <c r="B1856" s="1" t="s">
        <v>7</v>
      </c>
      <c r="C1856" s="1" t="n">
        <v>4095</v>
      </c>
      <c r="D1856" s="1" t="n">
        <v>0</v>
      </c>
    </row>
    <row r="1857" customFormat="false" ht="15" hidden="false" customHeight="true" outlineLevel="0" collapsed="false">
      <c r="A1857" s="3" t="n">
        <v>46168.8833333333</v>
      </c>
      <c r="B1857" s="1" t="s">
        <v>4</v>
      </c>
      <c r="C1857" s="1" t="n">
        <v>2487</v>
      </c>
      <c r="D1857" s="1" t="n">
        <v>21</v>
      </c>
    </row>
    <row r="1858" customFormat="false" ht="15" hidden="false" customHeight="true" outlineLevel="0" collapsed="false">
      <c r="A1858" s="3" t="n">
        <v>46168.8833333333</v>
      </c>
      <c r="B1858" s="1" t="s">
        <v>5</v>
      </c>
      <c r="D1858" s="1" t="n">
        <v>2.1</v>
      </c>
    </row>
    <row r="1859" customFormat="false" ht="15" hidden="false" customHeight="true" outlineLevel="0" collapsed="false">
      <c r="A1859" s="3" t="n">
        <v>46168.8833449074</v>
      </c>
      <c r="B1859" s="1" t="s">
        <v>8</v>
      </c>
      <c r="C1859" s="1" t="n">
        <v>4095</v>
      </c>
      <c r="D1859" s="1" t="n">
        <v>0</v>
      </c>
    </row>
    <row r="1860" customFormat="false" ht="15" hidden="false" customHeight="true" outlineLevel="0" collapsed="false">
      <c r="A1860" s="3" t="n">
        <v>46168.8833449074</v>
      </c>
      <c r="B1860" s="1" t="s">
        <v>9</v>
      </c>
      <c r="C1860" s="1" t="n">
        <v>4095</v>
      </c>
      <c r="D1860" s="1" t="n">
        <v>0</v>
      </c>
    </row>
    <row r="1861" customFormat="false" ht="15" hidden="false" customHeight="true" outlineLevel="0" collapsed="false">
      <c r="A1861" s="3" t="n">
        <v>46168.8836805556</v>
      </c>
      <c r="B1861" s="1" t="s">
        <v>6</v>
      </c>
      <c r="C1861" s="1" t="n">
        <v>2460</v>
      </c>
      <c r="D1861" s="1" t="n">
        <v>17</v>
      </c>
    </row>
    <row r="1862" customFormat="false" ht="15" hidden="false" customHeight="true" outlineLevel="0" collapsed="false">
      <c r="A1862" s="3" t="n">
        <v>46168.8836805556</v>
      </c>
      <c r="B1862" s="1" t="s">
        <v>4</v>
      </c>
      <c r="C1862" s="1" t="n">
        <v>2519</v>
      </c>
      <c r="D1862" s="1" t="n">
        <v>19</v>
      </c>
    </row>
    <row r="1863" customFormat="false" ht="15" hidden="false" customHeight="true" outlineLevel="0" collapsed="false">
      <c r="A1863" s="3" t="n">
        <v>46168.8836805556</v>
      </c>
      <c r="B1863" s="1" t="s">
        <v>5</v>
      </c>
      <c r="D1863" s="1" t="n">
        <v>2.1</v>
      </c>
    </row>
    <row r="1864" customFormat="false" ht="15" hidden="false" customHeight="true" outlineLevel="0" collapsed="false">
      <c r="A1864" s="3" t="n">
        <v>46168.8836921296</v>
      </c>
      <c r="B1864" s="1" t="s">
        <v>7</v>
      </c>
      <c r="C1864" s="1" t="n">
        <v>4095</v>
      </c>
      <c r="D1864" s="1" t="n">
        <v>0</v>
      </c>
    </row>
    <row r="1865" customFormat="false" ht="15" hidden="false" customHeight="true" outlineLevel="0" collapsed="false">
      <c r="A1865" s="3" t="n">
        <v>46168.8836921296</v>
      </c>
      <c r="B1865" s="1" t="s">
        <v>8</v>
      </c>
      <c r="C1865" s="1" t="n">
        <v>4095</v>
      </c>
      <c r="D1865" s="1" t="n">
        <v>0</v>
      </c>
    </row>
    <row r="1866" customFormat="false" ht="15" hidden="false" customHeight="true" outlineLevel="0" collapsed="false">
      <c r="A1866" s="3" t="n">
        <v>46168.8837037037</v>
      </c>
      <c r="B1866" s="1" t="s">
        <v>9</v>
      </c>
      <c r="C1866" s="1" t="n">
        <v>4095</v>
      </c>
      <c r="D1866" s="1" t="n">
        <v>0</v>
      </c>
    </row>
    <row r="1867" customFormat="false" ht="15" hidden="false" customHeight="true" outlineLevel="0" collapsed="false">
      <c r="A1867" s="3" t="n">
        <v>46168.8840393519</v>
      </c>
      <c r="B1867" s="1" t="s">
        <v>6</v>
      </c>
      <c r="C1867" s="1" t="n">
        <v>2497</v>
      </c>
      <c r="D1867" s="1" t="n">
        <v>15</v>
      </c>
    </row>
    <row r="1868" customFormat="false" ht="15" hidden="false" customHeight="true" outlineLevel="0" collapsed="false">
      <c r="A1868" s="3" t="n">
        <v>46168.8840393519</v>
      </c>
      <c r="B1868" s="1" t="s">
        <v>7</v>
      </c>
      <c r="C1868" s="1" t="n">
        <v>1674</v>
      </c>
      <c r="D1868" s="1" t="n">
        <v>100</v>
      </c>
    </row>
    <row r="1869" customFormat="false" ht="15" hidden="false" customHeight="true" outlineLevel="0" collapsed="false">
      <c r="A1869" s="3" t="n">
        <v>46168.8840393519</v>
      </c>
      <c r="B1869" s="1" t="s">
        <v>4</v>
      </c>
      <c r="C1869" s="1" t="n">
        <v>2546</v>
      </c>
      <c r="D1869" s="1" t="n">
        <v>17</v>
      </c>
    </row>
    <row r="1870" customFormat="false" ht="15" hidden="false" customHeight="true" outlineLevel="0" collapsed="false">
      <c r="A1870" s="3" t="n">
        <v>46168.8840393519</v>
      </c>
      <c r="B1870" s="1" t="s">
        <v>5</v>
      </c>
      <c r="D1870" s="1" t="n">
        <v>100</v>
      </c>
    </row>
    <row r="1871" customFormat="false" ht="15" hidden="false" customHeight="true" outlineLevel="0" collapsed="false">
      <c r="A1871" s="3" t="n">
        <v>46168.8840509259</v>
      </c>
      <c r="B1871" s="1" t="s">
        <v>8</v>
      </c>
      <c r="C1871" s="1" t="n">
        <v>1498</v>
      </c>
      <c r="D1871" s="1" t="n">
        <v>100</v>
      </c>
    </row>
    <row r="1872" customFormat="false" ht="15" hidden="false" customHeight="true" outlineLevel="0" collapsed="false">
      <c r="A1872" s="3" t="n">
        <v>46168.8840509259</v>
      </c>
      <c r="B1872" s="1" t="s">
        <v>9</v>
      </c>
      <c r="C1872" s="1" t="n">
        <v>1637</v>
      </c>
      <c r="D1872" s="1" t="n">
        <v>100</v>
      </c>
    </row>
    <row r="1873" customFormat="false" ht="15" hidden="false" customHeight="true" outlineLevel="0" collapsed="false">
      <c r="A1873" s="3" t="n">
        <v>46168.8843865741</v>
      </c>
      <c r="B1873" s="1" t="s">
        <v>4</v>
      </c>
      <c r="C1873" s="1" t="n">
        <v>1228</v>
      </c>
      <c r="D1873" s="1" t="n">
        <v>100</v>
      </c>
    </row>
    <row r="1874" customFormat="false" ht="15" hidden="false" customHeight="true" outlineLevel="0" collapsed="false">
      <c r="A1874" s="3" t="n">
        <v>46168.8843865741</v>
      </c>
      <c r="B1874" s="1" t="s">
        <v>5</v>
      </c>
      <c r="D1874" s="1" t="n">
        <v>100</v>
      </c>
    </row>
    <row r="1875" customFormat="false" ht="15" hidden="false" customHeight="true" outlineLevel="0" collapsed="false">
      <c r="A1875" s="3" t="n">
        <v>46168.8843981482</v>
      </c>
      <c r="B1875" s="1" t="s">
        <v>6</v>
      </c>
      <c r="C1875" s="1" t="n">
        <v>1150</v>
      </c>
      <c r="D1875" s="1" t="n">
        <v>100</v>
      </c>
    </row>
    <row r="1876" customFormat="false" ht="15" hidden="false" customHeight="true" outlineLevel="0" collapsed="false">
      <c r="A1876" s="3" t="n">
        <v>46168.8843981482</v>
      </c>
      <c r="B1876" s="1" t="s">
        <v>7</v>
      </c>
      <c r="C1876" s="1" t="n">
        <v>1853</v>
      </c>
      <c r="D1876" s="1" t="n">
        <v>89</v>
      </c>
    </row>
    <row r="1877" customFormat="false" ht="15" hidden="false" customHeight="true" outlineLevel="0" collapsed="false">
      <c r="A1877" s="3" t="n">
        <v>46168.8843981482</v>
      </c>
      <c r="B1877" s="1" t="s">
        <v>8</v>
      </c>
      <c r="C1877" s="1" t="n">
        <v>1983</v>
      </c>
      <c r="D1877" s="1" t="n">
        <v>87</v>
      </c>
    </row>
    <row r="1878" customFormat="false" ht="15" hidden="false" customHeight="true" outlineLevel="0" collapsed="false">
      <c r="A1878" s="3" t="n">
        <v>46168.8844097222</v>
      </c>
      <c r="B1878" s="1" t="s">
        <v>9</v>
      </c>
      <c r="C1878" s="1" t="n">
        <v>1837</v>
      </c>
      <c r="D1878" s="1" t="n">
        <v>100</v>
      </c>
    </row>
    <row r="1879" customFormat="false" ht="15" hidden="false" customHeight="true" outlineLevel="0" collapsed="false">
      <c r="A1879" s="3" t="n">
        <v>46168.8847337963</v>
      </c>
      <c r="B1879" s="1" t="s">
        <v>4</v>
      </c>
      <c r="C1879" s="1" t="n">
        <v>1244</v>
      </c>
      <c r="D1879" s="1" t="n">
        <v>100</v>
      </c>
    </row>
    <row r="1880" customFormat="false" ht="15" hidden="false" customHeight="true" outlineLevel="0" collapsed="false">
      <c r="A1880" s="3" t="n">
        <v>46168.8847337963</v>
      </c>
      <c r="B1880" s="1" t="s">
        <v>5</v>
      </c>
      <c r="D1880" s="1" t="n">
        <v>100</v>
      </c>
    </row>
    <row r="1881" customFormat="false" ht="15" hidden="false" customHeight="true" outlineLevel="0" collapsed="false">
      <c r="A1881" s="3" t="n">
        <v>46168.8847453704</v>
      </c>
      <c r="B1881" s="1" t="s">
        <v>6</v>
      </c>
      <c r="C1881" s="1" t="n">
        <v>1151</v>
      </c>
      <c r="D1881" s="1" t="n">
        <v>100</v>
      </c>
    </row>
    <row r="1882" customFormat="false" ht="15" hidden="false" customHeight="true" outlineLevel="0" collapsed="false">
      <c r="A1882" s="3" t="n">
        <v>46168.8847453704</v>
      </c>
      <c r="B1882" s="1" t="s">
        <v>7</v>
      </c>
      <c r="C1882" s="1" t="n">
        <v>1904</v>
      </c>
      <c r="D1882" s="1" t="n">
        <v>84</v>
      </c>
    </row>
    <row r="1883" customFormat="false" ht="15" hidden="false" customHeight="true" outlineLevel="0" collapsed="false">
      <c r="A1883" s="3" t="n">
        <v>46168.8847453704</v>
      </c>
      <c r="B1883" s="1" t="s">
        <v>8</v>
      </c>
      <c r="C1883" s="1" t="n">
        <v>2047</v>
      </c>
      <c r="D1883" s="1" t="n">
        <v>79</v>
      </c>
    </row>
    <row r="1884" customFormat="false" ht="15" hidden="false" customHeight="true" outlineLevel="0" collapsed="false">
      <c r="A1884" s="3" t="n">
        <v>46168.8847569445</v>
      </c>
      <c r="B1884" s="1" t="s">
        <v>9</v>
      </c>
      <c r="C1884" s="1" t="n">
        <v>1904</v>
      </c>
      <c r="D1884" s="1" t="n">
        <v>100</v>
      </c>
    </row>
    <row r="1885" customFormat="false" ht="15" hidden="false" customHeight="true" outlineLevel="0" collapsed="false">
      <c r="A1885" s="3" t="n">
        <v>46168.8850810185</v>
      </c>
      <c r="B1885" s="1" t="s">
        <v>5</v>
      </c>
      <c r="D1885" s="1" t="n">
        <v>100</v>
      </c>
    </row>
    <row r="1886" customFormat="false" ht="15" hidden="false" customHeight="true" outlineLevel="0" collapsed="false">
      <c r="A1886" s="3" t="n">
        <v>46168.8850925926</v>
      </c>
      <c r="B1886" s="1" t="s">
        <v>6</v>
      </c>
      <c r="C1886" s="1" t="n">
        <v>1150</v>
      </c>
      <c r="D1886" s="1" t="n">
        <v>100</v>
      </c>
    </row>
    <row r="1887" customFormat="false" ht="15" hidden="false" customHeight="true" outlineLevel="0" collapsed="false">
      <c r="A1887" s="3" t="n">
        <v>46168.8850925926</v>
      </c>
      <c r="B1887" s="1" t="s">
        <v>7</v>
      </c>
      <c r="C1887" s="1" t="n">
        <v>1926</v>
      </c>
      <c r="D1887" s="1" t="n">
        <v>82</v>
      </c>
    </row>
    <row r="1888" customFormat="false" ht="15" hidden="false" customHeight="true" outlineLevel="0" collapsed="false">
      <c r="A1888" s="3" t="n">
        <v>46168.8850925926</v>
      </c>
      <c r="B1888" s="1" t="s">
        <v>4</v>
      </c>
      <c r="C1888" s="1" t="n">
        <v>1231</v>
      </c>
      <c r="D1888" s="1" t="n">
        <v>100</v>
      </c>
    </row>
    <row r="1889" customFormat="false" ht="15" hidden="false" customHeight="true" outlineLevel="0" collapsed="false">
      <c r="A1889" s="3" t="n">
        <v>46168.8850925926</v>
      </c>
      <c r="B1889" s="1" t="s">
        <v>8</v>
      </c>
      <c r="C1889" s="1" t="n">
        <v>2070</v>
      </c>
      <c r="D1889" s="1" t="n">
        <v>77</v>
      </c>
    </row>
    <row r="1890" customFormat="false" ht="15" hidden="false" customHeight="true" outlineLevel="0" collapsed="false">
      <c r="A1890" s="3" t="n">
        <v>46168.8851041667</v>
      </c>
      <c r="B1890" s="1" t="s">
        <v>9</v>
      </c>
      <c r="C1890" s="1" t="n">
        <v>1934</v>
      </c>
      <c r="D1890" s="1" t="n">
        <v>100</v>
      </c>
    </row>
    <row r="1891" customFormat="false" ht="15" hidden="false" customHeight="true" outlineLevel="0" collapsed="false">
      <c r="A1891" s="3" t="n">
        <v>46168.8854282407</v>
      </c>
      <c r="B1891" s="1" t="s">
        <v>5</v>
      </c>
      <c r="D1891" s="1" t="n">
        <v>100</v>
      </c>
    </row>
    <row r="1892" customFormat="false" ht="15" hidden="false" customHeight="true" outlineLevel="0" collapsed="false">
      <c r="A1892" s="3" t="n">
        <v>46168.8854398148</v>
      </c>
      <c r="B1892" s="1" t="s">
        <v>6</v>
      </c>
      <c r="C1892" s="1" t="n">
        <v>1131</v>
      </c>
      <c r="D1892" s="1" t="n">
        <v>100</v>
      </c>
    </row>
    <row r="1893" customFormat="false" ht="15" hidden="false" customHeight="true" outlineLevel="0" collapsed="false">
      <c r="A1893" s="3" t="n">
        <v>46168.8854398148</v>
      </c>
      <c r="B1893" s="1" t="s">
        <v>7</v>
      </c>
      <c r="C1893" s="1" t="n">
        <v>1941</v>
      </c>
      <c r="D1893" s="1" t="n">
        <v>80</v>
      </c>
    </row>
    <row r="1894" customFormat="false" ht="15" hidden="false" customHeight="true" outlineLevel="0" collapsed="false">
      <c r="A1894" s="3" t="n">
        <v>46168.8854398148</v>
      </c>
      <c r="B1894" s="1" t="s">
        <v>4</v>
      </c>
      <c r="C1894" s="1" t="n">
        <v>1232</v>
      </c>
      <c r="D1894" s="1" t="n">
        <v>100</v>
      </c>
    </row>
    <row r="1895" customFormat="false" ht="15" hidden="false" customHeight="true" outlineLevel="0" collapsed="false">
      <c r="A1895" s="3" t="n">
        <v>46168.8854513889</v>
      </c>
      <c r="B1895" s="1" t="s">
        <v>8</v>
      </c>
      <c r="C1895" s="1" t="n">
        <v>2080</v>
      </c>
      <c r="D1895" s="1" t="n">
        <v>75</v>
      </c>
    </row>
    <row r="1896" customFormat="false" ht="15" hidden="false" customHeight="true" outlineLevel="0" collapsed="false">
      <c r="A1896" s="3" t="n">
        <v>46168.8854513889</v>
      </c>
      <c r="B1896" s="1" t="s">
        <v>9</v>
      </c>
      <c r="C1896" s="1" t="n">
        <v>1965</v>
      </c>
      <c r="D1896" s="1" t="n">
        <v>98</v>
      </c>
    </row>
    <row r="1897" customFormat="false" ht="15" hidden="false" customHeight="true" outlineLevel="0" collapsed="false">
      <c r="A1897" s="3" t="n">
        <v>46168.885787037</v>
      </c>
      <c r="B1897" s="1" t="s">
        <v>6</v>
      </c>
      <c r="C1897" s="1" t="n">
        <v>1149</v>
      </c>
      <c r="D1897" s="1" t="n">
        <v>100</v>
      </c>
    </row>
    <row r="1898" customFormat="false" ht="15" hidden="false" customHeight="true" outlineLevel="0" collapsed="false">
      <c r="A1898" s="3" t="n">
        <v>46168.885787037</v>
      </c>
      <c r="B1898" s="1" t="s">
        <v>7</v>
      </c>
      <c r="C1898" s="1" t="n">
        <v>1955</v>
      </c>
      <c r="D1898" s="1" t="n">
        <v>79</v>
      </c>
    </row>
    <row r="1899" customFormat="false" ht="15" hidden="false" customHeight="true" outlineLevel="0" collapsed="false">
      <c r="A1899" s="3" t="n">
        <v>46168.885787037</v>
      </c>
      <c r="B1899" s="1" t="s">
        <v>4</v>
      </c>
      <c r="C1899" s="1" t="n">
        <v>1232</v>
      </c>
      <c r="D1899" s="1" t="n">
        <v>100</v>
      </c>
    </row>
    <row r="1900" customFormat="false" ht="15" hidden="false" customHeight="true" outlineLevel="0" collapsed="false">
      <c r="A1900" s="3" t="n">
        <v>46168.885787037</v>
      </c>
      <c r="B1900" s="1" t="s">
        <v>5</v>
      </c>
      <c r="D1900" s="1" t="n">
        <v>100</v>
      </c>
    </row>
    <row r="1901" customFormat="false" ht="15" hidden="false" customHeight="true" outlineLevel="0" collapsed="false">
      <c r="A1901" s="3" t="n">
        <v>46168.8857986111</v>
      </c>
      <c r="B1901" s="1" t="s">
        <v>8</v>
      </c>
      <c r="C1901" s="1" t="n">
        <v>2093</v>
      </c>
      <c r="D1901" s="1" t="n">
        <v>74</v>
      </c>
    </row>
    <row r="1902" customFormat="false" ht="15" hidden="false" customHeight="true" outlineLevel="0" collapsed="false">
      <c r="A1902" s="3" t="n">
        <v>46168.8857986111</v>
      </c>
      <c r="B1902" s="1" t="s">
        <v>9</v>
      </c>
      <c r="C1902" s="1" t="n">
        <v>1972</v>
      </c>
      <c r="D1902" s="1" t="n">
        <v>97</v>
      </c>
    </row>
    <row r="1903" customFormat="false" ht="15" hidden="false" customHeight="true" outlineLevel="0" collapsed="false">
      <c r="A1903" s="3" t="n">
        <v>46168.8861342593</v>
      </c>
      <c r="B1903" s="1" t="s">
        <v>6</v>
      </c>
      <c r="C1903" s="1" t="n">
        <v>1153</v>
      </c>
      <c r="D1903" s="1" t="n">
        <v>100</v>
      </c>
    </row>
    <row r="1904" customFormat="false" ht="15" hidden="false" customHeight="true" outlineLevel="0" collapsed="false">
      <c r="A1904" s="3" t="n">
        <v>46168.8861342593</v>
      </c>
      <c r="B1904" s="1" t="s">
        <v>4</v>
      </c>
      <c r="C1904" s="1" t="n">
        <v>1205</v>
      </c>
      <c r="D1904" s="1" t="n">
        <v>100</v>
      </c>
    </row>
    <row r="1905" customFormat="false" ht="15" hidden="false" customHeight="true" outlineLevel="0" collapsed="false">
      <c r="A1905" s="3" t="n">
        <v>46168.8861342593</v>
      </c>
      <c r="B1905" s="1" t="s">
        <v>5</v>
      </c>
      <c r="D1905" s="1" t="n">
        <v>100</v>
      </c>
    </row>
    <row r="1906" customFormat="false" ht="15" hidden="false" customHeight="true" outlineLevel="0" collapsed="false">
      <c r="A1906" s="3" t="n">
        <v>46168.8861458333</v>
      </c>
      <c r="B1906" s="1" t="s">
        <v>7</v>
      </c>
      <c r="C1906" s="1" t="n">
        <v>1968</v>
      </c>
      <c r="D1906" s="1" t="n">
        <v>78</v>
      </c>
    </row>
    <row r="1907" customFormat="false" ht="15" hidden="false" customHeight="true" outlineLevel="0" collapsed="false">
      <c r="A1907" s="3" t="n">
        <v>46168.8861458333</v>
      </c>
      <c r="B1907" s="1" t="s">
        <v>8</v>
      </c>
      <c r="C1907" s="1" t="n">
        <v>2096</v>
      </c>
      <c r="D1907" s="1" t="n">
        <v>74</v>
      </c>
    </row>
    <row r="1908" customFormat="false" ht="15" hidden="false" customHeight="true" outlineLevel="0" collapsed="false">
      <c r="A1908" s="3" t="n">
        <v>46168.8861458333</v>
      </c>
      <c r="B1908" s="1" t="s">
        <v>9</v>
      </c>
      <c r="C1908" s="1" t="n">
        <v>1997</v>
      </c>
      <c r="D1908" s="1" t="n">
        <v>92</v>
      </c>
    </row>
    <row r="1909" customFormat="false" ht="15" hidden="false" customHeight="true" outlineLevel="0" collapsed="false">
      <c r="A1909" s="3" t="n">
        <v>46168.8864814815</v>
      </c>
      <c r="B1909" s="1" t="s">
        <v>4</v>
      </c>
      <c r="C1909" s="1" t="n">
        <v>1227</v>
      </c>
      <c r="D1909" s="1" t="n">
        <v>100</v>
      </c>
    </row>
    <row r="1910" customFormat="false" ht="15" hidden="false" customHeight="true" outlineLevel="0" collapsed="false">
      <c r="A1910" s="3" t="n">
        <v>46168.8864814815</v>
      </c>
      <c r="B1910" s="1" t="s">
        <v>5</v>
      </c>
      <c r="D1910" s="1" t="n">
        <v>100</v>
      </c>
    </row>
    <row r="1911" customFormat="false" ht="15" hidden="false" customHeight="true" outlineLevel="0" collapsed="false">
      <c r="A1911" s="3" t="n">
        <v>46168.8864930556</v>
      </c>
      <c r="B1911" s="1" t="s">
        <v>6</v>
      </c>
      <c r="C1911" s="1" t="n">
        <v>1152</v>
      </c>
      <c r="D1911" s="1" t="n">
        <v>100</v>
      </c>
    </row>
    <row r="1912" customFormat="false" ht="15" hidden="false" customHeight="true" outlineLevel="0" collapsed="false">
      <c r="A1912" s="3" t="n">
        <v>46168.8864930556</v>
      </c>
      <c r="B1912" s="1" t="s">
        <v>7</v>
      </c>
      <c r="C1912" s="1" t="n">
        <v>1973</v>
      </c>
      <c r="D1912" s="1" t="n">
        <v>77</v>
      </c>
    </row>
    <row r="1913" customFormat="false" ht="15" hidden="false" customHeight="true" outlineLevel="0" collapsed="false">
      <c r="A1913" s="3" t="n">
        <v>46168.8864930556</v>
      </c>
      <c r="B1913" s="1" t="s">
        <v>8</v>
      </c>
      <c r="C1913" s="1" t="n">
        <v>2107</v>
      </c>
      <c r="D1913" s="1" t="n">
        <v>72</v>
      </c>
    </row>
    <row r="1914" customFormat="false" ht="15" hidden="false" customHeight="true" outlineLevel="0" collapsed="false">
      <c r="A1914" s="3" t="n">
        <v>46168.8864930556</v>
      </c>
      <c r="B1914" s="1" t="s">
        <v>9</v>
      </c>
      <c r="C1914" s="1" t="n">
        <v>2001</v>
      </c>
      <c r="D1914" s="1" t="n">
        <v>92</v>
      </c>
    </row>
    <row r="1915" customFormat="false" ht="15" hidden="false" customHeight="true" outlineLevel="0" collapsed="false">
      <c r="A1915" s="3" t="n">
        <v>46168.8868287037</v>
      </c>
      <c r="B1915" s="1" t="s">
        <v>5</v>
      </c>
      <c r="D1915" s="1" t="n">
        <v>100</v>
      </c>
    </row>
    <row r="1916" customFormat="false" ht="15" hidden="false" customHeight="true" outlineLevel="0" collapsed="false">
      <c r="A1916" s="3" t="n">
        <v>46168.8868402778</v>
      </c>
      <c r="B1916" s="1" t="s">
        <v>6</v>
      </c>
      <c r="C1916" s="1" t="n">
        <v>1150</v>
      </c>
      <c r="D1916" s="1" t="n">
        <v>100</v>
      </c>
    </row>
    <row r="1917" customFormat="false" ht="15" hidden="false" customHeight="true" outlineLevel="0" collapsed="false">
      <c r="A1917" s="3" t="n">
        <v>46168.8868402778</v>
      </c>
      <c r="B1917" s="1" t="s">
        <v>7</v>
      </c>
      <c r="C1917" s="1" t="n">
        <v>1986</v>
      </c>
      <c r="D1917" s="1" t="n">
        <v>76</v>
      </c>
    </row>
    <row r="1918" customFormat="false" ht="15" hidden="false" customHeight="true" outlineLevel="0" collapsed="false">
      <c r="A1918" s="3" t="n">
        <v>46168.8868402778</v>
      </c>
      <c r="B1918" s="1" t="s">
        <v>4</v>
      </c>
      <c r="C1918" s="1" t="n">
        <v>1259</v>
      </c>
      <c r="D1918" s="1" t="n">
        <v>100</v>
      </c>
    </row>
    <row r="1919" customFormat="false" ht="15" hidden="false" customHeight="true" outlineLevel="0" collapsed="false">
      <c r="A1919" s="3" t="n">
        <v>46168.8868518519</v>
      </c>
      <c r="B1919" s="1" t="s">
        <v>8</v>
      </c>
      <c r="C1919" s="1" t="n">
        <v>2114</v>
      </c>
      <c r="D1919" s="1" t="n">
        <v>71</v>
      </c>
    </row>
    <row r="1920" customFormat="false" ht="15" hidden="false" customHeight="true" outlineLevel="0" collapsed="false">
      <c r="A1920" s="3" t="n">
        <v>46168.8868518519</v>
      </c>
      <c r="B1920" s="1" t="s">
        <v>9</v>
      </c>
      <c r="C1920" s="1" t="n">
        <v>2011</v>
      </c>
      <c r="D1920" s="1" t="n">
        <v>90</v>
      </c>
    </row>
    <row r="1921" customFormat="false" ht="15" hidden="false" customHeight="true" outlineLevel="0" collapsed="false">
      <c r="A1921" s="3" t="n">
        <v>46168.8871759259</v>
      </c>
      <c r="B1921" s="1" t="s">
        <v>5</v>
      </c>
      <c r="D1921" s="1" t="n">
        <v>100</v>
      </c>
    </row>
    <row r="1922" customFormat="false" ht="15" hidden="false" customHeight="true" outlineLevel="0" collapsed="false">
      <c r="A1922" s="3" t="n">
        <v>46168.8871875</v>
      </c>
      <c r="B1922" s="1" t="s">
        <v>6</v>
      </c>
      <c r="C1922" s="1" t="n">
        <v>1165</v>
      </c>
      <c r="D1922" s="1" t="n">
        <v>100</v>
      </c>
    </row>
    <row r="1923" customFormat="false" ht="15" hidden="false" customHeight="true" outlineLevel="0" collapsed="false">
      <c r="A1923" s="3" t="n">
        <v>46168.8871875</v>
      </c>
      <c r="B1923" s="1" t="s">
        <v>7</v>
      </c>
      <c r="C1923" s="1" t="n">
        <v>1989</v>
      </c>
      <c r="D1923" s="1" t="n">
        <v>76</v>
      </c>
    </row>
    <row r="1924" customFormat="false" ht="15" hidden="false" customHeight="true" outlineLevel="0" collapsed="false">
      <c r="A1924" s="3" t="n">
        <v>46168.8871875</v>
      </c>
      <c r="B1924" s="1" t="s">
        <v>4</v>
      </c>
      <c r="C1924" s="1" t="n">
        <v>1232</v>
      </c>
      <c r="D1924" s="1" t="n">
        <v>100</v>
      </c>
    </row>
    <row r="1925" customFormat="false" ht="15" hidden="false" customHeight="true" outlineLevel="0" collapsed="false">
      <c r="A1925" s="3" t="n">
        <v>46168.8871990741</v>
      </c>
      <c r="B1925" s="1" t="s">
        <v>8</v>
      </c>
      <c r="C1925" s="1" t="n">
        <v>2112</v>
      </c>
      <c r="D1925" s="1" t="n">
        <v>72</v>
      </c>
    </row>
    <row r="1926" customFormat="false" ht="15" hidden="false" customHeight="true" outlineLevel="0" collapsed="false">
      <c r="A1926" s="3" t="n">
        <v>46168.8871990741</v>
      </c>
      <c r="B1926" s="1" t="s">
        <v>9</v>
      </c>
      <c r="C1926" s="1" t="n">
        <v>2023</v>
      </c>
      <c r="D1926" s="1" t="n">
        <v>88</v>
      </c>
    </row>
    <row r="1927" customFormat="false" ht="15" hidden="false" customHeight="true" outlineLevel="0" collapsed="false">
      <c r="A1927" s="3" t="n">
        <v>46168.8875347222</v>
      </c>
      <c r="B1927" s="1" t="s">
        <v>6</v>
      </c>
      <c r="C1927" s="1" t="n">
        <v>1149</v>
      </c>
      <c r="D1927" s="1" t="n">
        <v>100</v>
      </c>
    </row>
    <row r="1928" customFormat="false" ht="15" hidden="false" customHeight="true" outlineLevel="0" collapsed="false">
      <c r="A1928" s="3" t="n">
        <v>46168.8875347222</v>
      </c>
      <c r="B1928" s="1" t="s">
        <v>7</v>
      </c>
      <c r="C1928" s="1" t="n">
        <v>1999</v>
      </c>
      <c r="D1928" s="1" t="n">
        <v>75</v>
      </c>
    </row>
    <row r="1929" customFormat="false" ht="15" hidden="false" customHeight="true" outlineLevel="0" collapsed="false">
      <c r="A1929" s="3" t="n">
        <v>46168.8875347222</v>
      </c>
      <c r="B1929" s="1" t="s">
        <v>4</v>
      </c>
      <c r="C1929" s="1" t="n">
        <v>1225</v>
      </c>
      <c r="D1929" s="1" t="n">
        <v>100</v>
      </c>
    </row>
    <row r="1930" customFormat="false" ht="15" hidden="false" customHeight="true" outlineLevel="0" collapsed="false">
      <c r="A1930" s="3" t="n">
        <v>46168.8875347222</v>
      </c>
      <c r="B1930" s="1" t="s">
        <v>5</v>
      </c>
      <c r="D1930" s="1" t="n">
        <v>100</v>
      </c>
    </row>
    <row r="1931" customFormat="false" ht="15" hidden="false" customHeight="true" outlineLevel="0" collapsed="false">
      <c r="A1931" s="3" t="n">
        <v>46168.8875462963</v>
      </c>
      <c r="B1931" s="1" t="s">
        <v>8</v>
      </c>
      <c r="C1931" s="1" t="n">
        <v>2123</v>
      </c>
      <c r="D1931" s="1" t="n">
        <v>70</v>
      </c>
    </row>
    <row r="1932" customFormat="false" ht="15" hidden="false" customHeight="true" outlineLevel="0" collapsed="false">
      <c r="A1932" s="3" t="n">
        <v>46168.8875462963</v>
      </c>
      <c r="B1932" s="1" t="s">
        <v>9</v>
      </c>
      <c r="C1932" s="1" t="n">
        <v>2031</v>
      </c>
      <c r="D1932" s="1" t="n">
        <v>86</v>
      </c>
    </row>
    <row r="1933" customFormat="false" ht="15" hidden="false" customHeight="true" outlineLevel="0" collapsed="false">
      <c r="A1933" s="3" t="n">
        <v>46168.8878819444</v>
      </c>
      <c r="B1933" s="1" t="s">
        <v>6</v>
      </c>
      <c r="C1933" s="1" t="n">
        <v>1151</v>
      </c>
      <c r="D1933" s="1" t="n">
        <v>100</v>
      </c>
    </row>
    <row r="1934" customFormat="false" ht="15" hidden="false" customHeight="true" outlineLevel="0" collapsed="false">
      <c r="A1934" s="3" t="n">
        <v>46168.8878819444</v>
      </c>
      <c r="B1934" s="1" t="s">
        <v>4</v>
      </c>
      <c r="C1934" s="1" t="n">
        <v>1232</v>
      </c>
      <c r="D1934" s="1" t="n">
        <v>100</v>
      </c>
    </row>
    <row r="1935" customFormat="false" ht="15" hidden="false" customHeight="true" outlineLevel="0" collapsed="false">
      <c r="A1935" s="3" t="n">
        <v>46168.8878819444</v>
      </c>
      <c r="B1935" s="1" t="s">
        <v>5</v>
      </c>
      <c r="D1935" s="1" t="n">
        <v>100</v>
      </c>
    </row>
    <row r="1936" customFormat="false" ht="15" hidden="false" customHeight="true" outlineLevel="0" collapsed="false">
      <c r="A1936" s="3" t="n">
        <v>46168.8878935185</v>
      </c>
      <c r="B1936" s="1" t="s">
        <v>7</v>
      </c>
      <c r="C1936" s="1" t="n">
        <v>1984</v>
      </c>
      <c r="D1936" s="1" t="n">
        <v>76</v>
      </c>
    </row>
    <row r="1937" customFormat="false" ht="15" hidden="false" customHeight="true" outlineLevel="0" collapsed="false">
      <c r="A1937" s="3" t="n">
        <v>46168.8878935185</v>
      </c>
      <c r="B1937" s="1" t="s">
        <v>8</v>
      </c>
      <c r="C1937" s="1" t="n">
        <v>2127</v>
      </c>
      <c r="D1937" s="1" t="n">
        <v>70</v>
      </c>
    </row>
    <row r="1938" customFormat="false" ht="15" hidden="false" customHeight="true" outlineLevel="0" collapsed="false">
      <c r="A1938" s="3" t="n">
        <v>46168.8879050926</v>
      </c>
      <c r="B1938" s="1" t="s">
        <v>9</v>
      </c>
      <c r="C1938" s="1" t="n">
        <v>2032</v>
      </c>
      <c r="D1938" s="1" t="n">
        <v>86</v>
      </c>
    </row>
    <row r="1939" customFormat="false" ht="15" hidden="false" customHeight="true" outlineLevel="0" collapsed="false">
      <c r="A1939" s="3" t="n">
        <v>46168.8882291667</v>
      </c>
      <c r="B1939" s="1" t="s">
        <v>5</v>
      </c>
      <c r="D1939" s="1" t="n">
        <v>100</v>
      </c>
    </row>
    <row r="1940" customFormat="false" ht="15" hidden="false" customHeight="true" outlineLevel="0" collapsed="false">
      <c r="A1940" s="3" t="n">
        <v>46168.8882407407</v>
      </c>
      <c r="B1940" s="1" t="s">
        <v>6</v>
      </c>
      <c r="C1940" s="1" t="n">
        <v>1095</v>
      </c>
      <c r="D1940" s="1" t="n">
        <v>100</v>
      </c>
    </row>
    <row r="1941" customFormat="false" ht="15" hidden="false" customHeight="true" outlineLevel="0" collapsed="false">
      <c r="A1941" s="3" t="n">
        <v>46168.8882407407</v>
      </c>
      <c r="B1941" s="1" t="s">
        <v>7</v>
      </c>
      <c r="C1941" s="1" t="n">
        <v>2007</v>
      </c>
      <c r="D1941" s="1" t="n">
        <v>74</v>
      </c>
    </row>
    <row r="1942" customFormat="false" ht="15" hidden="false" customHeight="true" outlineLevel="0" collapsed="false">
      <c r="A1942" s="3" t="n">
        <v>46168.8882407407</v>
      </c>
      <c r="B1942" s="1" t="s">
        <v>4</v>
      </c>
      <c r="C1942" s="1" t="n">
        <v>1251</v>
      </c>
      <c r="D1942" s="1" t="n">
        <v>100</v>
      </c>
    </row>
    <row r="1943" customFormat="false" ht="15" hidden="false" customHeight="true" outlineLevel="0" collapsed="false">
      <c r="A1943" s="3" t="n">
        <v>46168.8882407407</v>
      </c>
      <c r="B1943" s="1" t="s">
        <v>8</v>
      </c>
      <c r="C1943" s="1" t="n">
        <v>2128</v>
      </c>
      <c r="D1943" s="1" t="n">
        <v>70</v>
      </c>
    </row>
    <row r="1944" customFormat="false" ht="15" hidden="false" customHeight="true" outlineLevel="0" collapsed="false">
      <c r="A1944" s="3" t="n">
        <v>46168.8882523148</v>
      </c>
      <c r="B1944" s="1" t="s">
        <v>9</v>
      </c>
      <c r="C1944" s="1" t="n">
        <v>2037</v>
      </c>
      <c r="D1944" s="1" t="n">
        <v>85</v>
      </c>
    </row>
    <row r="1945" customFormat="false" ht="15" hidden="false" customHeight="true" outlineLevel="0" collapsed="false">
      <c r="A1945" s="3" t="n">
        <v>46168.8885763889</v>
      </c>
      <c r="B1945" s="1" t="s">
        <v>5</v>
      </c>
      <c r="D1945" s="1" t="n">
        <v>100</v>
      </c>
    </row>
    <row r="1946" customFormat="false" ht="15" hidden="false" customHeight="true" outlineLevel="0" collapsed="false">
      <c r="A1946" s="3" t="n">
        <v>46168.888587963</v>
      </c>
      <c r="B1946" s="1" t="s">
        <v>6</v>
      </c>
      <c r="C1946" s="1" t="n">
        <v>1152</v>
      </c>
      <c r="D1946" s="1" t="n">
        <v>100</v>
      </c>
    </row>
    <row r="1947" customFormat="false" ht="15" hidden="false" customHeight="true" outlineLevel="0" collapsed="false">
      <c r="A1947" s="3" t="n">
        <v>46168.888587963</v>
      </c>
      <c r="B1947" s="1" t="s">
        <v>4</v>
      </c>
      <c r="C1947" s="1" t="n">
        <v>1250</v>
      </c>
      <c r="D1947" s="1" t="n">
        <v>100</v>
      </c>
    </row>
    <row r="1948" customFormat="false" ht="15" hidden="false" customHeight="true" outlineLevel="0" collapsed="false">
      <c r="A1948" s="3" t="n">
        <v>46168.888599537</v>
      </c>
      <c r="B1948" s="1" t="s">
        <v>7</v>
      </c>
      <c r="C1948" s="1" t="n">
        <v>2010</v>
      </c>
      <c r="D1948" s="1" t="n">
        <v>74</v>
      </c>
    </row>
    <row r="1949" customFormat="false" ht="15" hidden="false" customHeight="true" outlineLevel="0" collapsed="false">
      <c r="A1949" s="3" t="n">
        <v>46168.888599537</v>
      </c>
      <c r="B1949" s="1" t="s">
        <v>8</v>
      </c>
      <c r="C1949" s="1" t="n">
        <v>2128</v>
      </c>
      <c r="D1949" s="1" t="n">
        <v>70</v>
      </c>
    </row>
    <row r="1950" customFormat="false" ht="15" hidden="false" customHeight="true" outlineLevel="0" collapsed="false">
      <c r="A1950" s="3" t="n">
        <v>46168.888599537</v>
      </c>
      <c r="B1950" s="1" t="s">
        <v>9</v>
      </c>
      <c r="C1950" s="1" t="n">
        <v>2042</v>
      </c>
      <c r="D1950" s="1" t="n">
        <v>84</v>
      </c>
    </row>
    <row r="1951" customFormat="false" ht="15" hidden="false" customHeight="true" outlineLevel="0" collapsed="false">
      <c r="A1951" s="3" t="n">
        <v>46168.8889351852</v>
      </c>
      <c r="B1951" s="1" t="s">
        <v>4</v>
      </c>
      <c r="C1951" s="1" t="n">
        <v>1257</v>
      </c>
      <c r="D1951" s="1" t="n">
        <v>100</v>
      </c>
    </row>
    <row r="1952" customFormat="false" ht="15" hidden="false" customHeight="true" outlineLevel="0" collapsed="false">
      <c r="A1952" s="3" t="n">
        <v>46168.8889351852</v>
      </c>
      <c r="B1952" s="1" t="s">
        <v>5</v>
      </c>
      <c r="D1952" s="1" t="n">
        <v>100</v>
      </c>
    </row>
    <row r="1953" customFormat="false" ht="15" hidden="false" customHeight="true" outlineLevel="0" collapsed="false">
      <c r="A1953" s="3" t="n">
        <v>46168.8889467593</v>
      </c>
      <c r="B1953" s="1" t="s">
        <v>6</v>
      </c>
      <c r="C1953" s="1" t="n">
        <v>1079</v>
      </c>
      <c r="D1953" s="1" t="n">
        <v>100</v>
      </c>
    </row>
    <row r="1954" customFormat="false" ht="15" hidden="false" customHeight="true" outlineLevel="0" collapsed="false">
      <c r="A1954" s="3" t="n">
        <v>46168.8889467593</v>
      </c>
      <c r="B1954" s="1" t="s">
        <v>7</v>
      </c>
      <c r="C1954" s="1" t="n">
        <v>2017</v>
      </c>
      <c r="D1954" s="1" t="n">
        <v>73</v>
      </c>
    </row>
    <row r="1955" customFormat="false" ht="15" hidden="false" customHeight="true" outlineLevel="0" collapsed="false">
      <c r="A1955" s="3" t="n">
        <v>46168.8889467593</v>
      </c>
      <c r="B1955" s="1" t="s">
        <v>8</v>
      </c>
      <c r="C1955" s="1" t="n">
        <v>2129</v>
      </c>
      <c r="D1955" s="1" t="n">
        <v>70</v>
      </c>
    </row>
    <row r="1956" customFormat="false" ht="15" hidden="false" customHeight="true" outlineLevel="0" collapsed="false">
      <c r="A1956" s="3" t="n">
        <v>46168.8889583333</v>
      </c>
      <c r="B1956" s="1" t="s">
        <v>9</v>
      </c>
      <c r="C1956" s="1" t="n">
        <v>2045</v>
      </c>
      <c r="D1956" s="1" t="n">
        <v>84</v>
      </c>
    </row>
    <row r="1957" customFormat="false" ht="15" hidden="false" customHeight="true" outlineLevel="0" collapsed="false">
      <c r="A1957" s="3" t="n">
        <v>46168.8892824074</v>
      </c>
      <c r="B1957" s="1" t="s">
        <v>4</v>
      </c>
      <c r="C1957" s="1" t="n">
        <v>1231</v>
      </c>
      <c r="D1957" s="1" t="n">
        <v>100</v>
      </c>
    </row>
    <row r="1958" customFormat="false" ht="15" hidden="false" customHeight="true" outlineLevel="0" collapsed="false">
      <c r="A1958" s="3" t="n">
        <v>46168.8892824074</v>
      </c>
      <c r="B1958" s="1" t="s">
        <v>5</v>
      </c>
      <c r="D1958" s="1" t="n">
        <v>100</v>
      </c>
    </row>
    <row r="1959" customFormat="false" ht="15" hidden="false" customHeight="true" outlineLevel="0" collapsed="false">
      <c r="A1959" s="3" t="n">
        <v>46168.8892939815</v>
      </c>
      <c r="B1959" s="1" t="s">
        <v>6</v>
      </c>
      <c r="C1959" s="1" t="n">
        <v>1189</v>
      </c>
      <c r="D1959" s="1" t="n">
        <v>100</v>
      </c>
    </row>
    <row r="1960" customFormat="false" ht="15" hidden="false" customHeight="true" outlineLevel="0" collapsed="false">
      <c r="A1960" s="3" t="n">
        <v>46168.8892939815</v>
      </c>
      <c r="B1960" s="1" t="s">
        <v>7</v>
      </c>
      <c r="C1960" s="1" t="n">
        <v>2017</v>
      </c>
      <c r="D1960" s="1" t="n">
        <v>73</v>
      </c>
    </row>
    <row r="1961" customFormat="false" ht="15" hidden="false" customHeight="true" outlineLevel="0" collapsed="false">
      <c r="A1961" s="3" t="n">
        <v>46168.8892939815</v>
      </c>
      <c r="B1961" s="1" t="s">
        <v>8</v>
      </c>
      <c r="C1961" s="1" t="n">
        <v>2129</v>
      </c>
      <c r="D1961" s="1" t="n">
        <v>70</v>
      </c>
    </row>
    <row r="1962" customFormat="false" ht="15" hidden="false" customHeight="true" outlineLevel="0" collapsed="false">
      <c r="A1962" s="3" t="n">
        <v>46168.8893055556</v>
      </c>
      <c r="B1962" s="1" t="s">
        <v>9</v>
      </c>
      <c r="C1962" s="1" t="n">
        <v>2059</v>
      </c>
      <c r="D1962" s="1" t="n">
        <v>81</v>
      </c>
    </row>
    <row r="1963" customFormat="false" ht="15" hidden="false" customHeight="true" outlineLevel="0" collapsed="false">
      <c r="A1963" s="3" t="n">
        <v>46168.8896296296</v>
      </c>
      <c r="B1963" s="1" t="s">
        <v>5</v>
      </c>
      <c r="D1963" s="1" t="n">
        <v>100</v>
      </c>
    </row>
    <row r="1964" customFormat="false" ht="15" hidden="false" customHeight="true" outlineLevel="0" collapsed="false">
      <c r="A1964" s="3" t="n">
        <v>46168.8896412037</v>
      </c>
      <c r="B1964" s="1" t="s">
        <v>4</v>
      </c>
      <c r="C1964" s="1" t="n">
        <v>1234</v>
      </c>
      <c r="D1964" s="1" t="n">
        <v>100</v>
      </c>
    </row>
    <row r="1965" customFormat="false" ht="15" hidden="false" customHeight="true" outlineLevel="0" collapsed="false">
      <c r="A1965" s="3" t="n">
        <v>46168.8896527778</v>
      </c>
      <c r="B1965" s="1" t="s">
        <v>6</v>
      </c>
      <c r="C1965" s="1" t="n">
        <v>1150</v>
      </c>
      <c r="D1965" s="1" t="n">
        <v>100</v>
      </c>
    </row>
    <row r="1966" customFormat="false" ht="15" hidden="false" customHeight="true" outlineLevel="0" collapsed="false">
      <c r="A1966" s="3" t="n">
        <v>46168.8896527778</v>
      </c>
      <c r="B1966" s="1" t="s">
        <v>7</v>
      </c>
      <c r="C1966" s="1" t="n">
        <v>2022</v>
      </c>
      <c r="D1966" s="1" t="n">
        <v>73</v>
      </c>
    </row>
    <row r="1967" customFormat="false" ht="15" hidden="false" customHeight="true" outlineLevel="0" collapsed="false">
      <c r="A1967" s="3" t="n">
        <v>46168.8896527778</v>
      </c>
      <c r="B1967" s="1" t="s">
        <v>8</v>
      </c>
      <c r="C1967" s="1" t="n">
        <v>2133</v>
      </c>
      <c r="D1967" s="1" t="n">
        <v>69</v>
      </c>
    </row>
    <row r="1968" customFormat="false" ht="15" hidden="false" customHeight="true" outlineLevel="0" collapsed="false">
      <c r="A1968" s="3" t="n">
        <v>46168.8896643519</v>
      </c>
      <c r="B1968" s="1" t="s">
        <v>9</v>
      </c>
      <c r="C1968" s="1" t="n">
        <v>2060</v>
      </c>
      <c r="D1968" s="1" t="n">
        <v>81</v>
      </c>
    </row>
    <row r="1969" customFormat="false" ht="15" hidden="false" customHeight="true" outlineLevel="0" collapsed="false">
      <c r="A1969" s="3" t="n">
        <v>46168.8899768519</v>
      </c>
      <c r="B1969" s="1" t="s">
        <v>5</v>
      </c>
      <c r="D1969" s="1" t="n">
        <v>100</v>
      </c>
    </row>
    <row r="1970" customFormat="false" ht="15" hidden="false" customHeight="true" outlineLevel="0" collapsed="false">
      <c r="A1970" s="3" t="n">
        <v>46168.8899884259</v>
      </c>
      <c r="B1970" s="1" t="s">
        <v>6</v>
      </c>
      <c r="C1970" s="1" t="n">
        <v>1124</v>
      </c>
      <c r="D1970" s="1" t="n">
        <v>100</v>
      </c>
    </row>
    <row r="1971" customFormat="false" ht="15" hidden="false" customHeight="true" outlineLevel="0" collapsed="false">
      <c r="A1971" s="3" t="n">
        <v>46168.8899884259</v>
      </c>
      <c r="B1971" s="1" t="s">
        <v>7</v>
      </c>
      <c r="C1971" s="1" t="n">
        <v>2030</v>
      </c>
      <c r="D1971" s="1" t="n">
        <v>72</v>
      </c>
    </row>
    <row r="1972" customFormat="false" ht="15" hidden="false" customHeight="true" outlineLevel="0" collapsed="false">
      <c r="A1972" s="3" t="n">
        <v>46168.8899884259</v>
      </c>
      <c r="B1972" s="1" t="s">
        <v>4</v>
      </c>
      <c r="C1972" s="1" t="n">
        <v>1247</v>
      </c>
      <c r="D1972" s="1" t="n">
        <v>100</v>
      </c>
    </row>
    <row r="1973" customFormat="false" ht="15" hidden="false" customHeight="true" outlineLevel="0" collapsed="false">
      <c r="A1973" s="3" t="n">
        <v>46168.89</v>
      </c>
      <c r="B1973" s="1" t="s">
        <v>8</v>
      </c>
      <c r="C1973" s="1" t="n">
        <v>2133</v>
      </c>
      <c r="D1973" s="1" t="n">
        <v>69</v>
      </c>
    </row>
    <row r="1974" customFormat="false" ht="15" hidden="false" customHeight="true" outlineLevel="0" collapsed="false">
      <c r="A1974" s="3" t="n">
        <v>46168.89</v>
      </c>
      <c r="B1974" s="1" t="s">
        <v>9</v>
      </c>
      <c r="C1974" s="1" t="n">
        <v>2064</v>
      </c>
      <c r="D1974" s="1" t="n">
        <v>81</v>
      </c>
    </row>
    <row r="1975" customFormat="false" ht="15" hidden="false" customHeight="true" outlineLevel="0" collapsed="false">
      <c r="A1975" s="3" t="n">
        <v>46168.8903356482</v>
      </c>
      <c r="B1975" s="1" t="s">
        <v>6</v>
      </c>
      <c r="C1975" s="1" t="n">
        <v>1125</v>
      </c>
      <c r="D1975" s="1" t="n">
        <v>100</v>
      </c>
    </row>
    <row r="1976" customFormat="false" ht="15" hidden="false" customHeight="true" outlineLevel="0" collapsed="false">
      <c r="A1976" s="3" t="n">
        <v>46168.8903356482</v>
      </c>
      <c r="B1976" s="1" t="s">
        <v>7</v>
      </c>
      <c r="C1976" s="1" t="n">
        <v>2028</v>
      </c>
      <c r="D1976" s="1" t="n">
        <v>72</v>
      </c>
    </row>
    <row r="1977" customFormat="false" ht="15" hidden="false" customHeight="true" outlineLevel="0" collapsed="false">
      <c r="A1977" s="3" t="n">
        <v>46168.8903356482</v>
      </c>
      <c r="B1977" s="1" t="s">
        <v>4</v>
      </c>
      <c r="C1977" s="1" t="n">
        <v>1241</v>
      </c>
      <c r="D1977" s="1" t="n">
        <v>100</v>
      </c>
    </row>
    <row r="1978" customFormat="false" ht="15" hidden="false" customHeight="true" outlineLevel="0" collapsed="false">
      <c r="A1978" s="3" t="n">
        <v>46168.8903356482</v>
      </c>
      <c r="B1978" s="1" t="s">
        <v>5</v>
      </c>
      <c r="D1978" s="1" t="n">
        <v>100</v>
      </c>
    </row>
    <row r="1979" customFormat="false" ht="15" hidden="false" customHeight="true" outlineLevel="0" collapsed="false">
      <c r="A1979" s="3" t="n">
        <v>46168.8903472222</v>
      </c>
      <c r="B1979" s="1" t="s">
        <v>8</v>
      </c>
      <c r="C1979" s="1" t="n">
        <v>2138</v>
      </c>
      <c r="D1979" s="1" t="n">
        <v>68</v>
      </c>
    </row>
    <row r="1980" customFormat="false" ht="15" hidden="false" customHeight="true" outlineLevel="0" collapsed="false">
      <c r="A1980" s="3" t="n">
        <v>46168.8903472222</v>
      </c>
      <c r="B1980" s="1" t="s">
        <v>9</v>
      </c>
      <c r="C1980" s="1" t="n">
        <v>2065</v>
      </c>
      <c r="D1980" s="1" t="n">
        <v>80</v>
      </c>
    </row>
    <row r="1981" customFormat="false" ht="15" hidden="false" customHeight="true" outlineLevel="0" collapsed="false">
      <c r="A1981" s="3" t="n">
        <v>46168.8906828704</v>
      </c>
      <c r="B1981" s="1" t="s">
        <v>5</v>
      </c>
      <c r="D1981" s="1" t="n">
        <v>100</v>
      </c>
    </row>
    <row r="1982" customFormat="false" ht="15" hidden="false" customHeight="true" outlineLevel="0" collapsed="false">
      <c r="A1982" s="3" t="n">
        <v>46168.8906944445</v>
      </c>
      <c r="B1982" s="1" t="s">
        <v>6</v>
      </c>
      <c r="C1982" s="1" t="n">
        <v>1151</v>
      </c>
      <c r="D1982" s="1" t="n">
        <v>100</v>
      </c>
    </row>
    <row r="1983" customFormat="false" ht="15" hidden="false" customHeight="true" outlineLevel="0" collapsed="false">
      <c r="A1983" s="3" t="n">
        <v>46168.8906944445</v>
      </c>
      <c r="B1983" s="1" t="s">
        <v>7</v>
      </c>
      <c r="C1983" s="1" t="n">
        <v>2031</v>
      </c>
      <c r="D1983" s="1" t="n">
        <v>72</v>
      </c>
    </row>
    <row r="1984" customFormat="false" ht="15" hidden="false" customHeight="true" outlineLevel="0" collapsed="false">
      <c r="A1984" s="3" t="n">
        <v>46168.8906944445</v>
      </c>
      <c r="B1984" s="1" t="s">
        <v>4</v>
      </c>
      <c r="C1984" s="1" t="n">
        <v>1228</v>
      </c>
      <c r="D1984" s="1" t="n">
        <v>100</v>
      </c>
    </row>
    <row r="1985" customFormat="false" ht="15" hidden="false" customHeight="true" outlineLevel="0" collapsed="false">
      <c r="A1985" s="3" t="n">
        <v>46168.8907060185</v>
      </c>
      <c r="B1985" s="1" t="s">
        <v>8</v>
      </c>
      <c r="C1985" s="1" t="n">
        <v>2139</v>
      </c>
      <c r="D1985" s="1" t="n">
        <v>68</v>
      </c>
    </row>
    <row r="1986" customFormat="false" ht="15" hidden="false" customHeight="true" outlineLevel="0" collapsed="false">
      <c r="A1986" s="3" t="n">
        <v>46168.8907060185</v>
      </c>
      <c r="B1986" s="1" t="s">
        <v>9</v>
      </c>
      <c r="C1986" s="1" t="n">
        <v>2073</v>
      </c>
      <c r="D1986" s="1" t="n">
        <v>79</v>
      </c>
    </row>
    <row r="1987" customFormat="false" ht="15" hidden="false" customHeight="true" outlineLevel="0" collapsed="false">
      <c r="A1987" s="3" t="n">
        <v>46168.8910416667</v>
      </c>
      <c r="B1987" s="1" t="s">
        <v>4</v>
      </c>
      <c r="C1987" s="1" t="n">
        <v>1211</v>
      </c>
      <c r="D1987" s="1" t="n">
        <v>100</v>
      </c>
    </row>
    <row r="1988" customFormat="false" ht="15" hidden="false" customHeight="true" outlineLevel="0" collapsed="false">
      <c r="A1988" s="3" t="n">
        <v>46168.8910416667</v>
      </c>
      <c r="B1988" s="1" t="s">
        <v>5</v>
      </c>
      <c r="D1988" s="1" t="n">
        <v>100</v>
      </c>
    </row>
    <row r="1989" customFormat="false" ht="15" hidden="false" customHeight="true" outlineLevel="0" collapsed="false">
      <c r="A1989" s="3" t="n">
        <v>46168.8910532407</v>
      </c>
      <c r="B1989" s="1" t="s">
        <v>6</v>
      </c>
      <c r="C1989" s="1" t="n">
        <v>1147</v>
      </c>
      <c r="D1989" s="1" t="n">
        <v>100</v>
      </c>
    </row>
    <row r="1990" customFormat="false" ht="15" hidden="false" customHeight="true" outlineLevel="0" collapsed="false">
      <c r="A1990" s="3" t="n">
        <v>46168.8910532407</v>
      </c>
      <c r="B1990" s="1" t="s">
        <v>7</v>
      </c>
      <c r="C1990" s="1" t="n">
        <v>2032</v>
      </c>
      <c r="D1990" s="1" t="n">
        <v>72</v>
      </c>
    </row>
    <row r="1991" customFormat="false" ht="15" hidden="false" customHeight="true" outlineLevel="0" collapsed="false">
      <c r="A1991" s="3" t="n">
        <v>46168.8910532407</v>
      </c>
      <c r="B1991" s="1" t="s">
        <v>8</v>
      </c>
      <c r="C1991" s="1" t="n">
        <v>2140</v>
      </c>
      <c r="D1991" s="1" t="n">
        <v>68</v>
      </c>
    </row>
    <row r="1992" customFormat="false" ht="15" hidden="false" customHeight="true" outlineLevel="0" collapsed="false">
      <c r="A1992" s="3" t="n">
        <v>46168.8910648148</v>
      </c>
      <c r="B1992" s="1" t="s">
        <v>9</v>
      </c>
      <c r="C1992" s="1" t="n">
        <v>2075</v>
      </c>
      <c r="D1992" s="1" t="n">
        <v>79</v>
      </c>
    </row>
    <row r="1993" customFormat="false" ht="15" hidden="false" customHeight="true" outlineLevel="0" collapsed="false">
      <c r="A1993" s="3" t="n">
        <v>46168.8913888889</v>
      </c>
      <c r="B1993" s="1" t="s">
        <v>5</v>
      </c>
      <c r="D1993" s="1" t="n">
        <v>100</v>
      </c>
    </row>
    <row r="1994" customFormat="false" ht="15" hidden="false" customHeight="true" outlineLevel="0" collapsed="false">
      <c r="A1994" s="3" t="n">
        <v>46168.891400463</v>
      </c>
      <c r="B1994" s="1" t="s">
        <v>6</v>
      </c>
      <c r="C1994" s="1" t="n">
        <v>1152</v>
      </c>
      <c r="D1994" s="1" t="n">
        <v>100</v>
      </c>
    </row>
    <row r="1995" customFormat="false" ht="15" hidden="false" customHeight="true" outlineLevel="0" collapsed="false">
      <c r="A1995" s="3" t="n">
        <v>46168.891400463</v>
      </c>
      <c r="B1995" s="1" t="s">
        <v>4</v>
      </c>
      <c r="C1995" s="1" t="n">
        <v>1232</v>
      </c>
      <c r="D1995" s="1" t="n">
        <v>100</v>
      </c>
    </row>
    <row r="1996" customFormat="false" ht="15" hidden="false" customHeight="true" outlineLevel="0" collapsed="false">
      <c r="A1996" s="3" t="n">
        <v>46168.891412037</v>
      </c>
      <c r="B1996" s="1" t="s">
        <v>7</v>
      </c>
      <c r="C1996" s="1" t="n">
        <v>2036</v>
      </c>
      <c r="D1996" s="1" t="n">
        <v>71</v>
      </c>
    </row>
    <row r="1997" customFormat="false" ht="15" hidden="false" customHeight="true" outlineLevel="0" collapsed="false">
      <c r="A1997" s="3" t="n">
        <v>46168.891412037</v>
      </c>
      <c r="B1997" s="1" t="s">
        <v>8</v>
      </c>
      <c r="C1997" s="1" t="n">
        <v>2142</v>
      </c>
      <c r="D1997" s="1" t="n">
        <v>68</v>
      </c>
    </row>
    <row r="1998" customFormat="false" ht="15" hidden="false" customHeight="true" outlineLevel="0" collapsed="false">
      <c r="A1998" s="3" t="n">
        <v>46168.891412037</v>
      </c>
      <c r="B1998" s="1" t="s">
        <v>9</v>
      </c>
      <c r="C1998" s="1" t="n">
        <v>2077</v>
      </c>
      <c r="D1998" s="1" t="n">
        <v>78</v>
      </c>
    </row>
    <row r="1999" customFormat="false" ht="15" hidden="false" customHeight="true" outlineLevel="0" collapsed="false">
      <c r="A1999" s="3" t="n">
        <v>46168.8917476852</v>
      </c>
      <c r="B1999" s="1" t="s">
        <v>6</v>
      </c>
      <c r="C1999" s="1" t="n">
        <v>1151</v>
      </c>
      <c r="D1999" s="1" t="n">
        <v>100</v>
      </c>
    </row>
    <row r="2000" customFormat="false" ht="15" hidden="false" customHeight="true" outlineLevel="0" collapsed="false">
      <c r="A2000" s="3" t="n">
        <v>46168.8917476852</v>
      </c>
      <c r="B2000" s="1" t="s">
        <v>4</v>
      </c>
      <c r="C2000" s="1" t="n">
        <v>1237</v>
      </c>
      <c r="D2000" s="1" t="n">
        <v>100</v>
      </c>
    </row>
    <row r="2001" customFormat="false" ht="15" hidden="false" customHeight="true" outlineLevel="0" collapsed="false">
      <c r="A2001" s="3" t="n">
        <v>46168.8917476852</v>
      </c>
      <c r="B2001" s="1" t="s">
        <v>5</v>
      </c>
      <c r="D2001" s="1" t="n">
        <v>100</v>
      </c>
    </row>
    <row r="2002" customFormat="false" ht="15" hidden="false" customHeight="true" outlineLevel="0" collapsed="false">
      <c r="A2002" s="3" t="n">
        <v>46168.8917592593</v>
      </c>
      <c r="B2002" s="1" t="s">
        <v>7</v>
      </c>
      <c r="C2002" s="1" t="n">
        <v>2038</v>
      </c>
      <c r="D2002" s="1" t="n">
        <v>71</v>
      </c>
    </row>
    <row r="2003" customFormat="false" ht="15" hidden="false" customHeight="true" outlineLevel="0" collapsed="false">
      <c r="A2003" s="3" t="n">
        <v>46168.8917592593</v>
      </c>
      <c r="B2003" s="1" t="s">
        <v>8</v>
      </c>
      <c r="C2003" s="1" t="n">
        <v>2143</v>
      </c>
      <c r="D2003" s="1" t="n">
        <v>68</v>
      </c>
    </row>
    <row r="2004" customFormat="false" ht="15" hidden="false" customHeight="true" outlineLevel="0" collapsed="false">
      <c r="A2004" s="3" t="n">
        <v>46168.8917592593</v>
      </c>
      <c r="B2004" s="1" t="s">
        <v>9</v>
      </c>
      <c r="C2004" s="1" t="n">
        <v>2074</v>
      </c>
      <c r="D2004" s="1" t="n">
        <v>79</v>
      </c>
    </row>
    <row r="2005" customFormat="false" ht="15" hidden="false" customHeight="true" outlineLevel="0" collapsed="false">
      <c r="A2005" s="3" t="n">
        <v>46168.8920949074</v>
      </c>
      <c r="B2005" s="1" t="s">
        <v>4</v>
      </c>
      <c r="C2005" s="1" t="n">
        <v>1245</v>
      </c>
      <c r="D2005" s="1" t="n">
        <v>100</v>
      </c>
    </row>
    <row r="2006" customFormat="false" ht="15" hidden="false" customHeight="true" outlineLevel="0" collapsed="false">
      <c r="A2006" s="3" t="n">
        <v>46168.8920949074</v>
      </c>
      <c r="B2006" s="1" t="s">
        <v>5</v>
      </c>
      <c r="D2006" s="1" t="n">
        <v>100</v>
      </c>
    </row>
    <row r="2007" customFormat="false" ht="15" hidden="false" customHeight="true" outlineLevel="0" collapsed="false">
      <c r="A2007" s="3" t="n">
        <v>46168.8921064815</v>
      </c>
      <c r="B2007" s="1" t="s">
        <v>6</v>
      </c>
      <c r="C2007" s="1" t="n">
        <v>1149</v>
      </c>
      <c r="D2007" s="1" t="n">
        <v>100</v>
      </c>
    </row>
    <row r="2008" customFormat="false" ht="15" hidden="false" customHeight="true" outlineLevel="0" collapsed="false">
      <c r="A2008" s="3" t="n">
        <v>46168.8921064815</v>
      </c>
      <c r="B2008" s="1" t="s">
        <v>7</v>
      </c>
      <c r="C2008" s="1" t="n">
        <v>2040</v>
      </c>
      <c r="D2008" s="1" t="n">
        <v>71</v>
      </c>
    </row>
    <row r="2009" customFormat="false" ht="15" hidden="false" customHeight="true" outlineLevel="0" collapsed="false">
      <c r="A2009" s="3" t="n">
        <v>46168.8921064815</v>
      </c>
      <c r="B2009" s="1" t="s">
        <v>8</v>
      </c>
      <c r="C2009" s="1" t="n">
        <v>2144</v>
      </c>
      <c r="D2009" s="1" t="n">
        <v>68</v>
      </c>
    </row>
    <row r="2010" customFormat="false" ht="15" hidden="false" customHeight="true" outlineLevel="0" collapsed="false">
      <c r="A2010" s="3" t="n">
        <v>46168.8921180556</v>
      </c>
      <c r="B2010" s="1" t="s">
        <v>9</v>
      </c>
      <c r="C2010" s="1" t="n">
        <v>2085</v>
      </c>
      <c r="D2010" s="1" t="n">
        <v>77</v>
      </c>
    </row>
    <row r="2011" customFormat="false" ht="15" hidden="false" customHeight="true" outlineLevel="0" collapsed="false">
      <c r="A2011" s="3" t="n">
        <v>46168.8924421296</v>
      </c>
      <c r="B2011" s="1" t="s">
        <v>5</v>
      </c>
      <c r="D2011" s="1" t="n">
        <v>100</v>
      </c>
    </row>
    <row r="2012" customFormat="false" ht="15" hidden="false" customHeight="true" outlineLevel="0" collapsed="false">
      <c r="A2012" s="3" t="n">
        <v>46168.8924537037</v>
      </c>
      <c r="B2012" s="1" t="s">
        <v>6</v>
      </c>
      <c r="C2012" s="1" t="n">
        <v>1142</v>
      </c>
      <c r="D2012" s="1" t="n">
        <v>100</v>
      </c>
    </row>
    <row r="2013" customFormat="false" ht="15" hidden="false" customHeight="true" outlineLevel="0" collapsed="false">
      <c r="A2013" s="3" t="n">
        <v>46168.8924537037</v>
      </c>
      <c r="B2013" s="1" t="s">
        <v>4</v>
      </c>
      <c r="C2013" s="1" t="n">
        <v>1251</v>
      </c>
      <c r="D2013" s="1" t="n">
        <v>100</v>
      </c>
    </row>
    <row r="2014" customFormat="false" ht="15" hidden="false" customHeight="true" outlineLevel="0" collapsed="false">
      <c r="A2014" s="3" t="n">
        <v>46168.8924652778</v>
      </c>
      <c r="B2014" s="1" t="s">
        <v>7</v>
      </c>
      <c r="C2014" s="1" t="n">
        <v>2043</v>
      </c>
      <c r="D2014" s="1" t="n">
        <v>71</v>
      </c>
    </row>
    <row r="2015" customFormat="false" ht="15" hidden="false" customHeight="true" outlineLevel="0" collapsed="false">
      <c r="A2015" s="3" t="n">
        <v>46168.8924652778</v>
      </c>
      <c r="B2015" s="1" t="s">
        <v>8</v>
      </c>
      <c r="C2015" s="1" t="n">
        <v>2145</v>
      </c>
      <c r="D2015" s="1" t="n">
        <v>68</v>
      </c>
    </row>
    <row r="2016" customFormat="false" ht="15" hidden="false" customHeight="true" outlineLevel="0" collapsed="false">
      <c r="A2016" s="3" t="n">
        <v>46168.8924652778</v>
      </c>
      <c r="B2016" s="1" t="s">
        <v>9</v>
      </c>
      <c r="C2016" s="1" t="n">
        <v>2087</v>
      </c>
      <c r="D2016" s="1" t="n">
        <v>77</v>
      </c>
    </row>
    <row r="2017" customFormat="false" ht="15" hidden="false" customHeight="true" outlineLevel="0" collapsed="false">
      <c r="A2017" s="3" t="n">
        <v>46168.8928009259</v>
      </c>
      <c r="B2017" s="1" t="s">
        <v>6</v>
      </c>
      <c r="C2017" s="1" t="n">
        <v>1147</v>
      </c>
      <c r="D2017" s="1" t="n">
        <v>100</v>
      </c>
    </row>
    <row r="2018" customFormat="false" ht="15" hidden="false" customHeight="true" outlineLevel="0" collapsed="false">
      <c r="A2018" s="3" t="n">
        <v>46168.8928009259</v>
      </c>
      <c r="B2018" s="1" t="s">
        <v>4</v>
      </c>
      <c r="C2018" s="1" t="n">
        <v>1249</v>
      </c>
      <c r="D2018" s="1" t="n">
        <v>100</v>
      </c>
    </row>
    <row r="2019" customFormat="false" ht="15" hidden="false" customHeight="true" outlineLevel="0" collapsed="false">
      <c r="A2019" s="3" t="n">
        <v>46168.8928009259</v>
      </c>
      <c r="B2019" s="1" t="s">
        <v>5</v>
      </c>
      <c r="D2019" s="1" t="n">
        <v>100</v>
      </c>
    </row>
    <row r="2020" customFormat="false" ht="15" hidden="false" customHeight="true" outlineLevel="0" collapsed="false">
      <c r="A2020" s="3" t="n">
        <v>46168.8928125</v>
      </c>
      <c r="B2020" s="1" t="s">
        <v>7</v>
      </c>
      <c r="C2020" s="1" t="n">
        <v>2047</v>
      </c>
      <c r="D2020" s="1" t="n">
        <v>70</v>
      </c>
    </row>
    <row r="2021" customFormat="false" ht="15" hidden="false" customHeight="true" outlineLevel="0" collapsed="false">
      <c r="A2021" s="3" t="n">
        <v>46168.8928125</v>
      </c>
      <c r="B2021" s="1" t="s">
        <v>8</v>
      </c>
      <c r="C2021" s="1" t="n">
        <v>2144</v>
      </c>
      <c r="D2021" s="1" t="n">
        <v>68</v>
      </c>
    </row>
    <row r="2022" customFormat="false" ht="15" hidden="false" customHeight="true" outlineLevel="0" collapsed="false">
      <c r="A2022" s="3" t="n">
        <v>46168.8928125</v>
      </c>
      <c r="B2022" s="1" t="s">
        <v>9</v>
      </c>
      <c r="C2022" s="1" t="n">
        <v>2087</v>
      </c>
      <c r="D2022" s="1" t="n">
        <v>77</v>
      </c>
    </row>
    <row r="2023" customFormat="false" ht="15" hidden="false" customHeight="true" outlineLevel="0" collapsed="false">
      <c r="A2023" s="3" t="n">
        <v>46168.8931481482</v>
      </c>
      <c r="B2023" s="1" t="s">
        <v>4</v>
      </c>
      <c r="C2023" s="1" t="n">
        <v>1228</v>
      </c>
      <c r="D2023" s="1" t="n">
        <v>100</v>
      </c>
    </row>
    <row r="2024" customFormat="false" ht="15" hidden="false" customHeight="true" outlineLevel="0" collapsed="false">
      <c r="A2024" s="3" t="n">
        <v>46168.8931481482</v>
      </c>
      <c r="B2024" s="1" t="s">
        <v>5</v>
      </c>
      <c r="D2024" s="1" t="n">
        <v>100</v>
      </c>
    </row>
    <row r="2025" customFormat="false" ht="15" hidden="false" customHeight="true" outlineLevel="0" collapsed="false">
      <c r="A2025" s="3" t="n">
        <v>46168.8931597222</v>
      </c>
      <c r="B2025" s="1" t="s">
        <v>6</v>
      </c>
      <c r="C2025" s="1" t="n">
        <v>1150</v>
      </c>
      <c r="D2025" s="1" t="n">
        <v>100</v>
      </c>
    </row>
    <row r="2026" customFormat="false" ht="15" hidden="false" customHeight="true" outlineLevel="0" collapsed="false">
      <c r="A2026" s="3" t="n">
        <v>46168.8931597222</v>
      </c>
      <c r="B2026" s="1" t="s">
        <v>7</v>
      </c>
      <c r="C2026" s="1" t="n">
        <v>2046</v>
      </c>
      <c r="D2026" s="1" t="n">
        <v>70</v>
      </c>
    </row>
    <row r="2027" customFormat="false" ht="15" hidden="false" customHeight="true" outlineLevel="0" collapsed="false">
      <c r="A2027" s="3" t="n">
        <v>46168.8931712963</v>
      </c>
      <c r="B2027" s="1" t="s">
        <v>8</v>
      </c>
      <c r="C2027" s="1" t="n">
        <v>2148</v>
      </c>
      <c r="D2027" s="1" t="n">
        <v>67</v>
      </c>
    </row>
    <row r="2028" customFormat="false" ht="15" hidden="false" customHeight="true" outlineLevel="0" collapsed="false">
      <c r="A2028" s="3" t="n">
        <v>46168.8931712963</v>
      </c>
      <c r="B2028" s="1" t="s">
        <v>9</v>
      </c>
      <c r="C2028" s="1" t="n">
        <v>2089</v>
      </c>
      <c r="D2028" s="1" t="n">
        <v>76</v>
      </c>
    </row>
    <row r="2029" customFormat="false" ht="15" hidden="false" customHeight="true" outlineLevel="0" collapsed="false">
      <c r="A2029" s="3" t="n">
        <v>46168.8935069444</v>
      </c>
      <c r="B2029" s="1" t="s">
        <v>4</v>
      </c>
      <c r="C2029" s="1" t="n">
        <v>1262</v>
      </c>
      <c r="D2029" s="1" t="n">
        <v>100</v>
      </c>
    </row>
    <row r="2030" customFormat="false" ht="15" hidden="false" customHeight="true" outlineLevel="0" collapsed="false">
      <c r="A2030" s="3" t="n">
        <v>46168.8935069444</v>
      </c>
      <c r="B2030" s="1" t="s">
        <v>5</v>
      </c>
      <c r="D2030" s="1" t="n">
        <v>100</v>
      </c>
    </row>
    <row r="2031" customFormat="false" ht="15" hidden="false" customHeight="true" outlineLevel="0" collapsed="false">
      <c r="A2031" s="3" t="n">
        <v>46168.8935185185</v>
      </c>
      <c r="B2031" s="1" t="s">
        <v>6</v>
      </c>
      <c r="C2031" s="1" t="n">
        <v>1147</v>
      </c>
      <c r="D2031" s="1" t="n">
        <v>100</v>
      </c>
    </row>
    <row r="2032" customFormat="false" ht="15" hidden="false" customHeight="true" outlineLevel="0" collapsed="false">
      <c r="A2032" s="3" t="n">
        <v>46168.8935185185</v>
      </c>
      <c r="B2032" s="1" t="s">
        <v>7</v>
      </c>
      <c r="C2032" s="1" t="n">
        <v>2046</v>
      </c>
      <c r="D2032" s="1" t="n">
        <v>70</v>
      </c>
    </row>
    <row r="2033" customFormat="false" ht="15" hidden="false" customHeight="true" outlineLevel="0" collapsed="false">
      <c r="A2033" s="3" t="n">
        <v>46168.8935185185</v>
      </c>
      <c r="B2033" s="1" t="s">
        <v>8</v>
      </c>
      <c r="C2033" s="1" t="n">
        <v>2154</v>
      </c>
      <c r="D2033" s="1" t="n">
        <v>67</v>
      </c>
    </row>
    <row r="2034" customFormat="false" ht="15" hidden="false" customHeight="true" outlineLevel="0" collapsed="false">
      <c r="A2034" s="3" t="n">
        <v>46168.8935185185</v>
      </c>
      <c r="B2034" s="1" t="s">
        <v>9</v>
      </c>
      <c r="C2034" s="1" t="n">
        <v>2091</v>
      </c>
      <c r="D2034" s="1" t="n">
        <v>76</v>
      </c>
    </row>
    <row r="2035" customFormat="false" ht="15" hidden="false" customHeight="true" outlineLevel="0" collapsed="false">
      <c r="A2035" s="3" t="n">
        <v>46168.8938541667</v>
      </c>
      <c r="B2035" s="1" t="s">
        <v>5</v>
      </c>
      <c r="D2035" s="1" t="n">
        <v>100</v>
      </c>
    </row>
    <row r="2036" customFormat="false" ht="15" hidden="false" customHeight="true" outlineLevel="0" collapsed="false">
      <c r="A2036" s="3" t="n">
        <v>46168.8938657407</v>
      </c>
      <c r="B2036" s="1" t="s">
        <v>6</v>
      </c>
      <c r="C2036" s="1" t="n">
        <v>1193</v>
      </c>
      <c r="D2036" s="1" t="n">
        <v>100</v>
      </c>
    </row>
    <row r="2037" customFormat="false" ht="15" hidden="false" customHeight="true" outlineLevel="0" collapsed="false">
      <c r="A2037" s="3" t="n">
        <v>46168.8938657407</v>
      </c>
      <c r="B2037" s="1" t="s">
        <v>7</v>
      </c>
      <c r="C2037" s="1" t="n">
        <v>2058</v>
      </c>
      <c r="D2037" s="1" t="n">
        <v>69</v>
      </c>
    </row>
    <row r="2038" customFormat="false" ht="15" hidden="false" customHeight="true" outlineLevel="0" collapsed="false">
      <c r="A2038" s="3" t="n">
        <v>46168.8938657407</v>
      </c>
      <c r="B2038" s="1" t="s">
        <v>4</v>
      </c>
      <c r="C2038" s="1" t="n">
        <v>1193</v>
      </c>
      <c r="D2038" s="1" t="n">
        <v>100</v>
      </c>
    </row>
    <row r="2039" customFormat="false" ht="15" hidden="false" customHeight="true" outlineLevel="0" collapsed="false">
      <c r="A2039" s="3" t="n">
        <v>46168.8938773148</v>
      </c>
      <c r="B2039" s="1" t="s">
        <v>8</v>
      </c>
      <c r="C2039" s="1" t="n">
        <v>2154</v>
      </c>
      <c r="D2039" s="1" t="n">
        <v>67</v>
      </c>
    </row>
    <row r="2040" customFormat="false" ht="15" hidden="false" customHeight="true" outlineLevel="0" collapsed="false">
      <c r="A2040" s="3" t="n">
        <v>46168.8938773148</v>
      </c>
      <c r="B2040" s="1" t="s">
        <v>9</v>
      </c>
      <c r="C2040" s="1" t="n">
        <v>2096</v>
      </c>
      <c r="D2040" s="1" t="n">
        <v>75</v>
      </c>
    </row>
    <row r="2041" customFormat="false" ht="15" hidden="false" customHeight="true" outlineLevel="0" collapsed="false">
      <c r="A2041" s="3" t="n">
        <v>46168.8942013889</v>
      </c>
      <c r="B2041" s="1" t="s">
        <v>5</v>
      </c>
      <c r="D2041" s="1" t="n">
        <v>100</v>
      </c>
    </row>
    <row r="2042" customFormat="false" ht="15" hidden="false" customHeight="true" outlineLevel="0" collapsed="false">
      <c r="A2042" s="3" t="n">
        <v>46168.894212963</v>
      </c>
      <c r="B2042" s="1" t="s">
        <v>6</v>
      </c>
      <c r="C2042" s="1" t="n">
        <v>1168</v>
      </c>
      <c r="D2042" s="1" t="n">
        <v>100</v>
      </c>
    </row>
    <row r="2043" customFormat="false" ht="15" hidden="false" customHeight="true" outlineLevel="0" collapsed="false">
      <c r="A2043" s="3" t="n">
        <v>46168.894212963</v>
      </c>
      <c r="B2043" s="1" t="s">
        <v>4</v>
      </c>
      <c r="C2043" s="1" t="n">
        <v>1249</v>
      </c>
      <c r="D2043" s="1" t="n">
        <v>100</v>
      </c>
    </row>
    <row r="2044" customFormat="false" ht="15" hidden="false" customHeight="true" outlineLevel="0" collapsed="false">
      <c r="A2044" s="3" t="n">
        <v>46168.894224537</v>
      </c>
      <c r="B2044" s="1" t="s">
        <v>7</v>
      </c>
      <c r="C2044" s="1" t="n">
        <v>2059</v>
      </c>
      <c r="D2044" s="1" t="n">
        <v>69</v>
      </c>
    </row>
    <row r="2045" customFormat="false" ht="15" hidden="false" customHeight="true" outlineLevel="0" collapsed="false">
      <c r="A2045" s="3" t="n">
        <v>46168.894224537</v>
      </c>
      <c r="B2045" s="1" t="s">
        <v>8</v>
      </c>
      <c r="C2045" s="1" t="n">
        <v>2155</v>
      </c>
      <c r="D2045" s="1" t="n">
        <v>66</v>
      </c>
    </row>
    <row r="2046" customFormat="false" ht="15" hidden="false" customHeight="true" outlineLevel="0" collapsed="false">
      <c r="A2046" s="3" t="n">
        <v>46168.8942361111</v>
      </c>
      <c r="B2046" s="1" t="s">
        <v>9</v>
      </c>
      <c r="C2046" s="1" t="n">
        <v>2096</v>
      </c>
      <c r="D2046" s="1" t="n">
        <v>75</v>
      </c>
    </row>
    <row r="2047" customFormat="false" ht="15" hidden="false" customHeight="true" outlineLevel="0" collapsed="false">
      <c r="A2047" s="3" t="n">
        <v>46168.8945601852</v>
      </c>
      <c r="B2047" s="1" t="s">
        <v>5</v>
      </c>
      <c r="D2047" s="1" t="n">
        <v>100</v>
      </c>
    </row>
    <row r="2048" customFormat="false" ht="15" hidden="false" customHeight="true" outlineLevel="0" collapsed="false">
      <c r="A2048" s="3" t="n">
        <v>46168.8945717593</v>
      </c>
      <c r="B2048" s="1" t="s">
        <v>6</v>
      </c>
      <c r="C2048" s="1" t="n">
        <v>1155</v>
      </c>
      <c r="D2048" s="1" t="n">
        <v>100</v>
      </c>
    </row>
    <row r="2049" customFormat="false" ht="15" hidden="false" customHeight="true" outlineLevel="0" collapsed="false">
      <c r="A2049" s="3" t="n">
        <v>46168.8945717593</v>
      </c>
      <c r="B2049" s="1" t="s">
        <v>7</v>
      </c>
      <c r="C2049" s="1" t="n">
        <v>2062</v>
      </c>
      <c r="D2049" s="1" t="n">
        <v>69</v>
      </c>
    </row>
    <row r="2050" customFormat="false" ht="15" hidden="false" customHeight="true" outlineLevel="0" collapsed="false">
      <c r="A2050" s="3" t="n">
        <v>46168.8945717593</v>
      </c>
      <c r="B2050" s="1" t="s">
        <v>4</v>
      </c>
      <c r="C2050" s="1" t="n">
        <v>1232</v>
      </c>
      <c r="D2050" s="1" t="n">
        <v>100</v>
      </c>
    </row>
    <row r="2051" customFormat="false" ht="15" hidden="false" customHeight="true" outlineLevel="0" collapsed="false">
      <c r="A2051" s="3" t="n">
        <v>46168.8945833333</v>
      </c>
      <c r="B2051" s="1" t="s">
        <v>8</v>
      </c>
      <c r="C2051" s="1" t="n">
        <v>2157</v>
      </c>
      <c r="D2051" s="1" t="n">
        <v>66</v>
      </c>
    </row>
    <row r="2052" customFormat="false" ht="15" hidden="false" customHeight="true" outlineLevel="0" collapsed="false">
      <c r="A2052" s="3" t="n">
        <v>46168.8945833333</v>
      </c>
      <c r="B2052" s="1" t="s">
        <v>9</v>
      </c>
      <c r="C2052" s="1" t="n">
        <v>2096</v>
      </c>
      <c r="D2052" s="1" t="n">
        <v>75</v>
      </c>
    </row>
    <row r="2053" customFormat="false" ht="15" hidden="false" customHeight="true" outlineLevel="0" collapsed="false">
      <c r="A2053" s="3" t="n">
        <v>46168.8949189815</v>
      </c>
      <c r="B2053" s="1" t="s">
        <v>6</v>
      </c>
      <c r="C2053" s="1" t="n">
        <v>1148</v>
      </c>
      <c r="D2053" s="1" t="n">
        <v>100</v>
      </c>
    </row>
    <row r="2054" customFormat="false" ht="15" hidden="false" customHeight="true" outlineLevel="0" collapsed="false">
      <c r="A2054" s="3" t="n">
        <v>46168.8949189815</v>
      </c>
      <c r="B2054" s="1" t="s">
        <v>4</v>
      </c>
      <c r="C2054" s="1" t="n">
        <v>1235</v>
      </c>
      <c r="D2054" s="1" t="n">
        <v>100</v>
      </c>
    </row>
    <row r="2055" customFormat="false" ht="15" hidden="false" customHeight="true" outlineLevel="0" collapsed="false">
      <c r="A2055" s="3" t="n">
        <v>46168.8949189815</v>
      </c>
      <c r="B2055" s="1" t="s">
        <v>5</v>
      </c>
      <c r="D2055" s="1" t="n">
        <v>100</v>
      </c>
    </row>
    <row r="2056" customFormat="false" ht="15" hidden="false" customHeight="true" outlineLevel="0" collapsed="false">
      <c r="A2056" s="3" t="n">
        <v>46168.8949305556</v>
      </c>
      <c r="B2056" s="1" t="s">
        <v>7</v>
      </c>
      <c r="C2056" s="1" t="n">
        <v>2063</v>
      </c>
      <c r="D2056" s="1" t="n">
        <v>69</v>
      </c>
    </row>
    <row r="2057" customFormat="false" ht="15" hidden="false" customHeight="true" outlineLevel="0" collapsed="false">
      <c r="A2057" s="3" t="n">
        <v>46168.8949305556</v>
      </c>
      <c r="B2057" s="1" t="s">
        <v>8</v>
      </c>
      <c r="C2057" s="1" t="n">
        <v>2159</v>
      </c>
      <c r="D2057" s="1" t="n">
        <v>66</v>
      </c>
    </row>
    <row r="2058" customFormat="false" ht="15" hidden="false" customHeight="true" outlineLevel="0" collapsed="false">
      <c r="A2058" s="3" t="n">
        <v>46168.8949305556</v>
      </c>
      <c r="B2058" s="1" t="s">
        <v>9</v>
      </c>
      <c r="C2058" s="1" t="n">
        <v>2097</v>
      </c>
      <c r="D2058" s="1" t="n">
        <v>75</v>
      </c>
    </row>
    <row r="2059" customFormat="false" ht="15" hidden="false" customHeight="true" outlineLevel="0" collapsed="false">
      <c r="A2059" s="3" t="n">
        <v>46168.8952662037</v>
      </c>
      <c r="B2059" s="1" t="s">
        <v>6</v>
      </c>
      <c r="C2059" s="1" t="n">
        <v>1150</v>
      </c>
      <c r="D2059" s="1" t="n">
        <v>100</v>
      </c>
    </row>
    <row r="2060" customFormat="false" ht="15" hidden="false" customHeight="true" outlineLevel="0" collapsed="false">
      <c r="A2060" s="3" t="n">
        <v>46168.8952662037</v>
      </c>
      <c r="B2060" s="1" t="s">
        <v>4</v>
      </c>
      <c r="C2060" s="1" t="n">
        <v>1247</v>
      </c>
      <c r="D2060" s="1" t="n">
        <v>100</v>
      </c>
    </row>
    <row r="2061" customFormat="false" ht="15" hidden="false" customHeight="true" outlineLevel="0" collapsed="false">
      <c r="A2061" s="3" t="n">
        <v>46168.8952662037</v>
      </c>
      <c r="B2061" s="1" t="s">
        <v>5</v>
      </c>
      <c r="D2061" s="1" t="n">
        <v>100</v>
      </c>
    </row>
    <row r="2062" customFormat="false" ht="15" hidden="false" customHeight="true" outlineLevel="0" collapsed="false">
      <c r="A2062" s="3" t="n">
        <v>46168.8952777778</v>
      </c>
      <c r="B2062" s="1" t="s">
        <v>7</v>
      </c>
      <c r="C2062" s="1" t="n">
        <v>2083</v>
      </c>
      <c r="D2062" s="1" t="n">
        <v>67</v>
      </c>
    </row>
    <row r="2063" customFormat="false" ht="15" hidden="false" customHeight="true" outlineLevel="0" collapsed="false">
      <c r="A2063" s="3" t="n">
        <v>46168.8952777778</v>
      </c>
      <c r="B2063" s="1" t="s">
        <v>8</v>
      </c>
      <c r="C2063" s="1" t="n">
        <v>2159</v>
      </c>
      <c r="D2063" s="1" t="n">
        <v>66</v>
      </c>
    </row>
    <row r="2064" customFormat="false" ht="15" hidden="false" customHeight="true" outlineLevel="0" collapsed="false">
      <c r="A2064" s="3" t="n">
        <v>46168.8952777778</v>
      </c>
      <c r="B2064" s="1" t="s">
        <v>9</v>
      </c>
      <c r="C2064" s="1" t="n">
        <v>2101</v>
      </c>
      <c r="D2064" s="1" t="n">
        <v>74</v>
      </c>
    </row>
    <row r="2065" customFormat="false" ht="15" hidden="false" customHeight="true" outlineLevel="0" collapsed="false">
      <c r="A2065" s="3" t="n">
        <v>46168.8956134259</v>
      </c>
      <c r="B2065" s="1" t="s">
        <v>4</v>
      </c>
      <c r="C2065" s="1" t="n">
        <v>1238</v>
      </c>
      <c r="D2065" s="1" t="n">
        <v>100</v>
      </c>
    </row>
    <row r="2066" customFormat="false" ht="15" hidden="false" customHeight="true" outlineLevel="0" collapsed="false">
      <c r="A2066" s="3" t="n">
        <v>46168.8956134259</v>
      </c>
      <c r="B2066" s="1" t="s">
        <v>5</v>
      </c>
      <c r="D2066" s="1" t="n">
        <v>100</v>
      </c>
    </row>
    <row r="2067" customFormat="false" ht="15" hidden="false" customHeight="true" outlineLevel="0" collapsed="false">
      <c r="A2067" s="3" t="n">
        <v>46168.895625</v>
      </c>
      <c r="B2067" s="1" t="s">
        <v>6</v>
      </c>
      <c r="C2067" s="1" t="n">
        <v>1148</v>
      </c>
      <c r="D2067" s="1" t="n">
        <v>100</v>
      </c>
    </row>
    <row r="2068" customFormat="false" ht="15" hidden="false" customHeight="true" outlineLevel="0" collapsed="false">
      <c r="A2068" s="3" t="n">
        <v>46168.895625</v>
      </c>
      <c r="B2068" s="1" t="s">
        <v>7</v>
      </c>
      <c r="C2068" s="1" t="n">
        <v>2067</v>
      </c>
      <c r="D2068" s="1" t="n">
        <v>68</v>
      </c>
    </row>
    <row r="2069" customFormat="false" ht="15" hidden="false" customHeight="true" outlineLevel="0" collapsed="false">
      <c r="A2069" s="3" t="n">
        <v>46168.895625</v>
      </c>
      <c r="B2069" s="1" t="s">
        <v>8</v>
      </c>
      <c r="C2069" s="1" t="n">
        <v>2157</v>
      </c>
      <c r="D2069" s="1" t="n">
        <v>66</v>
      </c>
    </row>
    <row r="2070" customFormat="false" ht="15" hidden="false" customHeight="true" outlineLevel="0" collapsed="false">
      <c r="A2070" s="3" t="n">
        <v>46168.895625</v>
      </c>
      <c r="B2070" s="1" t="s">
        <v>9</v>
      </c>
      <c r="C2070" s="1" t="n">
        <v>2099</v>
      </c>
      <c r="D2070" s="1" t="n">
        <v>75</v>
      </c>
    </row>
    <row r="2071" customFormat="false" ht="15" hidden="false" customHeight="true" outlineLevel="0" collapsed="false">
      <c r="A2071" s="3" t="n">
        <v>46168.8959606482</v>
      </c>
      <c r="B2071" s="1" t="s">
        <v>5</v>
      </c>
      <c r="D2071" s="1" t="n">
        <v>100</v>
      </c>
    </row>
    <row r="2072" customFormat="false" ht="15" hidden="false" customHeight="true" outlineLevel="0" collapsed="false">
      <c r="A2072" s="3" t="n">
        <v>46168.8959722222</v>
      </c>
      <c r="B2072" s="1" t="s">
        <v>6</v>
      </c>
      <c r="C2072" s="1" t="n">
        <v>1151</v>
      </c>
      <c r="D2072" s="1" t="n">
        <v>100</v>
      </c>
    </row>
    <row r="2073" customFormat="false" ht="15" hidden="false" customHeight="true" outlineLevel="0" collapsed="false">
      <c r="A2073" s="3" t="n">
        <v>46168.8959722222</v>
      </c>
      <c r="B2073" s="1" t="s">
        <v>4</v>
      </c>
      <c r="C2073" s="1" t="n">
        <v>1244</v>
      </c>
      <c r="D2073" s="1" t="n">
        <v>100</v>
      </c>
    </row>
    <row r="2074" customFormat="false" ht="15" hidden="false" customHeight="true" outlineLevel="0" collapsed="false">
      <c r="A2074" s="3" t="n">
        <v>46168.8959837963</v>
      </c>
      <c r="B2074" s="1" t="s">
        <v>7</v>
      </c>
      <c r="C2074" s="1" t="n">
        <v>2069</v>
      </c>
      <c r="D2074" s="1" t="n">
        <v>68</v>
      </c>
    </row>
    <row r="2075" customFormat="false" ht="15" hidden="false" customHeight="true" outlineLevel="0" collapsed="false">
      <c r="A2075" s="3" t="n">
        <v>46168.8959837963</v>
      </c>
      <c r="B2075" s="1" t="s">
        <v>8</v>
      </c>
      <c r="C2075" s="1" t="n">
        <v>2160</v>
      </c>
      <c r="D2075" s="1" t="n">
        <v>66</v>
      </c>
    </row>
    <row r="2076" customFormat="false" ht="15" hidden="false" customHeight="true" outlineLevel="0" collapsed="false">
      <c r="A2076" s="3" t="n">
        <v>46168.8959837963</v>
      </c>
      <c r="B2076" s="1" t="s">
        <v>9</v>
      </c>
      <c r="C2076" s="1" t="n">
        <v>2099</v>
      </c>
      <c r="D2076" s="1" t="n">
        <v>75</v>
      </c>
    </row>
    <row r="2077" customFormat="false" ht="15" hidden="false" customHeight="true" outlineLevel="0" collapsed="false">
      <c r="A2077" s="3" t="n">
        <v>46168.8963194444</v>
      </c>
      <c r="B2077" s="1" t="s">
        <v>6</v>
      </c>
      <c r="C2077" s="1" t="n">
        <v>1150</v>
      </c>
      <c r="D2077" s="1" t="n">
        <v>100</v>
      </c>
    </row>
    <row r="2078" customFormat="false" ht="15" hidden="false" customHeight="true" outlineLevel="0" collapsed="false">
      <c r="A2078" s="3" t="n">
        <v>46168.8963194444</v>
      </c>
      <c r="B2078" s="1" t="s">
        <v>7</v>
      </c>
      <c r="C2078" s="1" t="n">
        <v>2069</v>
      </c>
      <c r="D2078" s="1" t="n">
        <v>68</v>
      </c>
    </row>
    <row r="2079" customFormat="false" ht="15" hidden="false" customHeight="true" outlineLevel="0" collapsed="false">
      <c r="A2079" s="3" t="n">
        <v>46168.8963194444</v>
      </c>
      <c r="B2079" s="1" t="s">
        <v>4</v>
      </c>
      <c r="C2079" s="1" t="n">
        <v>1235</v>
      </c>
      <c r="D2079" s="1" t="n">
        <v>100</v>
      </c>
    </row>
    <row r="2080" customFormat="false" ht="15" hidden="false" customHeight="true" outlineLevel="0" collapsed="false">
      <c r="A2080" s="3" t="n">
        <v>46168.8963194444</v>
      </c>
      <c r="B2080" s="1" t="s">
        <v>5</v>
      </c>
      <c r="D2080" s="1" t="n">
        <v>100</v>
      </c>
    </row>
    <row r="2081" customFormat="false" ht="15" hidden="false" customHeight="true" outlineLevel="0" collapsed="false">
      <c r="A2081" s="3" t="n">
        <v>46168.8963310185</v>
      </c>
      <c r="B2081" s="1" t="s">
        <v>8</v>
      </c>
      <c r="C2081" s="1" t="n">
        <v>2160</v>
      </c>
      <c r="D2081" s="1" t="n">
        <v>66</v>
      </c>
    </row>
    <row r="2082" customFormat="false" ht="15" hidden="false" customHeight="true" outlineLevel="0" collapsed="false">
      <c r="A2082" s="3" t="n">
        <v>46168.8963310185</v>
      </c>
      <c r="B2082" s="1" t="s">
        <v>9</v>
      </c>
      <c r="C2082" s="1" t="n">
        <v>2112</v>
      </c>
      <c r="D2082" s="1" t="n">
        <v>72</v>
      </c>
    </row>
    <row r="2083" customFormat="false" ht="15" hidden="false" customHeight="true" outlineLevel="0" collapsed="false">
      <c r="A2083" s="3" t="n">
        <v>46168.8966666667</v>
      </c>
      <c r="B2083" s="1" t="s">
        <v>4</v>
      </c>
      <c r="C2083" s="1" t="n">
        <v>1251</v>
      </c>
      <c r="D2083" s="1" t="n">
        <v>100</v>
      </c>
    </row>
    <row r="2084" customFormat="false" ht="15" hidden="false" customHeight="true" outlineLevel="0" collapsed="false">
      <c r="A2084" s="3" t="n">
        <v>46168.8966666667</v>
      </c>
      <c r="B2084" s="1" t="s">
        <v>5</v>
      </c>
      <c r="D2084" s="1" t="n">
        <v>100</v>
      </c>
    </row>
    <row r="2085" customFormat="false" ht="15" hidden="false" customHeight="true" outlineLevel="0" collapsed="false">
      <c r="A2085" s="3" t="n">
        <v>46168.8966782407</v>
      </c>
      <c r="B2085" s="1" t="s">
        <v>6</v>
      </c>
      <c r="C2085" s="1" t="n">
        <v>1150</v>
      </c>
      <c r="D2085" s="1" t="n">
        <v>100</v>
      </c>
    </row>
    <row r="2086" customFormat="false" ht="15" hidden="false" customHeight="true" outlineLevel="0" collapsed="false">
      <c r="A2086" s="3" t="n">
        <v>46168.8966782407</v>
      </c>
      <c r="B2086" s="1" t="s">
        <v>7</v>
      </c>
      <c r="C2086" s="1" t="n">
        <v>2064</v>
      </c>
      <c r="D2086" s="1" t="n">
        <v>69</v>
      </c>
    </row>
    <row r="2087" customFormat="false" ht="15" hidden="false" customHeight="true" outlineLevel="0" collapsed="false">
      <c r="A2087" s="3" t="n">
        <v>46168.8966782407</v>
      </c>
      <c r="B2087" s="1" t="s">
        <v>8</v>
      </c>
      <c r="C2087" s="1" t="n">
        <v>2168</v>
      </c>
      <c r="D2087" s="1" t="n">
        <v>65</v>
      </c>
    </row>
    <row r="2088" customFormat="false" ht="15" hidden="false" customHeight="true" outlineLevel="0" collapsed="false">
      <c r="A2088" s="3" t="n">
        <v>46168.8966782407</v>
      </c>
      <c r="B2088" s="1" t="s">
        <v>9</v>
      </c>
      <c r="C2088" s="1" t="n">
        <v>2115</v>
      </c>
      <c r="D2088" s="1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5" min="4" style="1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</row>
    <row r="2" customFormat="false" ht="1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11</v>
      </c>
    </row>
    <row r="3" customFormat="false" ht="15" hidden="false" customHeight="true" outlineLevel="0" collapsed="false">
      <c r="A3" s="6" t="s">
        <v>12</v>
      </c>
      <c r="B3" s="6" t="s">
        <v>4</v>
      </c>
      <c r="C3" s="7" t="n">
        <v>2140</v>
      </c>
      <c r="D3" s="7" t="n">
        <v>44</v>
      </c>
      <c r="E3" s="7" t="n">
        <v>8</v>
      </c>
    </row>
    <row r="4" customFormat="false" ht="15" hidden="false" customHeight="true" outlineLevel="0" collapsed="false">
      <c r="A4" s="8" t="s">
        <v>12</v>
      </c>
      <c r="B4" s="8" t="s">
        <v>5</v>
      </c>
      <c r="C4" s="9"/>
      <c r="D4" s="9" t="n">
        <v>8</v>
      </c>
      <c r="E4" s="9" t="n">
        <v>8</v>
      </c>
    </row>
    <row r="5" customFormat="false" ht="15" hidden="false" customHeight="true" outlineLevel="0" collapsed="false">
      <c r="A5" s="6" t="s">
        <v>13</v>
      </c>
      <c r="B5" s="6" t="s">
        <v>6</v>
      </c>
      <c r="C5" s="7" t="n">
        <v>1924</v>
      </c>
      <c r="D5" s="7" t="n">
        <v>53</v>
      </c>
      <c r="E5" s="7" t="n">
        <v>8</v>
      </c>
    </row>
    <row r="6" customFormat="false" ht="15" hidden="false" customHeight="true" outlineLevel="0" collapsed="false">
      <c r="A6" s="8" t="s">
        <v>13</v>
      </c>
      <c r="B6" s="8" t="s">
        <v>7</v>
      </c>
      <c r="C6" s="9" t="n">
        <v>2496</v>
      </c>
      <c r="D6" s="9" t="n">
        <v>27</v>
      </c>
      <c r="E6" s="9" t="n">
        <v>8</v>
      </c>
    </row>
    <row r="7" customFormat="false" ht="15" hidden="false" customHeight="true" outlineLevel="0" collapsed="false">
      <c r="A7" s="6" t="s">
        <v>13</v>
      </c>
      <c r="B7" s="6" t="s">
        <v>8</v>
      </c>
      <c r="C7" s="7" t="n">
        <v>2493</v>
      </c>
      <c r="D7" s="7" t="n">
        <v>26</v>
      </c>
      <c r="E7" s="7" t="n">
        <v>8</v>
      </c>
    </row>
    <row r="8" customFormat="false" ht="15" hidden="false" customHeight="true" outlineLevel="0" collapsed="false">
      <c r="A8" s="8" t="s">
        <v>14</v>
      </c>
      <c r="B8" s="8" t="s">
        <v>9</v>
      </c>
      <c r="C8" s="9" t="n">
        <v>2431</v>
      </c>
      <c r="D8" s="9" t="n">
        <v>17</v>
      </c>
      <c r="E8" s="9" t="n">
        <v>8</v>
      </c>
    </row>
    <row r="9" customFormat="false" ht="15" hidden="false" customHeight="true" outlineLevel="0" collapsed="false">
      <c r="A9" s="6" t="s">
        <v>15</v>
      </c>
      <c r="B9" s="6" t="s">
        <v>5</v>
      </c>
      <c r="C9" s="7"/>
      <c r="D9" s="7" t="n">
        <v>8</v>
      </c>
      <c r="E9" s="7" t="n">
        <v>8</v>
      </c>
    </row>
    <row r="10" customFormat="false" ht="15" hidden="false" customHeight="true" outlineLevel="0" collapsed="false">
      <c r="A10" s="8" t="s">
        <v>16</v>
      </c>
      <c r="B10" s="8" t="s">
        <v>6</v>
      </c>
      <c r="C10" s="9" t="n">
        <v>1936</v>
      </c>
      <c r="D10" s="9" t="n">
        <v>52</v>
      </c>
      <c r="E10" s="9" t="n">
        <v>8</v>
      </c>
    </row>
    <row r="11" customFormat="false" ht="15" hidden="false" customHeight="true" outlineLevel="0" collapsed="false">
      <c r="A11" s="6" t="s">
        <v>16</v>
      </c>
      <c r="B11" s="6" t="s">
        <v>7</v>
      </c>
      <c r="C11" s="7" t="n">
        <v>2501</v>
      </c>
      <c r="D11" s="7" t="n">
        <v>27</v>
      </c>
      <c r="E11" s="7" t="n">
        <v>8</v>
      </c>
    </row>
    <row r="12" customFormat="false" ht="15" hidden="false" customHeight="true" outlineLevel="0" collapsed="false">
      <c r="A12" s="8" t="s">
        <v>16</v>
      </c>
      <c r="B12" s="8" t="s">
        <v>4</v>
      </c>
      <c r="C12" s="9" t="n">
        <v>2145</v>
      </c>
      <c r="D12" s="9" t="n">
        <v>44</v>
      </c>
      <c r="E12" s="9" t="n">
        <v>8</v>
      </c>
    </row>
    <row r="13" customFormat="false" ht="15" hidden="false" customHeight="true" outlineLevel="0" collapsed="false">
      <c r="A13" s="6" t="s">
        <v>17</v>
      </c>
      <c r="B13" s="6" t="s">
        <v>8</v>
      </c>
      <c r="C13" s="7" t="n">
        <v>2501</v>
      </c>
      <c r="D13" s="7" t="n">
        <v>25</v>
      </c>
      <c r="E13" s="7" t="n">
        <v>8</v>
      </c>
    </row>
    <row r="14" customFormat="false" ht="15" hidden="false" customHeight="true" outlineLevel="0" collapsed="false">
      <c r="A14" s="8" t="s">
        <v>17</v>
      </c>
      <c r="B14" s="8" t="s">
        <v>9</v>
      </c>
      <c r="C14" s="9" t="n">
        <v>2442</v>
      </c>
      <c r="D14" s="9" t="n">
        <v>15</v>
      </c>
      <c r="E14" s="9" t="n">
        <v>8</v>
      </c>
    </row>
    <row r="15" customFormat="false" ht="15" hidden="false" customHeight="true" outlineLevel="0" collapsed="false">
      <c r="A15" s="6" t="s">
        <v>18</v>
      </c>
      <c r="B15" s="6" t="s">
        <v>5</v>
      </c>
      <c r="C15" s="7"/>
      <c r="D15" s="7" t="n">
        <v>8.1</v>
      </c>
      <c r="E15" s="7" t="n">
        <v>8.1</v>
      </c>
    </row>
    <row r="16" customFormat="false" ht="15" hidden="false" customHeight="true" outlineLevel="0" collapsed="false">
      <c r="A16" s="8" t="s">
        <v>19</v>
      </c>
      <c r="B16" s="8" t="s">
        <v>6</v>
      </c>
      <c r="C16" s="9" t="n">
        <v>2669</v>
      </c>
      <c r="D16" s="9" t="n">
        <v>4</v>
      </c>
      <c r="E16" s="9" t="n">
        <v>8.1</v>
      </c>
    </row>
    <row r="17" customFormat="false" ht="15" hidden="false" customHeight="true" outlineLevel="0" collapsed="false">
      <c r="A17" s="6" t="s">
        <v>19</v>
      </c>
      <c r="B17" s="6" t="s">
        <v>4</v>
      </c>
      <c r="C17" s="7" t="n">
        <v>2704</v>
      </c>
      <c r="D17" s="7" t="n">
        <v>7</v>
      </c>
      <c r="E17" s="7" t="n">
        <v>8.1</v>
      </c>
    </row>
    <row r="18" customFormat="false" ht="15" hidden="false" customHeight="true" outlineLevel="0" collapsed="false">
      <c r="A18" s="8" t="s">
        <v>20</v>
      </c>
      <c r="B18" s="8" t="s">
        <v>4</v>
      </c>
      <c r="C18" s="9" t="n">
        <v>2701</v>
      </c>
      <c r="D18" s="9" t="n">
        <v>7</v>
      </c>
      <c r="E18" s="9" t="n">
        <v>8.2</v>
      </c>
    </row>
    <row r="19" customFormat="false" ht="15" hidden="false" customHeight="true" outlineLevel="0" collapsed="false">
      <c r="A19" s="6" t="s">
        <v>20</v>
      </c>
      <c r="B19" s="6" t="s">
        <v>5</v>
      </c>
      <c r="C19" s="7"/>
      <c r="D19" s="7" t="n">
        <v>8.2</v>
      </c>
      <c r="E19" s="7" t="n">
        <v>8.2</v>
      </c>
    </row>
    <row r="20" customFormat="false" ht="15" hidden="false" customHeight="true" outlineLevel="0" collapsed="false">
      <c r="A20" s="8" t="s">
        <v>21</v>
      </c>
      <c r="B20" s="8" t="s">
        <v>5</v>
      </c>
      <c r="C20" s="9"/>
      <c r="D20" s="9" t="n">
        <v>8.2</v>
      </c>
      <c r="E20" s="9" t="n">
        <v>8.2</v>
      </c>
    </row>
    <row r="21" customFormat="false" ht="15" hidden="false" customHeight="true" outlineLevel="0" collapsed="false">
      <c r="A21" s="6" t="s">
        <v>21</v>
      </c>
      <c r="B21" s="6" t="s">
        <v>4</v>
      </c>
      <c r="C21" s="7" t="n">
        <v>2669</v>
      </c>
      <c r="D21" s="7" t="n">
        <v>9</v>
      </c>
      <c r="E21" s="7" t="n">
        <v>8.2</v>
      </c>
    </row>
    <row r="22" customFormat="false" ht="15" hidden="false" customHeight="true" outlineLevel="0" collapsed="false">
      <c r="A22" s="8" t="s">
        <v>21</v>
      </c>
      <c r="B22" s="8" t="s">
        <v>6</v>
      </c>
      <c r="C22" s="9" t="n">
        <v>2652</v>
      </c>
      <c r="D22" s="9" t="n">
        <v>5</v>
      </c>
      <c r="E22" s="9" t="n">
        <v>8.2</v>
      </c>
    </row>
    <row r="23" customFormat="false" ht="15" hidden="false" customHeight="true" outlineLevel="0" collapsed="false">
      <c r="A23" s="6" t="s">
        <v>22</v>
      </c>
      <c r="B23" s="6" t="s">
        <v>4</v>
      </c>
      <c r="C23" s="7" t="n">
        <v>2687</v>
      </c>
      <c r="D23" s="7" t="n">
        <v>8</v>
      </c>
      <c r="E23" s="7" t="n">
        <v>8.1</v>
      </c>
    </row>
    <row r="24" customFormat="false" ht="15" hidden="false" customHeight="true" outlineLevel="0" collapsed="false">
      <c r="A24" s="8" t="s">
        <v>22</v>
      </c>
      <c r="B24" s="8" t="s">
        <v>5</v>
      </c>
      <c r="C24" s="9"/>
      <c r="D24" s="9" t="n">
        <v>8.1</v>
      </c>
      <c r="E24" s="9" t="n">
        <v>8.1</v>
      </c>
    </row>
    <row r="25" customFormat="false" ht="15" hidden="false" customHeight="true" outlineLevel="0" collapsed="false">
      <c r="A25" s="6" t="s">
        <v>23</v>
      </c>
      <c r="B25" s="6" t="s">
        <v>4</v>
      </c>
      <c r="C25" s="7" t="n">
        <v>2210</v>
      </c>
      <c r="D25" s="7" t="n">
        <v>39</v>
      </c>
      <c r="E25" s="7" t="n">
        <v>8.2</v>
      </c>
    </row>
    <row r="26" customFormat="false" ht="15" hidden="false" customHeight="true" outlineLevel="0" collapsed="false">
      <c r="A26" s="8" t="s">
        <v>23</v>
      </c>
      <c r="B26" s="8" t="s">
        <v>5</v>
      </c>
      <c r="C26" s="9"/>
      <c r="D26" s="9" t="n">
        <v>8.2</v>
      </c>
      <c r="E26" s="9" t="n">
        <v>8.2</v>
      </c>
    </row>
    <row r="27" customFormat="false" ht="15" hidden="false" customHeight="true" outlineLevel="0" collapsed="false">
      <c r="A27" s="6" t="s">
        <v>24</v>
      </c>
      <c r="B27" s="6" t="s">
        <v>7</v>
      </c>
      <c r="C27" s="7" t="n">
        <v>2298</v>
      </c>
      <c r="D27" s="7" t="n">
        <v>46</v>
      </c>
      <c r="E27" s="7" t="n">
        <v>8.2</v>
      </c>
    </row>
    <row r="28" customFormat="false" ht="15" hidden="false" customHeight="true" outlineLevel="0" collapsed="false">
      <c r="A28" s="8" t="s">
        <v>24</v>
      </c>
      <c r="B28" s="8" t="s">
        <v>6</v>
      </c>
      <c r="C28" s="9" t="n">
        <v>2227</v>
      </c>
      <c r="D28" s="9" t="n">
        <v>33</v>
      </c>
      <c r="E28" s="9" t="n">
        <v>8.2</v>
      </c>
    </row>
    <row r="29" customFormat="false" ht="15" hidden="false" customHeight="true" outlineLevel="0" collapsed="false">
      <c r="A29" s="6" t="s">
        <v>25</v>
      </c>
      <c r="B29" s="6" t="s">
        <v>8</v>
      </c>
      <c r="C29" s="7" t="n">
        <v>2446</v>
      </c>
      <c r="D29" s="7" t="n">
        <v>31</v>
      </c>
      <c r="E29" s="7" t="n">
        <v>8.2</v>
      </c>
    </row>
    <row r="30" customFormat="false" ht="15" hidden="false" customHeight="true" outlineLevel="0" collapsed="false">
      <c r="A30" s="8" t="s">
        <v>25</v>
      </c>
      <c r="B30" s="8" t="s">
        <v>9</v>
      </c>
      <c r="C30" s="9" t="n">
        <v>2544</v>
      </c>
      <c r="D30" s="9" t="n">
        <v>0</v>
      </c>
      <c r="E30" s="9" t="n">
        <v>8.2</v>
      </c>
    </row>
    <row r="31" customFormat="false" ht="15" hidden="false" customHeight="true" outlineLevel="0" collapsed="false">
      <c r="A31" s="6" t="s">
        <v>26</v>
      </c>
      <c r="B31" s="6" t="s">
        <v>4</v>
      </c>
      <c r="C31" s="7" t="n">
        <v>2184</v>
      </c>
      <c r="D31" s="7" t="n">
        <v>41</v>
      </c>
      <c r="E31" s="7" t="n">
        <v>8.2</v>
      </c>
    </row>
    <row r="32" customFormat="false" ht="15" hidden="false" customHeight="true" outlineLevel="0" collapsed="false">
      <c r="A32" s="8" t="s">
        <v>26</v>
      </c>
      <c r="B32" s="8" t="s">
        <v>5</v>
      </c>
      <c r="C32" s="9"/>
      <c r="D32" s="9" t="n">
        <v>8.2</v>
      </c>
      <c r="E32" s="9" t="n">
        <v>8.2</v>
      </c>
    </row>
    <row r="33" customFormat="false" ht="15" hidden="false" customHeight="true" outlineLevel="0" collapsed="false">
      <c r="A33" s="6" t="s">
        <v>27</v>
      </c>
      <c r="B33" s="6" t="s">
        <v>6</v>
      </c>
      <c r="C33" s="7" t="n">
        <v>2215</v>
      </c>
      <c r="D33" s="7" t="n">
        <v>33</v>
      </c>
      <c r="E33" s="7" t="n">
        <v>8.2</v>
      </c>
    </row>
    <row r="34" customFormat="false" ht="15" hidden="false" customHeight="true" outlineLevel="0" collapsed="false">
      <c r="A34" s="8" t="s">
        <v>27</v>
      </c>
      <c r="B34" s="8" t="s">
        <v>7</v>
      </c>
      <c r="C34" s="9" t="n">
        <v>2630</v>
      </c>
      <c r="D34" s="9" t="n">
        <v>14</v>
      </c>
      <c r="E34" s="9" t="n">
        <v>8.2</v>
      </c>
    </row>
    <row r="35" customFormat="false" ht="15" hidden="false" customHeight="true" outlineLevel="0" collapsed="false">
      <c r="A35" s="6" t="s">
        <v>27</v>
      </c>
      <c r="B35" s="6" t="s">
        <v>8</v>
      </c>
      <c r="C35" s="7" t="n">
        <v>2672</v>
      </c>
      <c r="D35" s="7" t="n">
        <v>4</v>
      </c>
      <c r="E35" s="7" t="n">
        <v>8.2</v>
      </c>
    </row>
    <row r="36" customFormat="false" ht="15" hidden="false" customHeight="true" outlineLevel="0" collapsed="false">
      <c r="A36" s="8" t="s">
        <v>28</v>
      </c>
      <c r="B36" s="8" t="s">
        <v>9</v>
      </c>
      <c r="C36" s="9" t="n">
        <v>2653</v>
      </c>
      <c r="D36" s="9" t="n">
        <v>0</v>
      </c>
      <c r="E36" s="9" t="n">
        <v>8.2</v>
      </c>
    </row>
    <row r="37" customFormat="false" ht="15" hidden="false" customHeight="true" outlineLevel="0" collapsed="false">
      <c r="A37" s="6" t="s">
        <v>29</v>
      </c>
      <c r="B37" s="6" t="s">
        <v>5</v>
      </c>
      <c r="C37" s="7"/>
      <c r="D37" s="7" t="n">
        <v>8.2</v>
      </c>
      <c r="E37" s="7" t="n">
        <v>8.2</v>
      </c>
    </row>
    <row r="38" customFormat="false" ht="15" hidden="false" customHeight="true" outlineLevel="0" collapsed="false">
      <c r="A38" s="8" t="s">
        <v>30</v>
      </c>
      <c r="B38" s="8" t="s">
        <v>4</v>
      </c>
      <c r="C38" s="9" t="n">
        <v>2189</v>
      </c>
      <c r="D38" s="9" t="n">
        <v>41</v>
      </c>
      <c r="E38" s="9" t="n">
        <v>8.2</v>
      </c>
    </row>
    <row r="39" customFormat="false" ht="15" hidden="false" customHeight="true" outlineLevel="0" collapsed="false">
      <c r="A39" s="6" t="s">
        <v>31</v>
      </c>
      <c r="B39" s="6" t="s">
        <v>9</v>
      </c>
      <c r="C39" s="7" t="n">
        <v>2685</v>
      </c>
      <c r="D39" s="7" t="n">
        <v>0</v>
      </c>
      <c r="E39" s="7" t="n">
        <v>8.2</v>
      </c>
    </row>
    <row r="40" customFormat="false" ht="15" hidden="false" customHeight="true" outlineLevel="0" collapsed="false">
      <c r="A40" s="8" t="s">
        <v>31</v>
      </c>
      <c r="B40" s="8" t="s">
        <v>8</v>
      </c>
      <c r="C40" s="9" t="n">
        <v>2710</v>
      </c>
      <c r="D40" s="9" t="n">
        <v>0</v>
      </c>
      <c r="E40" s="9" t="n">
        <v>8.2</v>
      </c>
    </row>
    <row r="41" customFormat="false" ht="15" hidden="false" customHeight="true" outlineLevel="0" collapsed="false">
      <c r="A41" s="6" t="s">
        <v>31</v>
      </c>
      <c r="B41" s="6" t="s">
        <v>7</v>
      </c>
      <c r="C41" s="7" t="n">
        <v>2659</v>
      </c>
      <c r="D41" s="7" t="n">
        <v>12</v>
      </c>
      <c r="E41" s="7" t="n">
        <v>8.2</v>
      </c>
    </row>
    <row r="42" customFormat="false" ht="15" hidden="false" customHeight="true" outlineLevel="0" collapsed="false">
      <c r="A42" s="8" t="s">
        <v>31</v>
      </c>
      <c r="B42" s="8" t="s">
        <v>6</v>
      </c>
      <c r="C42" s="9" t="n">
        <v>2192</v>
      </c>
      <c r="D42" s="9" t="n">
        <v>35</v>
      </c>
      <c r="E42" s="9" t="n">
        <v>8.2</v>
      </c>
    </row>
    <row r="43" customFormat="false" ht="15" hidden="false" customHeight="true" outlineLevel="0" collapsed="false">
      <c r="A43" s="6" t="s">
        <v>32</v>
      </c>
      <c r="B43" s="6" t="s">
        <v>4</v>
      </c>
      <c r="C43" s="7" t="n">
        <v>2192</v>
      </c>
      <c r="D43" s="7" t="n">
        <v>40</v>
      </c>
      <c r="E43" s="7" t="n">
        <v>8.2</v>
      </c>
    </row>
    <row r="44" customFormat="false" ht="15" hidden="false" customHeight="true" outlineLevel="0" collapsed="false">
      <c r="A44" s="8" t="s">
        <v>32</v>
      </c>
      <c r="B44" s="8" t="s">
        <v>5</v>
      </c>
      <c r="C44" s="9"/>
      <c r="D44" s="9" t="n">
        <v>8.2</v>
      </c>
      <c r="E44" s="9" t="n">
        <v>8.2</v>
      </c>
    </row>
    <row r="45" customFormat="false" ht="15" hidden="false" customHeight="true" outlineLevel="0" collapsed="false">
      <c r="A45" s="6" t="s">
        <v>33</v>
      </c>
      <c r="B45" s="6" t="s">
        <v>6</v>
      </c>
      <c r="C45" s="7" t="n">
        <v>2192</v>
      </c>
      <c r="D45" s="7" t="n">
        <v>35</v>
      </c>
      <c r="E45" s="7" t="n">
        <v>8.2</v>
      </c>
    </row>
    <row r="46" customFormat="false" ht="15" hidden="false" customHeight="true" outlineLevel="0" collapsed="false">
      <c r="A46" s="8" t="s">
        <v>33</v>
      </c>
      <c r="B46" s="8" t="s">
        <v>7</v>
      </c>
      <c r="C46" s="9" t="n">
        <v>2677</v>
      </c>
      <c r="D46" s="9" t="n">
        <v>10</v>
      </c>
      <c r="E46" s="9" t="n">
        <v>8.2</v>
      </c>
    </row>
    <row r="47" customFormat="false" ht="15" hidden="false" customHeight="true" outlineLevel="0" collapsed="false">
      <c r="A47" s="6" t="s">
        <v>33</v>
      </c>
      <c r="B47" s="6" t="s">
        <v>8</v>
      </c>
      <c r="C47" s="7" t="n">
        <v>2701</v>
      </c>
      <c r="D47" s="7" t="n">
        <v>1</v>
      </c>
      <c r="E47" s="7" t="n">
        <v>8.2</v>
      </c>
    </row>
    <row r="48" customFormat="false" ht="15" hidden="false" customHeight="true" outlineLevel="0" collapsed="false">
      <c r="A48" s="8" t="s">
        <v>34</v>
      </c>
      <c r="B48" s="8" t="s">
        <v>9</v>
      </c>
      <c r="C48" s="9" t="n">
        <v>2702</v>
      </c>
      <c r="D48" s="9" t="n">
        <v>0</v>
      </c>
      <c r="E48" s="9" t="n">
        <v>8.2</v>
      </c>
    </row>
    <row r="49" customFormat="false" ht="15" hidden="false" customHeight="true" outlineLevel="0" collapsed="false">
      <c r="A49" s="6" t="s">
        <v>35</v>
      </c>
      <c r="B49" s="6" t="s">
        <v>6</v>
      </c>
      <c r="C49" s="7" t="n">
        <v>2177</v>
      </c>
      <c r="D49" s="7" t="n">
        <v>36</v>
      </c>
      <c r="E49" s="7" t="n">
        <v>8.2</v>
      </c>
    </row>
    <row r="50" customFormat="false" ht="15" hidden="false" customHeight="true" outlineLevel="0" collapsed="false">
      <c r="A50" s="8" t="s">
        <v>35</v>
      </c>
      <c r="B50" s="8" t="s">
        <v>4</v>
      </c>
      <c r="C50" s="9" t="n">
        <v>2224</v>
      </c>
      <c r="D50" s="9" t="n">
        <v>38</v>
      </c>
      <c r="E50" s="9" t="n">
        <v>8.2</v>
      </c>
    </row>
    <row r="51" customFormat="false" ht="15" hidden="false" customHeight="true" outlineLevel="0" collapsed="false">
      <c r="A51" s="6" t="s">
        <v>35</v>
      </c>
      <c r="B51" s="6" t="s">
        <v>5</v>
      </c>
      <c r="C51" s="7"/>
      <c r="D51" s="7" t="n">
        <v>8.2</v>
      </c>
      <c r="E51" s="7" t="n">
        <v>8.2</v>
      </c>
    </row>
    <row r="52" customFormat="false" ht="15" hidden="false" customHeight="true" outlineLevel="0" collapsed="false">
      <c r="A52" s="8" t="s">
        <v>36</v>
      </c>
      <c r="B52" s="8" t="s">
        <v>7</v>
      </c>
      <c r="C52" s="9" t="n">
        <v>2689</v>
      </c>
      <c r="D52" s="9" t="n">
        <v>9</v>
      </c>
      <c r="E52" s="9" t="n">
        <v>8.2</v>
      </c>
    </row>
    <row r="53" customFormat="false" ht="15" hidden="false" customHeight="true" outlineLevel="0" collapsed="false">
      <c r="A53" s="6" t="s">
        <v>36</v>
      </c>
      <c r="B53" s="6" t="s">
        <v>8</v>
      </c>
      <c r="C53" s="7" t="n">
        <v>2726</v>
      </c>
      <c r="D53" s="7" t="n">
        <v>0</v>
      </c>
      <c r="E53" s="7" t="n">
        <v>8.2</v>
      </c>
    </row>
    <row r="54" customFormat="false" ht="15" hidden="false" customHeight="true" outlineLevel="0" collapsed="false">
      <c r="A54" s="8" t="s">
        <v>37</v>
      </c>
      <c r="B54" s="8" t="s">
        <v>9</v>
      </c>
      <c r="C54" s="9" t="n">
        <v>2713</v>
      </c>
      <c r="D54" s="9" t="n">
        <v>0</v>
      </c>
      <c r="E54" s="9" t="n">
        <v>8.2</v>
      </c>
    </row>
    <row r="55" customFormat="false" ht="15" hidden="false" customHeight="true" outlineLevel="0" collapsed="false">
      <c r="A55" s="6" t="s">
        <v>38</v>
      </c>
      <c r="B55" s="6" t="s">
        <v>5</v>
      </c>
      <c r="C55" s="7"/>
      <c r="D55" s="7" t="n">
        <v>8.2</v>
      </c>
      <c r="E55" s="7" t="n">
        <v>8.2</v>
      </c>
    </row>
    <row r="56" customFormat="false" ht="15" hidden="false" customHeight="true" outlineLevel="0" collapsed="false">
      <c r="A56" s="8" t="s">
        <v>39</v>
      </c>
      <c r="B56" s="8" t="s">
        <v>6</v>
      </c>
      <c r="C56" s="9" t="n">
        <v>2202</v>
      </c>
      <c r="D56" s="9" t="n">
        <v>34</v>
      </c>
      <c r="E56" s="9" t="n">
        <v>8.2</v>
      </c>
    </row>
    <row r="57" customFormat="false" ht="15" hidden="false" customHeight="true" outlineLevel="0" collapsed="false">
      <c r="A57" s="6" t="s">
        <v>39</v>
      </c>
      <c r="B57" s="6" t="s">
        <v>4</v>
      </c>
      <c r="C57" s="7" t="n">
        <v>2215</v>
      </c>
      <c r="D57" s="7" t="n">
        <v>39</v>
      </c>
      <c r="E57" s="7" t="n">
        <v>8.2</v>
      </c>
    </row>
    <row r="58" customFormat="false" ht="15" hidden="false" customHeight="true" outlineLevel="0" collapsed="false">
      <c r="A58" s="8" t="s">
        <v>40</v>
      </c>
      <c r="B58" s="8" t="s">
        <v>7</v>
      </c>
      <c r="C58" s="9" t="n">
        <v>2700</v>
      </c>
      <c r="D58" s="9" t="n">
        <v>8</v>
      </c>
      <c r="E58" s="9" t="n">
        <v>8.2</v>
      </c>
    </row>
    <row r="59" customFormat="false" ht="15" hidden="false" customHeight="true" outlineLevel="0" collapsed="false">
      <c r="A59" s="6" t="s">
        <v>40</v>
      </c>
      <c r="B59" s="6" t="s">
        <v>8</v>
      </c>
      <c r="C59" s="7" t="n">
        <v>2735</v>
      </c>
      <c r="D59" s="7" t="n">
        <v>0</v>
      </c>
      <c r="E59" s="7" t="n">
        <v>8.2</v>
      </c>
    </row>
    <row r="60" customFormat="false" ht="15" hidden="false" customHeight="true" outlineLevel="0" collapsed="false">
      <c r="A60" s="8" t="s">
        <v>40</v>
      </c>
      <c r="B60" s="8" t="s">
        <v>9</v>
      </c>
      <c r="C60" s="9" t="n">
        <v>2721</v>
      </c>
      <c r="D60" s="9" t="n">
        <v>0</v>
      </c>
      <c r="E60" s="9" t="n">
        <v>8.2</v>
      </c>
    </row>
    <row r="61" customFormat="false" ht="15" hidden="false" customHeight="true" outlineLevel="0" collapsed="false">
      <c r="A61" s="6" t="s">
        <v>41</v>
      </c>
      <c r="B61" s="6" t="s">
        <v>5</v>
      </c>
      <c r="C61" s="7"/>
      <c r="D61" s="7" t="n">
        <v>8.2</v>
      </c>
      <c r="E61" s="7" t="n">
        <v>8.2</v>
      </c>
    </row>
    <row r="62" customFormat="false" ht="15" hidden="false" customHeight="true" outlineLevel="0" collapsed="false">
      <c r="A62" s="8" t="s">
        <v>42</v>
      </c>
      <c r="B62" s="8" t="s">
        <v>6</v>
      </c>
      <c r="C62" s="9" t="n">
        <v>2189</v>
      </c>
      <c r="D62" s="9" t="n">
        <v>35</v>
      </c>
      <c r="E62" s="9" t="n">
        <v>8.2</v>
      </c>
    </row>
    <row r="63" customFormat="false" ht="15" hidden="false" customHeight="true" outlineLevel="0" collapsed="false">
      <c r="A63" s="6" t="s">
        <v>42</v>
      </c>
      <c r="B63" s="6" t="s">
        <v>7</v>
      </c>
      <c r="C63" s="7" t="n">
        <v>2706</v>
      </c>
      <c r="D63" s="7" t="n">
        <v>7</v>
      </c>
      <c r="E63" s="7" t="n">
        <v>8.2</v>
      </c>
    </row>
    <row r="64" customFormat="false" ht="15" hidden="false" customHeight="true" outlineLevel="0" collapsed="false">
      <c r="A64" s="8" t="s">
        <v>42</v>
      </c>
      <c r="B64" s="8" t="s">
        <v>4</v>
      </c>
      <c r="C64" s="9" t="n">
        <v>2204</v>
      </c>
      <c r="D64" s="9" t="n">
        <v>40</v>
      </c>
      <c r="E64" s="9" t="n">
        <v>8.2</v>
      </c>
    </row>
    <row r="65" customFormat="false" ht="15" hidden="false" customHeight="true" outlineLevel="0" collapsed="false">
      <c r="A65" s="6" t="s">
        <v>42</v>
      </c>
      <c r="B65" s="6" t="s">
        <v>8</v>
      </c>
      <c r="C65" s="7" t="n">
        <v>2736</v>
      </c>
      <c r="D65" s="7" t="n">
        <v>0</v>
      </c>
      <c r="E65" s="7" t="n">
        <v>8.2</v>
      </c>
    </row>
    <row r="66" customFormat="false" ht="15" hidden="false" customHeight="true" outlineLevel="0" collapsed="false">
      <c r="A66" s="8" t="s">
        <v>43</v>
      </c>
      <c r="B66" s="8" t="s">
        <v>9</v>
      </c>
      <c r="C66" s="9" t="n">
        <v>2725</v>
      </c>
      <c r="D66" s="9" t="n">
        <v>0</v>
      </c>
      <c r="E66" s="9" t="n">
        <v>8.2</v>
      </c>
    </row>
    <row r="67" customFormat="false" ht="15" hidden="false" customHeight="true" outlineLevel="0" collapsed="false">
      <c r="A67" s="6" t="s">
        <v>44</v>
      </c>
      <c r="B67" s="6" t="s">
        <v>5</v>
      </c>
      <c r="C67" s="7"/>
      <c r="D67" s="7" t="n">
        <v>8.2</v>
      </c>
      <c r="E67" s="7" t="n">
        <v>8.2</v>
      </c>
    </row>
    <row r="68" customFormat="false" ht="15" hidden="false" customHeight="true" outlineLevel="0" collapsed="false">
      <c r="A68" s="8" t="s">
        <v>45</v>
      </c>
      <c r="B68" s="8" t="s">
        <v>6</v>
      </c>
      <c r="C68" s="9" t="n">
        <v>2187</v>
      </c>
      <c r="D68" s="9" t="n">
        <v>35</v>
      </c>
      <c r="E68" s="9" t="n">
        <v>8.2</v>
      </c>
    </row>
    <row r="69" customFormat="false" ht="15" hidden="false" customHeight="true" outlineLevel="0" collapsed="false">
      <c r="A69" s="6" t="s">
        <v>45</v>
      </c>
      <c r="B69" s="6" t="s">
        <v>7</v>
      </c>
      <c r="C69" s="7" t="n">
        <v>2705</v>
      </c>
      <c r="D69" s="7" t="n">
        <v>7</v>
      </c>
      <c r="E69" s="7" t="n">
        <v>8.2</v>
      </c>
    </row>
    <row r="70" customFormat="false" ht="15" hidden="false" customHeight="true" outlineLevel="0" collapsed="false">
      <c r="A70" s="8" t="s">
        <v>45</v>
      </c>
      <c r="B70" s="8" t="s">
        <v>4</v>
      </c>
      <c r="C70" s="9" t="n">
        <v>2207</v>
      </c>
      <c r="D70" s="9" t="n">
        <v>39</v>
      </c>
      <c r="E70" s="9" t="n">
        <v>8.2</v>
      </c>
    </row>
    <row r="71" customFormat="false" ht="15" hidden="false" customHeight="true" outlineLevel="0" collapsed="false">
      <c r="A71" s="6" t="s">
        <v>46</v>
      </c>
      <c r="B71" s="6" t="s">
        <v>8</v>
      </c>
      <c r="C71" s="7" t="n">
        <v>2743</v>
      </c>
      <c r="D71" s="7" t="n">
        <v>0</v>
      </c>
      <c r="E71" s="7" t="n">
        <v>8.2</v>
      </c>
    </row>
    <row r="72" customFormat="false" ht="15" hidden="false" customHeight="true" outlineLevel="0" collapsed="false">
      <c r="A72" s="8" t="s">
        <v>46</v>
      </c>
      <c r="B72" s="8" t="s">
        <v>9</v>
      </c>
      <c r="C72" s="9" t="n">
        <v>2734</v>
      </c>
      <c r="D72" s="9" t="n">
        <v>0</v>
      </c>
      <c r="E72" s="9" t="n">
        <v>8.2</v>
      </c>
    </row>
    <row r="73" customFormat="false" ht="15" hidden="false" customHeight="true" outlineLevel="0" collapsed="false">
      <c r="A73" s="6" t="s">
        <v>47</v>
      </c>
      <c r="B73" s="6" t="s">
        <v>6</v>
      </c>
      <c r="C73" s="7" t="n">
        <v>2183</v>
      </c>
      <c r="D73" s="7" t="n">
        <v>36</v>
      </c>
      <c r="E73" s="7" t="n">
        <v>8.2</v>
      </c>
    </row>
    <row r="74" customFormat="false" ht="15" hidden="false" customHeight="true" outlineLevel="0" collapsed="false">
      <c r="A74" s="8" t="s">
        <v>47</v>
      </c>
      <c r="B74" s="8" t="s">
        <v>7</v>
      </c>
      <c r="C74" s="9" t="n">
        <v>2721</v>
      </c>
      <c r="D74" s="9" t="n">
        <v>6</v>
      </c>
      <c r="E74" s="9" t="n">
        <v>8.2</v>
      </c>
    </row>
    <row r="75" customFormat="false" ht="15" hidden="false" customHeight="true" outlineLevel="0" collapsed="false">
      <c r="A75" s="6" t="s">
        <v>47</v>
      </c>
      <c r="B75" s="6" t="s">
        <v>4</v>
      </c>
      <c r="C75" s="7" t="n">
        <v>2194</v>
      </c>
      <c r="D75" s="7" t="n">
        <v>40</v>
      </c>
      <c r="E75" s="7" t="n">
        <v>8.2</v>
      </c>
    </row>
    <row r="76" customFormat="false" ht="15" hidden="false" customHeight="true" outlineLevel="0" collapsed="false">
      <c r="A76" s="8" t="s">
        <v>47</v>
      </c>
      <c r="B76" s="8" t="s">
        <v>5</v>
      </c>
      <c r="C76" s="9"/>
      <c r="D76" s="9" t="n">
        <v>8.2</v>
      </c>
      <c r="E76" s="9" t="n">
        <v>8.2</v>
      </c>
    </row>
    <row r="77" customFormat="false" ht="15" hidden="false" customHeight="true" outlineLevel="0" collapsed="false">
      <c r="A77" s="6" t="s">
        <v>48</v>
      </c>
      <c r="B77" s="6" t="s">
        <v>8</v>
      </c>
      <c r="C77" s="7" t="n">
        <v>2747</v>
      </c>
      <c r="D77" s="7" t="n">
        <v>0</v>
      </c>
      <c r="E77" s="7" t="n">
        <v>8.2</v>
      </c>
    </row>
    <row r="78" customFormat="false" ht="15" hidden="false" customHeight="true" outlineLevel="0" collapsed="false">
      <c r="A78" s="8" t="s">
        <v>48</v>
      </c>
      <c r="B78" s="8" t="s">
        <v>9</v>
      </c>
      <c r="C78" s="9" t="n">
        <v>2730</v>
      </c>
      <c r="D78" s="9" t="n">
        <v>0</v>
      </c>
      <c r="E78" s="9" t="n">
        <v>8.2</v>
      </c>
    </row>
    <row r="79" customFormat="false" ht="15" hidden="false" customHeight="true" outlineLevel="0" collapsed="false">
      <c r="A79" s="6" t="s">
        <v>49</v>
      </c>
      <c r="B79" s="6" t="s">
        <v>5</v>
      </c>
      <c r="C79" s="7"/>
      <c r="D79" s="7" t="n">
        <v>8.2</v>
      </c>
      <c r="E79" s="7" t="n">
        <v>8.2</v>
      </c>
    </row>
    <row r="80" customFormat="false" ht="15" hidden="false" customHeight="true" outlineLevel="0" collapsed="false">
      <c r="A80" s="8" t="s">
        <v>49</v>
      </c>
      <c r="B80" s="8" t="s">
        <v>4</v>
      </c>
      <c r="C80" s="9" t="n">
        <v>2199</v>
      </c>
      <c r="D80" s="9" t="n">
        <v>40</v>
      </c>
      <c r="E80" s="9" t="n">
        <v>8.2</v>
      </c>
    </row>
    <row r="81" customFormat="false" ht="15" hidden="false" customHeight="true" outlineLevel="0" collapsed="false">
      <c r="A81" s="6" t="s">
        <v>49</v>
      </c>
      <c r="B81" s="6" t="s">
        <v>6</v>
      </c>
      <c r="C81" s="7" t="n">
        <v>2185</v>
      </c>
      <c r="D81" s="7" t="n">
        <v>35</v>
      </c>
      <c r="E81" s="7" t="n">
        <v>8.2</v>
      </c>
    </row>
    <row r="82" customFormat="false" ht="15" hidden="false" customHeight="true" outlineLevel="0" collapsed="false">
      <c r="A82" s="8" t="s">
        <v>50</v>
      </c>
      <c r="B82" s="8" t="s">
        <v>7</v>
      </c>
      <c r="C82" s="9" t="n">
        <v>2726</v>
      </c>
      <c r="D82" s="9" t="n">
        <v>5</v>
      </c>
      <c r="E82" s="9" t="n">
        <v>8.2</v>
      </c>
    </row>
    <row r="83" customFormat="false" ht="15" hidden="false" customHeight="true" outlineLevel="0" collapsed="false">
      <c r="A83" s="6" t="s">
        <v>50</v>
      </c>
      <c r="B83" s="6" t="s">
        <v>8</v>
      </c>
      <c r="C83" s="7" t="n">
        <v>2756</v>
      </c>
      <c r="D83" s="7" t="n">
        <v>0</v>
      </c>
      <c r="E83" s="7" t="n">
        <v>8.2</v>
      </c>
    </row>
    <row r="84" customFormat="false" ht="15" hidden="false" customHeight="true" outlineLevel="0" collapsed="false">
      <c r="A84" s="8" t="s">
        <v>50</v>
      </c>
      <c r="B84" s="8" t="s">
        <v>9</v>
      </c>
      <c r="C84" s="9" t="n">
        <v>2729</v>
      </c>
      <c r="D84" s="9" t="n">
        <v>0</v>
      </c>
      <c r="E84" s="9" t="n">
        <v>8.2</v>
      </c>
    </row>
    <row r="85" customFormat="false" ht="15" hidden="false" customHeight="true" outlineLevel="0" collapsed="false">
      <c r="A85" s="6" t="s">
        <v>51</v>
      </c>
      <c r="B85" s="6" t="s">
        <v>4</v>
      </c>
      <c r="C85" s="7" t="n">
        <v>2192</v>
      </c>
      <c r="D85" s="7" t="n">
        <v>40</v>
      </c>
      <c r="E85" s="7" t="n">
        <v>8.2</v>
      </c>
    </row>
    <row r="86" customFormat="false" ht="15" hidden="false" customHeight="true" outlineLevel="0" collapsed="false">
      <c r="A86" s="8" t="s">
        <v>51</v>
      </c>
      <c r="B86" s="8" t="s">
        <v>5</v>
      </c>
      <c r="C86" s="9"/>
      <c r="D86" s="9" t="n">
        <v>8.2</v>
      </c>
      <c r="E86" s="9" t="n">
        <v>8.2</v>
      </c>
    </row>
    <row r="87" customFormat="false" ht="15" hidden="false" customHeight="true" outlineLevel="0" collapsed="false">
      <c r="A87" s="6" t="s">
        <v>52</v>
      </c>
      <c r="B87" s="6" t="s">
        <v>6</v>
      </c>
      <c r="C87" s="7" t="n">
        <v>2178</v>
      </c>
      <c r="D87" s="7" t="n">
        <v>36</v>
      </c>
      <c r="E87" s="7" t="n">
        <v>8.2</v>
      </c>
    </row>
    <row r="88" customFormat="false" ht="15" hidden="false" customHeight="true" outlineLevel="0" collapsed="false">
      <c r="A88" s="8" t="s">
        <v>52</v>
      </c>
      <c r="B88" s="8" t="s">
        <v>7</v>
      </c>
      <c r="C88" s="9" t="n">
        <v>2733</v>
      </c>
      <c r="D88" s="9" t="n">
        <v>5</v>
      </c>
      <c r="E88" s="9" t="n">
        <v>8.2</v>
      </c>
    </row>
    <row r="89" customFormat="false" ht="15" hidden="false" customHeight="true" outlineLevel="0" collapsed="false">
      <c r="A89" s="6" t="s">
        <v>52</v>
      </c>
      <c r="B89" s="6" t="s">
        <v>8</v>
      </c>
      <c r="C89" s="7" t="n">
        <v>2762</v>
      </c>
      <c r="D89" s="7" t="n">
        <v>0</v>
      </c>
      <c r="E89" s="7" t="n">
        <v>8.2</v>
      </c>
    </row>
    <row r="90" customFormat="false" ht="15" hidden="false" customHeight="true" outlineLevel="0" collapsed="false">
      <c r="A90" s="8" t="s">
        <v>53</v>
      </c>
      <c r="B90" s="8" t="s">
        <v>9</v>
      </c>
      <c r="C90" s="9" t="n">
        <v>2743</v>
      </c>
      <c r="D90" s="9" t="n">
        <v>0</v>
      </c>
      <c r="E90" s="9" t="n">
        <v>8.2</v>
      </c>
    </row>
    <row r="91" customFormat="false" ht="15" hidden="false" customHeight="true" outlineLevel="0" collapsed="false">
      <c r="A91" s="6" t="s">
        <v>54</v>
      </c>
      <c r="B91" s="6" t="s">
        <v>4</v>
      </c>
      <c r="C91" s="7" t="n">
        <v>2206</v>
      </c>
      <c r="D91" s="7" t="n">
        <v>39</v>
      </c>
      <c r="E91" s="7" t="n">
        <v>8.2</v>
      </c>
    </row>
    <row r="92" customFormat="false" ht="15" hidden="false" customHeight="true" outlineLevel="0" collapsed="false">
      <c r="A92" s="8" t="s">
        <v>54</v>
      </c>
      <c r="B92" s="8" t="s">
        <v>5</v>
      </c>
      <c r="C92" s="9"/>
      <c r="D92" s="9" t="n">
        <v>8.2</v>
      </c>
      <c r="E92" s="9" t="n">
        <v>8.2</v>
      </c>
    </row>
    <row r="93" customFormat="false" ht="15" hidden="false" customHeight="true" outlineLevel="0" collapsed="false">
      <c r="A93" s="6" t="s">
        <v>55</v>
      </c>
      <c r="B93" s="6" t="s">
        <v>7</v>
      </c>
      <c r="C93" s="7" t="n">
        <v>2736</v>
      </c>
      <c r="D93" s="7" t="n">
        <v>4</v>
      </c>
      <c r="E93" s="7" t="n">
        <v>8.2</v>
      </c>
    </row>
    <row r="94" customFormat="false" ht="15" hidden="false" customHeight="true" outlineLevel="0" collapsed="false">
      <c r="A94" s="8" t="s">
        <v>55</v>
      </c>
      <c r="B94" s="8" t="s">
        <v>6</v>
      </c>
      <c r="C94" s="9" t="n">
        <v>2183</v>
      </c>
      <c r="D94" s="9" t="n">
        <v>36</v>
      </c>
      <c r="E94" s="9" t="n">
        <v>8.2</v>
      </c>
    </row>
    <row r="95" customFormat="false" ht="15" hidden="false" customHeight="true" outlineLevel="0" collapsed="false">
      <c r="A95" s="6" t="s">
        <v>56</v>
      </c>
      <c r="B95" s="6" t="s">
        <v>8</v>
      </c>
      <c r="C95" s="7" t="n">
        <v>2766</v>
      </c>
      <c r="D95" s="7" t="n">
        <v>0</v>
      </c>
      <c r="E95" s="7" t="n">
        <v>8.2</v>
      </c>
    </row>
    <row r="96" customFormat="false" ht="15" hidden="false" customHeight="true" outlineLevel="0" collapsed="false">
      <c r="A96" s="8" t="s">
        <v>56</v>
      </c>
      <c r="B96" s="8" t="s">
        <v>9</v>
      </c>
      <c r="C96" s="9" t="n">
        <v>2746</v>
      </c>
      <c r="D96" s="9" t="n">
        <v>0</v>
      </c>
      <c r="E96" s="9" t="n">
        <v>8.2</v>
      </c>
    </row>
    <row r="97" customFormat="false" ht="15" hidden="false" customHeight="true" outlineLevel="0" collapsed="false">
      <c r="A97" s="6" t="s">
        <v>57</v>
      </c>
      <c r="B97" s="6" t="s">
        <v>6</v>
      </c>
      <c r="C97" s="7" t="n">
        <v>2187</v>
      </c>
      <c r="D97" s="7" t="n">
        <v>35</v>
      </c>
      <c r="E97" s="7" t="n">
        <v>8.2</v>
      </c>
    </row>
    <row r="98" customFormat="false" ht="15" hidden="false" customHeight="true" outlineLevel="0" collapsed="false">
      <c r="A98" s="8" t="s">
        <v>57</v>
      </c>
      <c r="B98" s="8" t="s">
        <v>4</v>
      </c>
      <c r="C98" s="9" t="n">
        <v>2218</v>
      </c>
      <c r="D98" s="9" t="n">
        <v>39</v>
      </c>
      <c r="E98" s="9" t="n">
        <v>8.2</v>
      </c>
    </row>
    <row r="99" customFormat="false" ht="15" hidden="false" customHeight="true" outlineLevel="0" collapsed="false">
      <c r="A99" s="6" t="s">
        <v>57</v>
      </c>
      <c r="B99" s="6" t="s">
        <v>5</v>
      </c>
      <c r="C99" s="7"/>
      <c r="D99" s="7" t="n">
        <v>8.2</v>
      </c>
      <c r="E99" s="7" t="n">
        <v>8.2</v>
      </c>
    </row>
    <row r="100" customFormat="false" ht="15" hidden="false" customHeight="true" outlineLevel="0" collapsed="false">
      <c r="A100" s="8" t="s">
        <v>58</v>
      </c>
      <c r="B100" s="8" t="s">
        <v>7</v>
      </c>
      <c r="C100" s="9" t="n">
        <v>2736</v>
      </c>
      <c r="D100" s="9" t="n">
        <v>4</v>
      </c>
      <c r="E100" s="9" t="n">
        <v>8.2</v>
      </c>
    </row>
    <row r="101" customFormat="false" ht="15" hidden="false" customHeight="true" outlineLevel="0" collapsed="false">
      <c r="A101" s="6" t="s">
        <v>58</v>
      </c>
      <c r="B101" s="6" t="s">
        <v>8</v>
      </c>
      <c r="C101" s="7" t="n">
        <v>2765</v>
      </c>
      <c r="D101" s="7" t="n">
        <v>0</v>
      </c>
      <c r="E101" s="7" t="n">
        <v>8.2</v>
      </c>
    </row>
    <row r="102" customFormat="false" ht="15" hidden="false" customHeight="true" outlineLevel="0" collapsed="false">
      <c r="A102" s="8" t="s">
        <v>59</v>
      </c>
      <c r="B102" s="8" t="s">
        <v>9</v>
      </c>
      <c r="C102" s="9" t="n">
        <v>2753</v>
      </c>
      <c r="D102" s="9" t="n">
        <v>0</v>
      </c>
      <c r="E102" s="9" t="n">
        <v>8.2</v>
      </c>
    </row>
    <row r="103" customFormat="false" ht="15" hidden="false" customHeight="true" outlineLevel="0" collapsed="false">
      <c r="A103" s="6" t="s">
        <v>60</v>
      </c>
      <c r="B103" s="6" t="s">
        <v>5</v>
      </c>
      <c r="C103" s="7"/>
      <c r="D103" s="7" t="n">
        <v>8.2</v>
      </c>
      <c r="E103" s="7" t="n">
        <v>8.2</v>
      </c>
    </row>
    <row r="104" customFormat="false" ht="15" hidden="false" customHeight="true" outlineLevel="0" collapsed="false">
      <c r="A104" s="8" t="s">
        <v>61</v>
      </c>
      <c r="B104" s="8" t="s">
        <v>7</v>
      </c>
      <c r="C104" s="9" t="n">
        <v>2739</v>
      </c>
      <c r="D104" s="9" t="n">
        <v>4</v>
      </c>
      <c r="E104" s="9" t="n">
        <v>8.2</v>
      </c>
    </row>
    <row r="105" customFormat="false" ht="15" hidden="false" customHeight="true" outlineLevel="0" collapsed="false">
      <c r="A105" s="6" t="s">
        <v>61</v>
      </c>
      <c r="B105" s="6" t="s">
        <v>4</v>
      </c>
      <c r="C105" s="7" t="n">
        <v>2160</v>
      </c>
      <c r="D105" s="7" t="n">
        <v>43</v>
      </c>
      <c r="E105" s="7" t="n">
        <v>8.2</v>
      </c>
    </row>
    <row r="106" customFormat="false" ht="15" hidden="false" customHeight="true" outlineLevel="0" collapsed="false">
      <c r="A106" s="8" t="s">
        <v>61</v>
      </c>
      <c r="B106" s="8" t="s">
        <v>6</v>
      </c>
      <c r="C106" s="9" t="n">
        <v>2184</v>
      </c>
      <c r="D106" s="9" t="n">
        <v>36</v>
      </c>
      <c r="E106" s="9" t="n">
        <v>8.2</v>
      </c>
    </row>
    <row r="107" customFormat="false" ht="15" hidden="false" customHeight="true" outlineLevel="0" collapsed="false">
      <c r="A107" s="6" t="s">
        <v>62</v>
      </c>
      <c r="B107" s="6" t="s">
        <v>8</v>
      </c>
      <c r="C107" s="7" t="n">
        <v>2769</v>
      </c>
      <c r="D107" s="7" t="n">
        <v>0</v>
      </c>
      <c r="E107" s="7" t="n">
        <v>8.2</v>
      </c>
    </row>
    <row r="108" customFormat="false" ht="15" hidden="false" customHeight="true" outlineLevel="0" collapsed="false">
      <c r="A108" s="8" t="s">
        <v>63</v>
      </c>
      <c r="B108" s="8" t="s">
        <v>9</v>
      </c>
      <c r="C108" s="9" t="n">
        <v>2758</v>
      </c>
      <c r="D108" s="9" t="n">
        <v>0</v>
      </c>
      <c r="E108" s="9" t="n">
        <v>8.2</v>
      </c>
    </row>
    <row r="109" customFormat="false" ht="15" hidden="false" customHeight="true" outlineLevel="0" collapsed="false">
      <c r="A109" s="6" t="s">
        <v>64</v>
      </c>
      <c r="B109" s="6" t="s">
        <v>5</v>
      </c>
      <c r="C109" s="7"/>
      <c r="D109" s="7" t="n">
        <v>8.4</v>
      </c>
      <c r="E109" s="7" t="n">
        <v>8.4</v>
      </c>
    </row>
    <row r="110" customFormat="false" ht="15" hidden="false" customHeight="true" outlineLevel="0" collapsed="false">
      <c r="A110" s="8" t="s">
        <v>65</v>
      </c>
      <c r="B110" s="8" t="s">
        <v>6</v>
      </c>
      <c r="C110" s="9" t="n">
        <v>2175</v>
      </c>
      <c r="D110" s="9" t="n">
        <v>36</v>
      </c>
      <c r="E110" s="9" t="n">
        <v>8.4</v>
      </c>
    </row>
    <row r="111" customFormat="false" ht="15" hidden="false" customHeight="true" outlineLevel="0" collapsed="false">
      <c r="A111" s="6" t="s">
        <v>65</v>
      </c>
      <c r="B111" s="6" t="s">
        <v>7</v>
      </c>
      <c r="C111" s="7" t="n">
        <v>2741</v>
      </c>
      <c r="D111" s="7" t="n">
        <v>4</v>
      </c>
      <c r="E111" s="7" t="n">
        <v>8.4</v>
      </c>
    </row>
    <row r="112" customFormat="false" ht="15" hidden="false" customHeight="true" outlineLevel="0" collapsed="false">
      <c r="A112" s="8" t="s">
        <v>65</v>
      </c>
      <c r="B112" s="8" t="s">
        <v>4</v>
      </c>
      <c r="C112" s="9" t="n">
        <v>2205</v>
      </c>
      <c r="D112" s="9" t="n">
        <v>40</v>
      </c>
      <c r="E112" s="9" t="n">
        <v>8.4</v>
      </c>
    </row>
    <row r="113" customFormat="false" ht="15" hidden="false" customHeight="true" outlineLevel="0" collapsed="false">
      <c r="A113" s="6" t="s">
        <v>66</v>
      </c>
      <c r="B113" s="6" t="s">
        <v>8</v>
      </c>
      <c r="C113" s="7" t="n">
        <v>2774</v>
      </c>
      <c r="D113" s="7" t="n">
        <v>0</v>
      </c>
      <c r="E113" s="7" t="n">
        <v>8.4</v>
      </c>
    </row>
    <row r="114" customFormat="false" ht="15" hidden="false" customHeight="true" outlineLevel="0" collapsed="false">
      <c r="A114" s="8" t="s">
        <v>66</v>
      </c>
      <c r="B114" s="8" t="s">
        <v>9</v>
      </c>
      <c r="C114" s="9" t="n">
        <v>2765</v>
      </c>
      <c r="D114" s="9" t="n">
        <v>0</v>
      </c>
      <c r="E114" s="9" t="n">
        <v>8.4</v>
      </c>
    </row>
    <row r="115" customFormat="false" ht="15" hidden="false" customHeight="true" outlineLevel="0" collapsed="false">
      <c r="A115" s="6" t="s">
        <v>67</v>
      </c>
      <c r="B115" s="6" t="s">
        <v>5</v>
      </c>
      <c r="C115" s="7"/>
      <c r="D115" s="7" t="n">
        <v>8.4</v>
      </c>
      <c r="E115" s="7" t="n">
        <v>8.4</v>
      </c>
    </row>
    <row r="116" customFormat="false" ht="15" hidden="false" customHeight="true" outlineLevel="0" collapsed="false">
      <c r="A116" s="8" t="s">
        <v>68</v>
      </c>
      <c r="B116" s="8" t="s">
        <v>4</v>
      </c>
      <c r="C116" s="9" t="n">
        <v>2178</v>
      </c>
      <c r="D116" s="9" t="n">
        <v>41</v>
      </c>
      <c r="E116" s="9" t="n">
        <v>8.4</v>
      </c>
    </row>
    <row r="117" customFormat="false" ht="15" hidden="false" customHeight="true" outlineLevel="0" collapsed="false">
      <c r="A117" s="6" t="s">
        <v>68</v>
      </c>
      <c r="B117" s="6" t="s">
        <v>6</v>
      </c>
      <c r="C117" s="7" t="n">
        <v>2181</v>
      </c>
      <c r="D117" s="7" t="n">
        <v>36</v>
      </c>
      <c r="E117" s="7" t="n">
        <v>8.4</v>
      </c>
    </row>
    <row r="118" customFormat="false" ht="15" hidden="false" customHeight="true" outlineLevel="0" collapsed="false">
      <c r="A118" s="8" t="s">
        <v>69</v>
      </c>
      <c r="B118" s="8" t="s">
        <v>8</v>
      </c>
      <c r="C118" s="9" t="n">
        <v>2774</v>
      </c>
      <c r="D118" s="9" t="n">
        <v>0</v>
      </c>
      <c r="E118" s="9" t="n">
        <v>8.4</v>
      </c>
    </row>
    <row r="119" customFormat="false" ht="15" hidden="false" customHeight="true" outlineLevel="0" collapsed="false">
      <c r="A119" s="6" t="s">
        <v>69</v>
      </c>
      <c r="B119" s="6" t="s">
        <v>9</v>
      </c>
      <c r="C119" s="7" t="n">
        <v>2763</v>
      </c>
      <c r="D119" s="7" t="n">
        <v>0</v>
      </c>
      <c r="E119" s="7" t="n">
        <v>8.4</v>
      </c>
    </row>
    <row r="120" customFormat="false" ht="15" hidden="false" customHeight="true" outlineLevel="0" collapsed="false">
      <c r="A120" s="8" t="s">
        <v>69</v>
      </c>
      <c r="B120" s="8" t="s">
        <v>7</v>
      </c>
      <c r="C120" s="9" t="n">
        <v>2747</v>
      </c>
      <c r="D120" s="9" t="n">
        <v>3</v>
      </c>
      <c r="E120" s="9" t="n">
        <v>8.4</v>
      </c>
    </row>
    <row r="121" customFormat="false" ht="15" hidden="false" customHeight="true" outlineLevel="0" collapsed="false">
      <c r="A121" s="6" t="s">
        <v>70</v>
      </c>
      <c r="B121" s="6" t="s">
        <v>4</v>
      </c>
      <c r="C121" s="7" t="n">
        <v>2189</v>
      </c>
      <c r="D121" s="7" t="n">
        <v>41</v>
      </c>
      <c r="E121" s="7" t="n">
        <v>8.2</v>
      </c>
    </row>
    <row r="122" customFormat="false" ht="15" hidden="false" customHeight="true" outlineLevel="0" collapsed="false">
      <c r="A122" s="8" t="s">
        <v>70</v>
      </c>
      <c r="B122" s="8" t="s">
        <v>5</v>
      </c>
      <c r="C122" s="9"/>
      <c r="D122" s="9" t="n">
        <v>8.2</v>
      </c>
      <c r="E122" s="9" t="n">
        <v>8.2</v>
      </c>
    </row>
    <row r="123" customFormat="false" ht="15" hidden="false" customHeight="true" outlineLevel="0" collapsed="false">
      <c r="A123" s="6" t="s">
        <v>71</v>
      </c>
      <c r="B123" s="6" t="s">
        <v>6</v>
      </c>
      <c r="C123" s="7" t="n">
        <v>2182</v>
      </c>
      <c r="D123" s="7" t="n">
        <v>36</v>
      </c>
      <c r="E123" s="7" t="n">
        <v>8.2</v>
      </c>
    </row>
    <row r="124" customFormat="false" ht="15" hidden="false" customHeight="true" outlineLevel="0" collapsed="false">
      <c r="A124" s="8" t="s">
        <v>71</v>
      </c>
      <c r="B124" s="8" t="s">
        <v>7</v>
      </c>
      <c r="C124" s="9" t="n">
        <v>2763</v>
      </c>
      <c r="D124" s="9" t="n">
        <v>2</v>
      </c>
      <c r="E124" s="9" t="n">
        <v>8.2</v>
      </c>
    </row>
    <row r="125" customFormat="false" ht="15" hidden="false" customHeight="true" outlineLevel="0" collapsed="false">
      <c r="A125" s="6" t="s">
        <v>71</v>
      </c>
      <c r="B125" s="6" t="s">
        <v>8</v>
      </c>
      <c r="C125" s="7" t="n">
        <v>2783</v>
      </c>
      <c r="D125" s="7" t="n">
        <v>0</v>
      </c>
      <c r="E125" s="7" t="n">
        <v>8.2</v>
      </c>
    </row>
    <row r="126" customFormat="false" ht="15" hidden="false" customHeight="true" outlineLevel="0" collapsed="false">
      <c r="A126" s="8" t="s">
        <v>71</v>
      </c>
      <c r="B126" s="8" t="s">
        <v>9</v>
      </c>
      <c r="C126" s="9" t="n">
        <v>2767</v>
      </c>
      <c r="D126" s="9" t="n">
        <v>0</v>
      </c>
      <c r="E126" s="9" t="n">
        <v>8.2</v>
      </c>
    </row>
    <row r="127" customFormat="false" ht="15" hidden="false" customHeight="true" outlineLevel="0" collapsed="false">
      <c r="A127" s="6" t="s">
        <v>72</v>
      </c>
      <c r="B127" s="6" t="s">
        <v>4</v>
      </c>
      <c r="C127" s="7" t="n">
        <v>2175</v>
      </c>
      <c r="D127" s="7" t="n">
        <v>42</v>
      </c>
      <c r="E127" s="7" t="n">
        <v>8.2</v>
      </c>
    </row>
    <row r="128" customFormat="false" ht="15" hidden="false" customHeight="true" outlineLevel="0" collapsed="false">
      <c r="A128" s="8" t="s">
        <v>72</v>
      </c>
      <c r="B128" s="8" t="s">
        <v>5</v>
      </c>
      <c r="C128" s="9"/>
      <c r="D128" s="9" t="n">
        <v>8.2</v>
      </c>
      <c r="E128" s="9" t="n">
        <v>8.2</v>
      </c>
    </row>
    <row r="129" customFormat="false" ht="15" hidden="false" customHeight="true" outlineLevel="0" collapsed="false">
      <c r="A129" s="6" t="s">
        <v>73</v>
      </c>
      <c r="B129" s="6" t="s">
        <v>9</v>
      </c>
      <c r="C129" s="7" t="n">
        <v>2775</v>
      </c>
      <c r="D129" s="7" t="n">
        <v>0</v>
      </c>
      <c r="E129" s="7" t="n">
        <v>8.2</v>
      </c>
    </row>
    <row r="130" customFormat="false" ht="15" hidden="false" customHeight="true" outlineLevel="0" collapsed="false">
      <c r="A130" s="8" t="s">
        <v>73</v>
      </c>
      <c r="B130" s="8" t="s">
        <v>6</v>
      </c>
      <c r="C130" s="9" t="n">
        <v>2220</v>
      </c>
      <c r="D130" s="9" t="n">
        <v>33</v>
      </c>
      <c r="E130" s="9" t="n">
        <v>8.2</v>
      </c>
    </row>
    <row r="131" customFormat="false" ht="15" hidden="false" customHeight="true" outlineLevel="0" collapsed="false">
      <c r="A131" s="6" t="s">
        <v>73</v>
      </c>
      <c r="B131" s="6" t="s">
        <v>7</v>
      </c>
      <c r="C131" s="7" t="n">
        <v>2755</v>
      </c>
      <c r="D131" s="7" t="n">
        <v>3</v>
      </c>
      <c r="E131" s="7" t="n">
        <v>8.2</v>
      </c>
    </row>
    <row r="132" customFormat="false" ht="15" hidden="false" customHeight="true" outlineLevel="0" collapsed="false">
      <c r="A132" s="8" t="s">
        <v>73</v>
      </c>
      <c r="B132" s="8" t="s">
        <v>8</v>
      </c>
      <c r="C132" s="9" t="n">
        <v>2779</v>
      </c>
      <c r="D132" s="9" t="n">
        <v>0</v>
      </c>
      <c r="E132" s="9" t="n">
        <v>8.2</v>
      </c>
    </row>
    <row r="133" customFormat="false" ht="15" hidden="false" customHeight="true" outlineLevel="0" collapsed="false">
      <c r="A133" s="6" t="s">
        <v>74</v>
      </c>
      <c r="B133" s="6" t="s">
        <v>5</v>
      </c>
      <c r="C133" s="7"/>
      <c r="D133" s="7" t="n">
        <v>8.2</v>
      </c>
      <c r="E133" s="7" t="n">
        <v>8.2</v>
      </c>
    </row>
    <row r="134" customFormat="false" ht="15" hidden="false" customHeight="true" outlineLevel="0" collapsed="false">
      <c r="A134" s="8" t="s">
        <v>74</v>
      </c>
      <c r="B134" s="8" t="s">
        <v>4</v>
      </c>
      <c r="C134" s="9" t="n">
        <v>2199</v>
      </c>
      <c r="D134" s="9" t="n">
        <v>40</v>
      </c>
      <c r="E134" s="9" t="n">
        <v>8.2</v>
      </c>
    </row>
    <row r="135" customFormat="false" ht="15" hidden="false" customHeight="true" outlineLevel="0" collapsed="false">
      <c r="A135" s="6" t="s">
        <v>75</v>
      </c>
      <c r="B135" s="6" t="s">
        <v>6</v>
      </c>
      <c r="C135" s="7" t="n">
        <v>2235</v>
      </c>
      <c r="D135" s="7" t="n">
        <v>32</v>
      </c>
      <c r="E135" s="7" t="n">
        <v>8.2</v>
      </c>
    </row>
    <row r="136" customFormat="false" ht="15" hidden="false" customHeight="true" outlineLevel="0" collapsed="false">
      <c r="A136" s="8" t="s">
        <v>75</v>
      </c>
      <c r="B136" s="8" t="s">
        <v>7</v>
      </c>
      <c r="C136" s="9" t="n">
        <v>2749</v>
      </c>
      <c r="D136" s="9" t="n">
        <v>3</v>
      </c>
      <c r="E136" s="9" t="n">
        <v>8.2</v>
      </c>
    </row>
    <row r="137" customFormat="false" ht="15" hidden="false" customHeight="true" outlineLevel="0" collapsed="false">
      <c r="A137" s="6" t="s">
        <v>75</v>
      </c>
      <c r="B137" s="6" t="s">
        <v>8</v>
      </c>
      <c r="C137" s="7" t="n">
        <v>2789</v>
      </c>
      <c r="D137" s="7" t="n">
        <v>0</v>
      </c>
      <c r="E137" s="7" t="n">
        <v>8.2</v>
      </c>
    </row>
    <row r="138" customFormat="false" ht="15" hidden="false" customHeight="true" outlineLevel="0" collapsed="false">
      <c r="A138" s="8" t="s">
        <v>76</v>
      </c>
      <c r="B138" s="8" t="s">
        <v>9</v>
      </c>
      <c r="C138" s="9" t="n">
        <v>2771</v>
      </c>
      <c r="D138" s="9" t="n">
        <v>0</v>
      </c>
      <c r="E138" s="9" t="n">
        <v>8.2</v>
      </c>
    </row>
    <row r="139" customFormat="false" ht="15" hidden="false" customHeight="true" outlineLevel="0" collapsed="false">
      <c r="A139" s="6" t="s">
        <v>77</v>
      </c>
      <c r="B139" s="6" t="s">
        <v>5</v>
      </c>
      <c r="C139" s="7"/>
      <c r="D139" s="7" t="n">
        <v>8.2</v>
      </c>
      <c r="E139" s="7" t="n">
        <v>8.2</v>
      </c>
    </row>
    <row r="140" customFormat="false" ht="15" hidden="false" customHeight="true" outlineLevel="0" collapsed="false">
      <c r="A140" s="8" t="s">
        <v>78</v>
      </c>
      <c r="B140" s="8" t="s">
        <v>6</v>
      </c>
      <c r="C140" s="9" t="n">
        <v>2181</v>
      </c>
      <c r="D140" s="9" t="n">
        <v>36</v>
      </c>
      <c r="E140" s="9" t="n">
        <v>8.2</v>
      </c>
    </row>
    <row r="141" customFormat="false" ht="15" hidden="false" customHeight="true" outlineLevel="0" collapsed="false">
      <c r="A141" s="6" t="s">
        <v>78</v>
      </c>
      <c r="B141" s="6" t="s">
        <v>4</v>
      </c>
      <c r="C141" s="7" t="n">
        <v>2218</v>
      </c>
      <c r="D141" s="7" t="n">
        <v>39</v>
      </c>
      <c r="E141" s="7" t="n">
        <v>8.2</v>
      </c>
    </row>
    <row r="142" customFormat="false" ht="15" hidden="false" customHeight="true" outlineLevel="0" collapsed="false">
      <c r="A142" s="8" t="s">
        <v>79</v>
      </c>
      <c r="B142" s="8" t="s">
        <v>7</v>
      </c>
      <c r="C142" s="9" t="n">
        <v>2752</v>
      </c>
      <c r="D142" s="9" t="n">
        <v>3</v>
      </c>
      <c r="E142" s="9" t="n">
        <v>8.2</v>
      </c>
    </row>
    <row r="143" customFormat="false" ht="15" hidden="false" customHeight="true" outlineLevel="0" collapsed="false">
      <c r="A143" s="6" t="s">
        <v>79</v>
      </c>
      <c r="B143" s="6" t="s">
        <v>8</v>
      </c>
      <c r="C143" s="7" t="n">
        <v>2789</v>
      </c>
      <c r="D143" s="7" t="n">
        <v>0</v>
      </c>
      <c r="E143" s="7" t="n">
        <v>8.2</v>
      </c>
    </row>
    <row r="144" customFormat="false" ht="15" hidden="false" customHeight="true" outlineLevel="0" collapsed="false">
      <c r="A144" s="8" t="s">
        <v>79</v>
      </c>
      <c r="B144" s="8" t="s">
        <v>9</v>
      </c>
      <c r="C144" s="9" t="n">
        <v>2777</v>
      </c>
      <c r="D144" s="9" t="n">
        <v>0</v>
      </c>
      <c r="E144" s="9" t="n">
        <v>8.2</v>
      </c>
    </row>
    <row r="145" customFormat="false" ht="15" hidden="false" customHeight="true" outlineLevel="0" collapsed="false">
      <c r="A145" s="6" t="s">
        <v>80</v>
      </c>
      <c r="B145" s="6" t="s">
        <v>5</v>
      </c>
      <c r="C145" s="7"/>
      <c r="D145" s="7" t="n">
        <v>8.2</v>
      </c>
      <c r="E145" s="7" t="n">
        <v>8.2</v>
      </c>
    </row>
    <row r="146" customFormat="false" ht="15" hidden="false" customHeight="true" outlineLevel="0" collapsed="false">
      <c r="A146" s="8" t="s">
        <v>81</v>
      </c>
      <c r="B146" s="8" t="s">
        <v>4</v>
      </c>
      <c r="C146" s="9" t="n">
        <v>2179</v>
      </c>
      <c r="D146" s="9" t="n">
        <v>41</v>
      </c>
      <c r="E146" s="9" t="n">
        <v>8.2</v>
      </c>
    </row>
    <row r="147" customFormat="false" ht="15" hidden="false" customHeight="true" outlineLevel="0" collapsed="false">
      <c r="A147" s="6" t="s">
        <v>81</v>
      </c>
      <c r="B147" s="6" t="s">
        <v>6</v>
      </c>
      <c r="C147" s="7" t="n">
        <v>2182</v>
      </c>
      <c r="D147" s="7" t="n">
        <v>36</v>
      </c>
      <c r="E147" s="7" t="n">
        <v>8.2</v>
      </c>
    </row>
    <row r="148" customFormat="false" ht="15" hidden="false" customHeight="true" outlineLevel="0" collapsed="false">
      <c r="A148" s="8" t="s">
        <v>82</v>
      </c>
      <c r="B148" s="8" t="s">
        <v>7</v>
      </c>
      <c r="C148" s="9" t="n">
        <v>2753</v>
      </c>
      <c r="D148" s="9" t="n">
        <v>3</v>
      </c>
      <c r="E148" s="9" t="n">
        <v>8.2</v>
      </c>
    </row>
    <row r="149" customFormat="false" ht="15" hidden="false" customHeight="true" outlineLevel="0" collapsed="false">
      <c r="A149" s="6" t="s">
        <v>82</v>
      </c>
      <c r="B149" s="6" t="s">
        <v>8</v>
      </c>
      <c r="C149" s="7" t="n">
        <v>2794</v>
      </c>
      <c r="D149" s="7" t="n">
        <v>0</v>
      </c>
      <c r="E149" s="7" t="n">
        <v>8.2</v>
      </c>
    </row>
    <row r="150" customFormat="false" ht="15" hidden="false" customHeight="true" outlineLevel="0" collapsed="false">
      <c r="A150" s="8" t="s">
        <v>82</v>
      </c>
      <c r="B150" s="8" t="s">
        <v>9</v>
      </c>
      <c r="C150" s="9" t="n">
        <v>2783</v>
      </c>
      <c r="D150" s="9" t="n">
        <v>0</v>
      </c>
      <c r="E150" s="9" t="n">
        <v>8.2</v>
      </c>
    </row>
    <row r="151" customFormat="false" ht="15" hidden="false" customHeight="true" outlineLevel="0" collapsed="false">
      <c r="A151" s="6" t="s">
        <v>83</v>
      </c>
      <c r="B151" s="6" t="s">
        <v>5</v>
      </c>
      <c r="C151" s="7"/>
      <c r="D151" s="7" t="n">
        <v>8.2</v>
      </c>
      <c r="E151" s="7" t="n">
        <v>8.2</v>
      </c>
    </row>
    <row r="152" customFormat="false" ht="15" hidden="false" customHeight="true" outlineLevel="0" collapsed="false">
      <c r="A152" s="8" t="s">
        <v>84</v>
      </c>
      <c r="B152" s="8" t="s">
        <v>6</v>
      </c>
      <c r="C152" s="9" t="n">
        <v>2155</v>
      </c>
      <c r="D152" s="9" t="n">
        <v>37</v>
      </c>
      <c r="E152" s="9" t="n">
        <v>8.2</v>
      </c>
    </row>
    <row r="153" customFormat="false" ht="15" hidden="false" customHeight="true" outlineLevel="0" collapsed="false">
      <c r="A153" s="6" t="s">
        <v>84</v>
      </c>
      <c r="B153" s="6" t="s">
        <v>7</v>
      </c>
      <c r="C153" s="7" t="n">
        <v>2757</v>
      </c>
      <c r="D153" s="7" t="n">
        <v>2</v>
      </c>
      <c r="E153" s="7" t="n">
        <v>8.2</v>
      </c>
    </row>
    <row r="154" customFormat="false" ht="15" hidden="false" customHeight="true" outlineLevel="0" collapsed="false">
      <c r="A154" s="8" t="s">
        <v>84</v>
      </c>
      <c r="B154" s="8" t="s">
        <v>4</v>
      </c>
      <c r="C154" s="9" t="n">
        <v>2208</v>
      </c>
      <c r="D154" s="9" t="n">
        <v>39</v>
      </c>
      <c r="E154" s="9" t="n">
        <v>8.2</v>
      </c>
    </row>
    <row r="155" customFormat="false" ht="15" hidden="false" customHeight="true" outlineLevel="0" collapsed="false">
      <c r="A155" s="6" t="s">
        <v>85</v>
      </c>
      <c r="B155" s="6" t="s">
        <v>8</v>
      </c>
      <c r="C155" s="7" t="n">
        <v>2794</v>
      </c>
      <c r="D155" s="7" t="n">
        <v>0</v>
      </c>
      <c r="E155" s="7" t="n">
        <v>8.2</v>
      </c>
    </row>
    <row r="156" customFormat="false" ht="15" hidden="false" customHeight="true" outlineLevel="0" collapsed="false">
      <c r="A156" s="8" t="s">
        <v>85</v>
      </c>
      <c r="B156" s="8" t="s">
        <v>9</v>
      </c>
      <c r="C156" s="9" t="n">
        <v>2778</v>
      </c>
      <c r="D156" s="9" t="n">
        <v>0</v>
      </c>
      <c r="E156" s="9" t="n">
        <v>8.2</v>
      </c>
    </row>
    <row r="157" customFormat="false" ht="15" hidden="false" customHeight="true" outlineLevel="0" collapsed="false">
      <c r="A157" s="6" t="s">
        <v>86</v>
      </c>
      <c r="B157" s="6" t="s">
        <v>6</v>
      </c>
      <c r="C157" s="7" t="n">
        <v>2181</v>
      </c>
      <c r="D157" s="7" t="n">
        <v>36</v>
      </c>
      <c r="E157" s="7" t="n">
        <v>8.2</v>
      </c>
    </row>
    <row r="158" customFormat="false" ht="15" hidden="false" customHeight="true" outlineLevel="0" collapsed="false">
      <c r="A158" s="8" t="s">
        <v>86</v>
      </c>
      <c r="B158" s="8" t="s">
        <v>4</v>
      </c>
      <c r="C158" s="9" t="n">
        <v>2231</v>
      </c>
      <c r="D158" s="9" t="n">
        <v>38</v>
      </c>
      <c r="E158" s="9" t="n">
        <v>8.2</v>
      </c>
    </row>
    <row r="159" customFormat="false" ht="15" hidden="false" customHeight="true" outlineLevel="0" collapsed="false">
      <c r="A159" s="6" t="s">
        <v>86</v>
      </c>
      <c r="B159" s="6" t="s">
        <v>5</v>
      </c>
      <c r="C159" s="7"/>
      <c r="D159" s="7" t="n">
        <v>8.2</v>
      </c>
      <c r="E159" s="7" t="n">
        <v>8.2</v>
      </c>
    </row>
    <row r="160" customFormat="false" ht="15" hidden="false" customHeight="true" outlineLevel="0" collapsed="false">
      <c r="A160" s="8" t="s">
        <v>87</v>
      </c>
      <c r="B160" s="8" t="s">
        <v>9</v>
      </c>
      <c r="C160" s="9" t="n">
        <v>2774</v>
      </c>
      <c r="D160" s="9" t="n">
        <v>0</v>
      </c>
      <c r="E160" s="9" t="n">
        <v>8.2</v>
      </c>
    </row>
    <row r="161" customFormat="false" ht="15" hidden="false" customHeight="true" outlineLevel="0" collapsed="false">
      <c r="A161" s="6" t="s">
        <v>87</v>
      </c>
      <c r="B161" s="6" t="s">
        <v>7</v>
      </c>
      <c r="C161" s="7" t="n">
        <v>2760</v>
      </c>
      <c r="D161" s="7" t="n">
        <v>2</v>
      </c>
      <c r="E161" s="7" t="n">
        <v>8.2</v>
      </c>
    </row>
    <row r="162" customFormat="false" ht="15" hidden="false" customHeight="true" outlineLevel="0" collapsed="false">
      <c r="A162" s="8" t="s">
        <v>87</v>
      </c>
      <c r="B162" s="8" t="s">
        <v>8</v>
      </c>
      <c r="C162" s="9" t="n">
        <v>2798</v>
      </c>
      <c r="D162" s="9" t="n">
        <v>0</v>
      </c>
      <c r="E162" s="9" t="n">
        <v>8.2</v>
      </c>
    </row>
    <row r="163" customFormat="false" ht="15" hidden="false" customHeight="true" outlineLevel="0" collapsed="false">
      <c r="A163" s="6" t="s">
        <v>88</v>
      </c>
      <c r="B163" s="6" t="s">
        <v>6</v>
      </c>
      <c r="C163" s="7" t="n">
        <v>2183</v>
      </c>
      <c r="D163" s="7" t="n">
        <v>36</v>
      </c>
      <c r="E163" s="7" t="n">
        <v>8.2</v>
      </c>
    </row>
    <row r="164" customFormat="false" ht="15" hidden="false" customHeight="true" outlineLevel="0" collapsed="false">
      <c r="A164" s="8" t="s">
        <v>88</v>
      </c>
      <c r="B164" s="8" t="s">
        <v>4</v>
      </c>
      <c r="C164" s="9" t="n">
        <v>2297</v>
      </c>
      <c r="D164" s="9" t="n">
        <v>33</v>
      </c>
      <c r="E164" s="9" t="n">
        <v>8.2</v>
      </c>
    </row>
    <row r="165" customFormat="false" ht="15" hidden="false" customHeight="true" outlineLevel="0" collapsed="false">
      <c r="A165" s="6" t="s">
        <v>88</v>
      </c>
      <c r="B165" s="6" t="s">
        <v>5</v>
      </c>
      <c r="C165" s="7"/>
      <c r="D165" s="7" t="n">
        <v>8.2</v>
      </c>
      <c r="E165" s="7" t="n">
        <v>8.2</v>
      </c>
    </row>
    <row r="166" customFormat="false" ht="15" hidden="false" customHeight="true" outlineLevel="0" collapsed="false">
      <c r="A166" s="8" t="s">
        <v>89</v>
      </c>
      <c r="B166" s="8" t="s">
        <v>7</v>
      </c>
      <c r="C166" s="9" t="n">
        <v>2757</v>
      </c>
      <c r="D166" s="9" t="n">
        <v>2</v>
      </c>
      <c r="E166" s="9" t="n">
        <v>8.2</v>
      </c>
    </row>
    <row r="167" customFormat="false" ht="15" hidden="false" customHeight="true" outlineLevel="0" collapsed="false">
      <c r="A167" s="6" t="s">
        <v>89</v>
      </c>
      <c r="B167" s="6" t="s">
        <v>8</v>
      </c>
      <c r="C167" s="7" t="n">
        <v>2800</v>
      </c>
      <c r="D167" s="7" t="n">
        <v>0</v>
      </c>
      <c r="E167" s="7" t="n">
        <v>8.2</v>
      </c>
    </row>
    <row r="168" customFormat="false" ht="15" hidden="false" customHeight="true" outlineLevel="0" collapsed="false">
      <c r="A168" s="8" t="s">
        <v>89</v>
      </c>
      <c r="B168" s="8" t="s">
        <v>9</v>
      </c>
      <c r="C168" s="9" t="n">
        <v>2800</v>
      </c>
      <c r="D168" s="9" t="n">
        <v>0</v>
      </c>
      <c r="E168" s="9" t="n">
        <v>8.2</v>
      </c>
    </row>
    <row r="169" customFormat="false" ht="15" hidden="false" customHeight="true" outlineLevel="0" collapsed="false">
      <c r="A169" s="6" t="s">
        <v>90</v>
      </c>
      <c r="B169" s="6" t="s">
        <v>5</v>
      </c>
      <c r="C169" s="7"/>
      <c r="D169" s="7" t="n">
        <v>8.2</v>
      </c>
      <c r="E169" s="7" t="n">
        <v>8.2</v>
      </c>
    </row>
    <row r="170" customFormat="false" ht="15" hidden="false" customHeight="true" outlineLevel="0" collapsed="false">
      <c r="A170" s="8" t="s">
        <v>90</v>
      </c>
      <c r="B170" s="8" t="s">
        <v>6</v>
      </c>
      <c r="C170" s="9" t="n">
        <v>2189</v>
      </c>
      <c r="D170" s="9" t="n">
        <v>35</v>
      </c>
      <c r="E170" s="9" t="n">
        <v>8.2</v>
      </c>
    </row>
    <row r="171" customFormat="false" ht="15" hidden="false" customHeight="true" outlineLevel="0" collapsed="false">
      <c r="A171" s="6" t="s">
        <v>90</v>
      </c>
      <c r="B171" s="6" t="s">
        <v>4</v>
      </c>
      <c r="C171" s="7" t="n">
        <v>2197</v>
      </c>
      <c r="D171" s="7" t="n">
        <v>40</v>
      </c>
      <c r="E171" s="7" t="n">
        <v>8.2</v>
      </c>
    </row>
    <row r="172" customFormat="false" ht="15" hidden="false" customHeight="true" outlineLevel="0" collapsed="false">
      <c r="A172" s="8" t="s">
        <v>91</v>
      </c>
      <c r="B172" s="8" t="s">
        <v>9</v>
      </c>
      <c r="C172" s="9" t="n">
        <v>2768</v>
      </c>
      <c r="D172" s="9" t="n">
        <v>0</v>
      </c>
      <c r="E172" s="9" t="n">
        <v>8.2</v>
      </c>
    </row>
    <row r="173" customFormat="false" ht="15" hidden="false" customHeight="true" outlineLevel="0" collapsed="false">
      <c r="A173" s="6" t="s">
        <v>91</v>
      </c>
      <c r="B173" s="6" t="s">
        <v>7</v>
      </c>
      <c r="C173" s="7" t="n">
        <v>2763</v>
      </c>
      <c r="D173" s="7" t="n">
        <v>2</v>
      </c>
      <c r="E173" s="7" t="n">
        <v>8.2</v>
      </c>
    </row>
    <row r="174" customFormat="false" ht="15" hidden="false" customHeight="true" outlineLevel="0" collapsed="false">
      <c r="A174" s="8" t="s">
        <v>91</v>
      </c>
      <c r="B174" s="8" t="s">
        <v>8</v>
      </c>
      <c r="C174" s="9" t="n">
        <v>2804</v>
      </c>
      <c r="D174" s="9" t="n">
        <v>0</v>
      </c>
      <c r="E174" s="9" t="n">
        <v>8.2</v>
      </c>
    </row>
    <row r="175" customFormat="false" ht="15" hidden="false" customHeight="true" outlineLevel="0" collapsed="false">
      <c r="A175" s="6" t="s">
        <v>92</v>
      </c>
      <c r="B175" s="6" t="s">
        <v>5</v>
      </c>
      <c r="C175" s="7"/>
      <c r="D175" s="7" t="n">
        <v>8.2</v>
      </c>
      <c r="E175" s="7" t="n">
        <v>8.2</v>
      </c>
    </row>
    <row r="176" customFormat="false" ht="15" hidden="false" customHeight="true" outlineLevel="0" collapsed="false">
      <c r="A176" s="8" t="s">
        <v>93</v>
      </c>
      <c r="B176" s="8" t="s">
        <v>6</v>
      </c>
      <c r="C176" s="9" t="n">
        <v>2177</v>
      </c>
      <c r="D176" s="9" t="n">
        <v>36</v>
      </c>
      <c r="E176" s="9" t="n">
        <v>8.2</v>
      </c>
    </row>
    <row r="177" customFormat="false" ht="15" hidden="false" customHeight="true" outlineLevel="0" collapsed="false">
      <c r="A177" s="6" t="s">
        <v>93</v>
      </c>
      <c r="B177" s="6" t="s">
        <v>7</v>
      </c>
      <c r="C177" s="7" t="n">
        <v>2763</v>
      </c>
      <c r="D177" s="7" t="n">
        <v>2</v>
      </c>
      <c r="E177" s="7" t="n">
        <v>8.2</v>
      </c>
    </row>
    <row r="178" customFormat="false" ht="15" hidden="false" customHeight="true" outlineLevel="0" collapsed="false">
      <c r="A178" s="8" t="s">
        <v>93</v>
      </c>
      <c r="B178" s="8" t="s">
        <v>4</v>
      </c>
      <c r="C178" s="9" t="n">
        <v>2176</v>
      </c>
      <c r="D178" s="9" t="n">
        <v>41</v>
      </c>
      <c r="E178" s="9" t="n">
        <v>8.2</v>
      </c>
    </row>
    <row r="179" customFormat="false" ht="15" hidden="false" customHeight="true" outlineLevel="0" collapsed="false">
      <c r="A179" s="6" t="s">
        <v>94</v>
      </c>
      <c r="B179" s="6" t="s">
        <v>8</v>
      </c>
      <c r="C179" s="7" t="n">
        <v>2802</v>
      </c>
      <c r="D179" s="7" t="n">
        <v>0</v>
      </c>
      <c r="E179" s="7" t="n">
        <v>8.2</v>
      </c>
    </row>
    <row r="180" customFormat="false" ht="15" hidden="false" customHeight="true" outlineLevel="0" collapsed="false">
      <c r="A180" s="8" t="s">
        <v>94</v>
      </c>
      <c r="B180" s="8" t="s">
        <v>9</v>
      </c>
      <c r="C180" s="9" t="n">
        <v>2780</v>
      </c>
      <c r="D180" s="9" t="n">
        <v>0</v>
      </c>
      <c r="E180" s="9" t="n">
        <v>8.2</v>
      </c>
    </row>
    <row r="181" customFormat="false" ht="15" hidden="false" customHeight="true" outlineLevel="0" collapsed="false">
      <c r="A181" s="6" t="s">
        <v>95</v>
      </c>
      <c r="B181" s="6" t="s">
        <v>4</v>
      </c>
      <c r="C181" s="7" t="n">
        <v>2172</v>
      </c>
      <c r="D181" s="7" t="n">
        <v>42</v>
      </c>
      <c r="E181" s="7" t="n">
        <v>8.2</v>
      </c>
    </row>
    <row r="182" customFormat="false" ht="15" hidden="false" customHeight="true" outlineLevel="0" collapsed="false">
      <c r="A182" s="8" t="s">
        <v>95</v>
      </c>
      <c r="B182" s="8" t="s">
        <v>5</v>
      </c>
      <c r="C182" s="9"/>
      <c r="D182" s="9" t="n">
        <v>8.2</v>
      </c>
      <c r="E182" s="9" t="n">
        <v>8.2</v>
      </c>
    </row>
    <row r="183" customFormat="false" ht="15" hidden="false" customHeight="true" outlineLevel="0" collapsed="false">
      <c r="A183" s="6" t="s">
        <v>96</v>
      </c>
      <c r="B183" s="6" t="s">
        <v>8</v>
      </c>
      <c r="C183" s="7" t="n">
        <v>2803</v>
      </c>
      <c r="D183" s="7" t="n">
        <v>0</v>
      </c>
      <c r="E183" s="7" t="n">
        <v>8.2</v>
      </c>
    </row>
    <row r="184" customFormat="false" ht="15" hidden="false" customHeight="true" outlineLevel="0" collapsed="false">
      <c r="A184" s="8" t="s">
        <v>96</v>
      </c>
      <c r="B184" s="8" t="s">
        <v>9</v>
      </c>
      <c r="C184" s="9" t="n">
        <v>2794</v>
      </c>
      <c r="D184" s="9" t="n">
        <v>0</v>
      </c>
      <c r="E184" s="9" t="n">
        <v>8.2</v>
      </c>
    </row>
    <row r="185" customFormat="false" ht="15" hidden="false" customHeight="true" outlineLevel="0" collapsed="false">
      <c r="A185" s="6" t="s">
        <v>96</v>
      </c>
      <c r="B185" s="6" t="s">
        <v>7</v>
      </c>
      <c r="C185" s="7" t="n">
        <v>2769</v>
      </c>
      <c r="D185" s="7" t="n">
        <v>1</v>
      </c>
      <c r="E185" s="7" t="n">
        <v>8.2</v>
      </c>
    </row>
    <row r="186" customFormat="false" ht="15" hidden="false" customHeight="true" outlineLevel="0" collapsed="false">
      <c r="A186" s="8" t="s">
        <v>96</v>
      </c>
      <c r="B186" s="8" t="s">
        <v>6</v>
      </c>
      <c r="C186" s="9" t="n">
        <v>2177</v>
      </c>
      <c r="D186" s="9" t="n">
        <v>36</v>
      </c>
      <c r="E186" s="9" t="n">
        <v>8.2</v>
      </c>
    </row>
    <row r="187" customFormat="false" ht="15" hidden="false" customHeight="true" outlineLevel="0" collapsed="false">
      <c r="A187" s="6" t="s">
        <v>97</v>
      </c>
      <c r="B187" s="6" t="s">
        <v>4</v>
      </c>
      <c r="C187" s="7" t="n">
        <v>2188</v>
      </c>
      <c r="D187" s="7" t="n">
        <v>41</v>
      </c>
      <c r="E187" s="7" t="n">
        <v>8.2</v>
      </c>
    </row>
    <row r="188" customFormat="false" ht="15" hidden="false" customHeight="true" outlineLevel="0" collapsed="false">
      <c r="A188" s="8" t="s">
        <v>97</v>
      </c>
      <c r="B188" s="8" t="s">
        <v>5</v>
      </c>
      <c r="C188" s="9"/>
      <c r="D188" s="9" t="n">
        <v>8.2</v>
      </c>
      <c r="E188" s="9" t="n">
        <v>8.2</v>
      </c>
    </row>
    <row r="189" customFormat="false" ht="15" hidden="false" customHeight="true" outlineLevel="0" collapsed="false">
      <c r="A189" s="6" t="s">
        <v>98</v>
      </c>
      <c r="B189" s="6" t="s">
        <v>6</v>
      </c>
      <c r="C189" s="7" t="n">
        <v>2181</v>
      </c>
      <c r="D189" s="7" t="n">
        <v>36</v>
      </c>
      <c r="E189" s="7" t="n">
        <v>8.2</v>
      </c>
    </row>
    <row r="190" customFormat="false" ht="15" hidden="false" customHeight="true" outlineLevel="0" collapsed="false">
      <c r="A190" s="8" t="s">
        <v>98</v>
      </c>
      <c r="B190" s="8" t="s">
        <v>7</v>
      </c>
      <c r="C190" s="9" t="n">
        <v>2775</v>
      </c>
      <c r="D190" s="9" t="n">
        <v>1</v>
      </c>
      <c r="E190" s="9" t="n">
        <v>8.2</v>
      </c>
    </row>
    <row r="191" customFormat="false" ht="15" hidden="false" customHeight="true" outlineLevel="0" collapsed="false">
      <c r="A191" s="6" t="s">
        <v>98</v>
      </c>
      <c r="B191" s="6" t="s">
        <v>8</v>
      </c>
      <c r="C191" s="7" t="n">
        <v>2812</v>
      </c>
      <c r="D191" s="7" t="n">
        <v>0</v>
      </c>
      <c r="E191" s="7" t="n">
        <v>8.2</v>
      </c>
    </row>
    <row r="192" customFormat="false" ht="15" hidden="false" customHeight="true" outlineLevel="0" collapsed="false">
      <c r="A192" s="8" t="s">
        <v>98</v>
      </c>
      <c r="B192" s="8" t="s">
        <v>9</v>
      </c>
      <c r="C192" s="9" t="n">
        <v>2799</v>
      </c>
      <c r="D192" s="9" t="n">
        <v>0</v>
      </c>
      <c r="E192" s="9" t="n">
        <v>8.2</v>
      </c>
    </row>
    <row r="193" customFormat="false" ht="15" hidden="false" customHeight="true" outlineLevel="0" collapsed="false">
      <c r="A193" s="6" t="s">
        <v>99</v>
      </c>
      <c r="B193" s="6" t="s">
        <v>5</v>
      </c>
      <c r="C193" s="7"/>
      <c r="D193" s="7" t="n">
        <v>8.2</v>
      </c>
      <c r="E193" s="7" t="n">
        <v>8.2</v>
      </c>
    </row>
    <row r="194" customFormat="false" ht="15" hidden="false" customHeight="true" outlineLevel="0" collapsed="false">
      <c r="A194" s="8" t="s">
        <v>100</v>
      </c>
      <c r="B194" s="8" t="s">
        <v>7</v>
      </c>
      <c r="C194" s="9" t="n">
        <v>2775</v>
      </c>
      <c r="D194" s="9" t="n">
        <v>1</v>
      </c>
      <c r="E194" s="9" t="n">
        <v>8.2</v>
      </c>
    </row>
    <row r="195" customFormat="false" ht="15" hidden="false" customHeight="true" outlineLevel="0" collapsed="false">
      <c r="A195" s="6" t="s">
        <v>100</v>
      </c>
      <c r="B195" s="6" t="s">
        <v>4</v>
      </c>
      <c r="C195" s="7" t="n">
        <v>2192</v>
      </c>
      <c r="D195" s="7" t="n">
        <v>40</v>
      </c>
      <c r="E195" s="7" t="n">
        <v>8.2</v>
      </c>
    </row>
    <row r="196" customFormat="false" ht="15" hidden="false" customHeight="true" outlineLevel="0" collapsed="false">
      <c r="A196" s="8" t="s">
        <v>100</v>
      </c>
      <c r="B196" s="8" t="s">
        <v>6</v>
      </c>
      <c r="C196" s="9" t="n">
        <v>2181</v>
      </c>
      <c r="D196" s="9" t="n">
        <v>36</v>
      </c>
      <c r="E196" s="9" t="n">
        <v>8.2</v>
      </c>
    </row>
    <row r="197" customFormat="false" ht="15" hidden="false" customHeight="true" outlineLevel="0" collapsed="false">
      <c r="A197" s="6" t="s">
        <v>100</v>
      </c>
      <c r="B197" s="6" t="s">
        <v>8</v>
      </c>
      <c r="C197" s="7" t="n">
        <v>2811</v>
      </c>
      <c r="D197" s="7" t="n">
        <v>0</v>
      </c>
      <c r="E197" s="7" t="n">
        <v>8.2</v>
      </c>
    </row>
    <row r="198" customFormat="false" ht="15" hidden="false" customHeight="true" outlineLevel="0" collapsed="false">
      <c r="A198" s="8" t="s">
        <v>101</v>
      </c>
      <c r="B198" s="8" t="s">
        <v>9</v>
      </c>
      <c r="C198" s="9" t="n">
        <v>2799</v>
      </c>
      <c r="D198" s="9" t="n">
        <v>0</v>
      </c>
      <c r="E198" s="9" t="n">
        <v>8.2</v>
      </c>
    </row>
    <row r="199" customFormat="false" ht="15" hidden="false" customHeight="true" outlineLevel="0" collapsed="false">
      <c r="A199" s="6" t="s">
        <v>102</v>
      </c>
      <c r="B199" s="6" t="s">
        <v>5</v>
      </c>
      <c r="C199" s="7"/>
      <c r="D199" s="7" t="n">
        <v>8.2</v>
      </c>
      <c r="E199" s="7" t="n">
        <v>8.2</v>
      </c>
    </row>
    <row r="200" customFormat="false" ht="15" hidden="false" customHeight="true" outlineLevel="0" collapsed="false">
      <c r="A200" s="8" t="s">
        <v>102</v>
      </c>
      <c r="B200" s="8" t="s">
        <v>4</v>
      </c>
      <c r="C200" s="9" t="n">
        <v>2213</v>
      </c>
      <c r="D200" s="9" t="n">
        <v>39</v>
      </c>
      <c r="E200" s="9" t="n">
        <v>8.2</v>
      </c>
    </row>
    <row r="201" customFormat="false" ht="15" hidden="false" customHeight="true" outlineLevel="0" collapsed="false">
      <c r="A201" s="6" t="s">
        <v>103</v>
      </c>
      <c r="B201" s="6" t="s">
        <v>6</v>
      </c>
      <c r="C201" s="7" t="n">
        <v>2223</v>
      </c>
      <c r="D201" s="7" t="n">
        <v>33</v>
      </c>
      <c r="E201" s="7" t="n">
        <v>8.2</v>
      </c>
    </row>
    <row r="202" customFormat="false" ht="15" hidden="false" customHeight="true" outlineLevel="0" collapsed="false">
      <c r="A202" s="8" t="s">
        <v>103</v>
      </c>
      <c r="B202" s="8" t="s">
        <v>7</v>
      </c>
      <c r="C202" s="9" t="n">
        <v>2777</v>
      </c>
      <c r="D202" s="9" t="n">
        <v>0</v>
      </c>
      <c r="E202" s="9" t="n">
        <v>8.2</v>
      </c>
    </row>
    <row r="203" customFormat="false" ht="15" hidden="false" customHeight="true" outlineLevel="0" collapsed="false">
      <c r="A203" s="6" t="s">
        <v>103</v>
      </c>
      <c r="B203" s="6" t="s">
        <v>8</v>
      </c>
      <c r="C203" s="7" t="n">
        <v>2819</v>
      </c>
      <c r="D203" s="7" t="n">
        <v>0</v>
      </c>
      <c r="E203" s="7" t="n">
        <v>8.2</v>
      </c>
    </row>
    <row r="204" customFormat="false" ht="15" hidden="false" customHeight="true" outlineLevel="0" collapsed="false">
      <c r="A204" s="8" t="s">
        <v>104</v>
      </c>
      <c r="B204" s="8" t="s">
        <v>9</v>
      </c>
      <c r="C204" s="9" t="n">
        <v>2801</v>
      </c>
      <c r="D204" s="9" t="n">
        <v>0</v>
      </c>
      <c r="E204" s="9" t="n">
        <v>8.2</v>
      </c>
    </row>
    <row r="205" customFormat="false" ht="15" hidden="false" customHeight="true" outlineLevel="0" collapsed="false">
      <c r="A205" s="6" t="s">
        <v>105</v>
      </c>
      <c r="B205" s="6" t="s">
        <v>5</v>
      </c>
      <c r="C205" s="7"/>
      <c r="D205" s="7" t="n">
        <v>8.2</v>
      </c>
      <c r="E205" s="7" t="n">
        <v>8.2</v>
      </c>
    </row>
    <row r="206" customFormat="false" ht="15" hidden="false" customHeight="true" outlineLevel="0" collapsed="false">
      <c r="A206" s="8" t="s">
        <v>106</v>
      </c>
      <c r="B206" s="8" t="s">
        <v>6</v>
      </c>
      <c r="C206" s="9" t="n">
        <v>2160</v>
      </c>
      <c r="D206" s="9" t="n">
        <v>37</v>
      </c>
      <c r="E206" s="9" t="n">
        <v>8.2</v>
      </c>
    </row>
    <row r="207" customFormat="false" ht="15" hidden="false" customHeight="true" outlineLevel="0" collapsed="false">
      <c r="A207" s="6" t="s">
        <v>106</v>
      </c>
      <c r="B207" s="6" t="s">
        <v>4</v>
      </c>
      <c r="C207" s="7" t="n">
        <v>2192</v>
      </c>
      <c r="D207" s="7" t="n">
        <v>40</v>
      </c>
      <c r="E207" s="7" t="n">
        <v>8.2</v>
      </c>
    </row>
    <row r="208" customFormat="false" ht="15" hidden="false" customHeight="true" outlineLevel="0" collapsed="false">
      <c r="A208" s="8" t="s">
        <v>107</v>
      </c>
      <c r="B208" s="8" t="s">
        <v>7</v>
      </c>
      <c r="C208" s="9" t="n">
        <v>2799</v>
      </c>
      <c r="D208" s="9" t="n">
        <v>0</v>
      </c>
      <c r="E208" s="9" t="n">
        <v>8.2</v>
      </c>
    </row>
    <row r="209" customFormat="false" ht="15" hidden="false" customHeight="true" outlineLevel="0" collapsed="false">
      <c r="A209" s="6" t="s">
        <v>107</v>
      </c>
      <c r="B209" s="6" t="s">
        <v>8</v>
      </c>
      <c r="C209" s="7" t="n">
        <v>2816</v>
      </c>
      <c r="D209" s="7" t="n">
        <v>0</v>
      </c>
      <c r="E209" s="7" t="n">
        <v>8.2</v>
      </c>
    </row>
    <row r="210" customFormat="false" ht="15" hidden="false" customHeight="true" outlineLevel="0" collapsed="false">
      <c r="A210" s="8" t="s">
        <v>107</v>
      </c>
      <c r="B210" s="8" t="s">
        <v>9</v>
      </c>
      <c r="C210" s="9" t="n">
        <v>2804</v>
      </c>
      <c r="D210" s="9" t="n">
        <v>0</v>
      </c>
      <c r="E210" s="9" t="n">
        <v>8.2</v>
      </c>
    </row>
    <row r="211" customFormat="false" ht="15" hidden="false" customHeight="true" outlineLevel="0" collapsed="false">
      <c r="A211" s="6" t="s">
        <v>108</v>
      </c>
      <c r="B211" s="6" t="s">
        <v>5</v>
      </c>
      <c r="C211" s="7"/>
      <c r="D211" s="7" t="n">
        <v>8.2</v>
      </c>
      <c r="E211" s="7" t="n">
        <v>8.2</v>
      </c>
    </row>
    <row r="212" customFormat="false" ht="15" hidden="false" customHeight="true" outlineLevel="0" collapsed="false">
      <c r="A212" s="8" t="s">
        <v>108</v>
      </c>
      <c r="B212" s="8" t="s">
        <v>4</v>
      </c>
      <c r="C212" s="9" t="n">
        <v>2194</v>
      </c>
      <c r="D212" s="9" t="n">
        <v>40</v>
      </c>
      <c r="E212" s="9" t="n">
        <v>8.2</v>
      </c>
    </row>
    <row r="213" customFormat="false" ht="15" hidden="false" customHeight="true" outlineLevel="0" collapsed="false">
      <c r="A213" s="6" t="s">
        <v>108</v>
      </c>
      <c r="B213" s="6" t="s">
        <v>7</v>
      </c>
      <c r="C213" s="7" t="n">
        <v>2771</v>
      </c>
      <c r="D213" s="7" t="n">
        <v>1</v>
      </c>
      <c r="E213" s="7" t="n">
        <v>8.2</v>
      </c>
    </row>
    <row r="214" customFormat="false" ht="15" hidden="false" customHeight="true" outlineLevel="0" collapsed="false">
      <c r="A214" s="8" t="s">
        <v>108</v>
      </c>
      <c r="B214" s="8" t="s">
        <v>6</v>
      </c>
      <c r="C214" s="9" t="n">
        <v>2265</v>
      </c>
      <c r="D214" s="9" t="n">
        <v>30</v>
      </c>
      <c r="E214" s="9" t="n">
        <v>8.2</v>
      </c>
    </row>
    <row r="215" customFormat="false" ht="15" hidden="false" customHeight="true" outlineLevel="0" collapsed="false">
      <c r="A215" s="6" t="s">
        <v>109</v>
      </c>
      <c r="B215" s="6" t="s">
        <v>8</v>
      </c>
      <c r="C215" s="7" t="n">
        <v>2822</v>
      </c>
      <c r="D215" s="7" t="n">
        <v>0</v>
      </c>
      <c r="E215" s="7" t="n">
        <v>8.2</v>
      </c>
    </row>
    <row r="216" customFormat="false" ht="15" hidden="false" customHeight="true" outlineLevel="0" collapsed="false">
      <c r="A216" s="8" t="s">
        <v>109</v>
      </c>
      <c r="B216" s="8" t="s">
        <v>9</v>
      </c>
      <c r="C216" s="9" t="n">
        <v>2802</v>
      </c>
      <c r="D216" s="9" t="n">
        <v>0</v>
      </c>
      <c r="E216" s="9" t="n">
        <v>8.2</v>
      </c>
    </row>
    <row r="217" customFormat="false" ht="15" hidden="false" customHeight="true" outlineLevel="0" collapsed="false">
      <c r="A217" s="6" t="s">
        <v>110</v>
      </c>
      <c r="B217" s="6" t="s">
        <v>6</v>
      </c>
      <c r="C217" s="7" t="n">
        <v>2178</v>
      </c>
      <c r="D217" s="7" t="n">
        <v>36</v>
      </c>
      <c r="E217" s="7" t="n">
        <v>8.4</v>
      </c>
    </row>
    <row r="218" customFormat="false" ht="15" hidden="false" customHeight="true" outlineLevel="0" collapsed="false">
      <c r="A218" s="8" t="s">
        <v>110</v>
      </c>
      <c r="B218" s="8" t="s">
        <v>7</v>
      </c>
      <c r="C218" s="9" t="n">
        <v>2784</v>
      </c>
      <c r="D218" s="9" t="n">
        <v>0</v>
      </c>
      <c r="E218" s="9" t="n">
        <v>8.4</v>
      </c>
    </row>
    <row r="219" customFormat="false" ht="15" hidden="false" customHeight="true" outlineLevel="0" collapsed="false">
      <c r="A219" s="6" t="s">
        <v>110</v>
      </c>
      <c r="B219" s="6" t="s">
        <v>4</v>
      </c>
      <c r="C219" s="7" t="n">
        <v>2207</v>
      </c>
      <c r="D219" s="7" t="n">
        <v>39</v>
      </c>
      <c r="E219" s="7" t="n">
        <v>8.4</v>
      </c>
    </row>
    <row r="220" customFormat="false" ht="15" hidden="false" customHeight="true" outlineLevel="0" collapsed="false">
      <c r="A220" s="8" t="s">
        <v>110</v>
      </c>
      <c r="B220" s="8" t="s">
        <v>5</v>
      </c>
      <c r="C220" s="9"/>
      <c r="D220" s="9" t="n">
        <v>8.4</v>
      </c>
      <c r="E220" s="9" t="n">
        <v>8.4</v>
      </c>
    </row>
    <row r="221" customFormat="false" ht="15" hidden="false" customHeight="true" outlineLevel="0" collapsed="false">
      <c r="A221" s="6" t="s">
        <v>111</v>
      </c>
      <c r="B221" s="6" t="s">
        <v>8</v>
      </c>
      <c r="C221" s="7" t="n">
        <v>2823</v>
      </c>
      <c r="D221" s="7" t="n">
        <v>0</v>
      </c>
      <c r="E221" s="7" t="n">
        <v>8.4</v>
      </c>
    </row>
    <row r="222" customFormat="false" ht="15" hidden="false" customHeight="true" outlineLevel="0" collapsed="false">
      <c r="A222" s="8" t="s">
        <v>111</v>
      </c>
      <c r="B222" s="8" t="s">
        <v>9</v>
      </c>
      <c r="C222" s="9" t="n">
        <v>2797</v>
      </c>
      <c r="D222" s="9" t="n">
        <v>0</v>
      </c>
      <c r="E222" s="9" t="n">
        <v>8.4</v>
      </c>
    </row>
    <row r="223" customFormat="false" ht="15" hidden="false" customHeight="true" outlineLevel="0" collapsed="false">
      <c r="A223" s="6" t="s">
        <v>112</v>
      </c>
      <c r="B223" s="6" t="s">
        <v>4</v>
      </c>
      <c r="C223" s="7" t="n">
        <v>2193</v>
      </c>
      <c r="D223" s="7" t="n">
        <v>40</v>
      </c>
      <c r="E223" s="7" t="n">
        <v>8.2</v>
      </c>
    </row>
    <row r="224" customFormat="false" ht="15" hidden="false" customHeight="true" outlineLevel="0" collapsed="false">
      <c r="A224" s="8" t="s">
        <v>112</v>
      </c>
      <c r="B224" s="8" t="s">
        <v>5</v>
      </c>
      <c r="C224" s="9"/>
      <c r="D224" s="9" t="n">
        <v>8.2</v>
      </c>
      <c r="E224" s="9" t="n">
        <v>8.2</v>
      </c>
    </row>
    <row r="225" customFormat="false" ht="15" hidden="false" customHeight="true" outlineLevel="0" collapsed="false">
      <c r="A225" s="6" t="s">
        <v>112</v>
      </c>
      <c r="B225" s="6" t="s">
        <v>6</v>
      </c>
      <c r="C225" s="7" t="n">
        <v>2178</v>
      </c>
      <c r="D225" s="7" t="n">
        <v>36</v>
      </c>
      <c r="E225" s="7" t="n">
        <v>8.2</v>
      </c>
    </row>
    <row r="226" customFormat="false" ht="15" hidden="false" customHeight="true" outlineLevel="0" collapsed="false">
      <c r="A226" s="8" t="s">
        <v>113</v>
      </c>
      <c r="B226" s="8" t="s">
        <v>7</v>
      </c>
      <c r="C226" s="9" t="n">
        <v>2783</v>
      </c>
      <c r="D226" s="9" t="n">
        <v>0</v>
      </c>
      <c r="E226" s="9" t="n">
        <v>8.2</v>
      </c>
    </row>
    <row r="227" customFormat="false" ht="15" hidden="false" customHeight="true" outlineLevel="0" collapsed="false">
      <c r="A227" s="6" t="s">
        <v>113</v>
      </c>
      <c r="B227" s="6" t="s">
        <v>8</v>
      </c>
      <c r="C227" s="7" t="n">
        <v>2827</v>
      </c>
      <c r="D227" s="7" t="n">
        <v>0</v>
      </c>
      <c r="E227" s="7" t="n">
        <v>8.2</v>
      </c>
    </row>
    <row r="228" customFormat="false" ht="15" hidden="false" customHeight="true" outlineLevel="0" collapsed="false">
      <c r="A228" s="8" t="s">
        <v>113</v>
      </c>
      <c r="B228" s="8" t="s">
        <v>9</v>
      </c>
      <c r="C228" s="9" t="n">
        <v>2812</v>
      </c>
      <c r="D228" s="9" t="n">
        <v>0</v>
      </c>
      <c r="E228" s="9" t="n">
        <v>8.2</v>
      </c>
    </row>
    <row r="229" customFormat="false" ht="15" hidden="false" customHeight="true" outlineLevel="0" collapsed="false">
      <c r="A229" s="6" t="s">
        <v>114</v>
      </c>
      <c r="B229" s="6" t="s">
        <v>6</v>
      </c>
      <c r="C229" s="7" t="n">
        <v>2180</v>
      </c>
      <c r="D229" s="7" t="n">
        <v>36</v>
      </c>
      <c r="E229" s="7" t="n">
        <v>8.2</v>
      </c>
    </row>
    <row r="230" customFormat="false" ht="15" hidden="false" customHeight="true" outlineLevel="0" collapsed="false">
      <c r="A230" s="8" t="s">
        <v>114</v>
      </c>
      <c r="B230" s="8" t="s">
        <v>4</v>
      </c>
      <c r="C230" s="9" t="n">
        <v>2167</v>
      </c>
      <c r="D230" s="9" t="n">
        <v>42</v>
      </c>
      <c r="E230" s="9" t="n">
        <v>8.2</v>
      </c>
    </row>
    <row r="231" customFormat="false" ht="15" hidden="false" customHeight="true" outlineLevel="0" collapsed="false">
      <c r="A231" s="6" t="s">
        <v>114</v>
      </c>
      <c r="B231" s="6" t="s">
        <v>5</v>
      </c>
      <c r="C231" s="7"/>
      <c r="D231" s="7" t="n">
        <v>8.2</v>
      </c>
      <c r="E231" s="7" t="n">
        <v>8.2</v>
      </c>
    </row>
    <row r="232" customFormat="false" ht="15" hidden="false" customHeight="true" outlineLevel="0" collapsed="false">
      <c r="A232" s="8" t="s">
        <v>115</v>
      </c>
      <c r="B232" s="8" t="s">
        <v>7</v>
      </c>
      <c r="C232" s="9" t="n">
        <v>2785</v>
      </c>
      <c r="D232" s="9" t="n">
        <v>0</v>
      </c>
      <c r="E232" s="9" t="n">
        <v>8.2</v>
      </c>
    </row>
    <row r="233" customFormat="false" ht="15" hidden="false" customHeight="true" outlineLevel="0" collapsed="false">
      <c r="A233" s="6" t="s">
        <v>115</v>
      </c>
      <c r="B233" s="6" t="s">
        <v>8</v>
      </c>
      <c r="C233" s="7" t="n">
        <v>2826</v>
      </c>
      <c r="D233" s="7" t="n">
        <v>0</v>
      </c>
      <c r="E233" s="7" t="n">
        <v>8.2</v>
      </c>
    </row>
    <row r="234" customFormat="false" ht="15" hidden="false" customHeight="true" outlineLevel="0" collapsed="false">
      <c r="A234" s="8" t="s">
        <v>116</v>
      </c>
      <c r="B234" s="8" t="s">
        <v>9</v>
      </c>
      <c r="C234" s="9" t="n">
        <v>2811</v>
      </c>
      <c r="D234" s="9" t="n">
        <v>0</v>
      </c>
      <c r="E234" s="9" t="n">
        <v>8.2</v>
      </c>
    </row>
    <row r="235" customFormat="false" ht="15" hidden="false" customHeight="true" outlineLevel="0" collapsed="false">
      <c r="A235" s="6" t="s">
        <v>117</v>
      </c>
      <c r="B235" s="6" t="s">
        <v>4</v>
      </c>
      <c r="C235" s="7" t="n">
        <v>2191</v>
      </c>
      <c r="D235" s="7" t="n">
        <v>40</v>
      </c>
      <c r="E235" s="7" t="n">
        <v>8.2</v>
      </c>
    </row>
    <row r="236" customFormat="false" ht="15" hidden="false" customHeight="true" outlineLevel="0" collapsed="false">
      <c r="A236" s="8" t="s">
        <v>117</v>
      </c>
      <c r="B236" s="8" t="s">
        <v>5</v>
      </c>
      <c r="C236" s="9"/>
      <c r="D236" s="9" t="n">
        <v>8.2</v>
      </c>
      <c r="E236" s="9" t="n">
        <v>8.2</v>
      </c>
    </row>
    <row r="237" customFormat="false" ht="15" hidden="false" customHeight="true" outlineLevel="0" collapsed="false">
      <c r="A237" s="6" t="s">
        <v>118</v>
      </c>
      <c r="B237" s="6" t="s">
        <v>8</v>
      </c>
      <c r="C237" s="7" t="n">
        <v>2832</v>
      </c>
      <c r="D237" s="7" t="n">
        <v>0</v>
      </c>
      <c r="E237" s="7" t="n">
        <v>8.2</v>
      </c>
    </row>
    <row r="238" customFormat="false" ht="15" hidden="false" customHeight="true" outlineLevel="0" collapsed="false">
      <c r="A238" s="8" t="s">
        <v>118</v>
      </c>
      <c r="B238" s="8" t="s">
        <v>6</v>
      </c>
      <c r="C238" s="9" t="n">
        <v>2133</v>
      </c>
      <c r="D238" s="9" t="n">
        <v>39</v>
      </c>
      <c r="E238" s="9" t="n">
        <v>8.2</v>
      </c>
    </row>
    <row r="239" customFormat="false" ht="15" hidden="false" customHeight="true" outlineLevel="0" collapsed="false">
      <c r="A239" s="6" t="s">
        <v>118</v>
      </c>
      <c r="B239" s="6" t="s">
        <v>7</v>
      </c>
      <c r="C239" s="7" t="n">
        <v>2784</v>
      </c>
      <c r="D239" s="7" t="n">
        <v>0</v>
      </c>
      <c r="E239" s="7" t="n">
        <v>8.2</v>
      </c>
    </row>
    <row r="240" customFormat="false" ht="15" hidden="false" customHeight="true" outlineLevel="0" collapsed="false">
      <c r="A240" s="8" t="s">
        <v>119</v>
      </c>
      <c r="B240" s="8" t="s">
        <v>9</v>
      </c>
      <c r="C240" s="9" t="n">
        <v>2813</v>
      </c>
      <c r="D240" s="9" t="n">
        <v>0</v>
      </c>
      <c r="E240" s="9" t="n">
        <v>8.2</v>
      </c>
    </row>
    <row r="241" customFormat="false" ht="15" hidden="false" customHeight="true" outlineLevel="0" collapsed="false">
      <c r="A241" s="6" t="s">
        <v>120</v>
      </c>
      <c r="B241" s="6" t="s">
        <v>5</v>
      </c>
      <c r="C241" s="7"/>
      <c r="D241" s="7" t="n">
        <v>8.2</v>
      </c>
      <c r="E241" s="7" t="n">
        <v>8.2</v>
      </c>
    </row>
    <row r="242" customFormat="false" ht="15" hidden="false" customHeight="true" outlineLevel="0" collapsed="false">
      <c r="A242" s="8" t="s">
        <v>121</v>
      </c>
      <c r="B242" s="8" t="s">
        <v>6</v>
      </c>
      <c r="C242" s="9" t="n">
        <v>2181</v>
      </c>
      <c r="D242" s="9" t="n">
        <v>36</v>
      </c>
      <c r="E242" s="9" t="n">
        <v>8.2</v>
      </c>
    </row>
    <row r="243" customFormat="false" ht="15" hidden="false" customHeight="true" outlineLevel="0" collapsed="false">
      <c r="A243" s="6" t="s">
        <v>121</v>
      </c>
      <c r="B243" s="6" t="s">
        <v>4</v>
      </c>
      <c r="C243" s="7" t="n">
        <v>2191</v>
      </c>
      <c r="D243" s="7" t="n">
        <v>40</v>
      </c>
      <c r="E243" s="7" t="n">
        <v>8.2</v>
      </c>
    </row>
    <row r="244" customFormat="false" ht="15" hidden="false" customHeight="true" outlineLevel="0" collapsed="false">
      <c r="A244" s="8" t="s">
        <v>122</v>
      </c>
      <c r="B244" s="8" t="s">
        <v>8</v>
      </c>
      <c r="C244" s="9" t="n">
        <v>2830</v>
      </c>
      <c r="D244" s="9" t="n">
        <v>0</v>
      </c>
      <c r="E244" s="9" t="n">
        <v>8.2</v>
      </c>
    </row>
    <row r="245" customFormat="false" ht="15" hidden="false" customHeight="true" outlineLevel="0" collapsed="false">
      <c r="A245" s="6" t="s">
        <v>122</v>
      </c>
      <c r="B245" s="6" t="s">
        <v>7</v>
      </c>
      <c r="C245" s="7" t="n">
        <v>2788</v>
      </c>
      <c r="D245" s="7" t="n">
        <v>0</v>
      </c>
      <c r="E245" s="7" t="n">
        <v>8.2</v>
      </c>
    </row>
    <row r="246" customFormat="false" ht="15" hidden="false" customHeight="true" outlineLevel="0" collapsed="false">
      <c r="A246" s="8" t="s">
        <v>122</v>
      </c>
      <c r="B246" s="8" t="s">
        <v>9</v>
      </c>
      <c r="C246" s="9" t="n">
        <v>2825</v>
      </c>
      <c r="D246" s="9" t="n">
        <v>0</v>
      </c>
      <c r="E246" s="9" t="n">
        <v>8.2</v>
      </c>
    </row>
    <row r="247" customFormat="false" ht="15" hidden="false" customHeight="true" outlineLevel="0" collapsed="false">
      <c r="A247" s="6" t="s">
        <v>123</v>
      </c>
      <c r="B247" s="6" t="s">
        <v>5</v>
      </c>
      <c r="C247" s="7"/>
      <c r="D247" s="7" t="n">
        <v>8.2</v>
      </c>
      <c r="E247" s="7" t="n">
        <v>8.2</v>
      </c>
    </row>
    <row r="248" customFormat="false" ht="15" hidden="false" customHeight="true" outlineLevel="0" collapsed="false">
      <c r="A248" s="8" t="s">
        <v>123</v>
      </c>
      <c r="B248" s="8" t="s">
        <v>4</v>
      </c>
      <c r="C248" s="9" t="n">
        <v>2193</v>
      </c>
      <c r="D248" s="9" t="n">
        <v>40</v>
      </c>
      <c r="E248" s="9" t="n">
        <v>8.2</v>
      </c>
    </row>
    <row r="249" customFormat="false" ht="15" hidden="false" customHeight="true" outlineLevel="0" collapsed="false">
      <c r="A249" s="6" t="s">
        <v>124</v>
      </c>
      <c r="B249" s="6" t="s">
        <v>8</v>
      </c>
      <c r="C249" s="7" t="n">
        <v>2838</v>
      </c>
      <c r="D249" s="7" t="n">
        <v>0</v>
      </c>
      <c r="E249" s="7" t="n">
        <v>8.2</v>
      </c>
    </row>
    <row r="250" customFormat="false" ht="15" hidden="false" customHeight="true" outlineLevel="0" collapsed="false">
      <c r="A250" s="8" t="s">
        <v>124</v>
      </c>
      <c r="B250" s="8" t="s">
        <v>9</v>
      </c>
      <c r="C250" s="9" t="n">
        <v>2821</v>
      </c>
      <c r="D250" s="9" t="n">
        <v>0</v>
      </c>
      <c r="E250" s="9" t="n">
        <v>8.2</v>
      </c>
    </row>
    <row r="251" customFormat="false" ht="15" hidden="false" customHeight="true" outlineLevel="0" collapsed="false">
      <c r="A251" s="6" t="s">
        <v>124</v>
      </c>
      <c r="B251" s="6" t="s">
        <v>6</v>
      </c>
      <c r="C251" s="7" t="n">
        <v>2178</v>
      </c>
      <c r="D251" s="7" t="n">
        <v>36</v>
      </c>
      <c r="E251" s="7" t="n">
        <v>8.2</v>
      </c>
    </row>
    <row r="252" customFormat="false" ht="15" hidden="false" customHeight="true" outlineLevel="0" collapsed="false">
      <c r="A252" s="8" t="s">
        <v>124</v>
      </c>
      <c r="B252" s="8" t="s">
        <v>7</v>
      </c>
      <c r="C252" s="9" t="n">
        <v>2785</v>
      </c>
      <c r="D252" s="9" t="n">
        <v>0</v>
      </c>
      <c r="E252" s="9" t="n">
        <v>8.2</v>
      </c>
    </row>
    <row r="253" customFormat="false" ht="15" hidden="false" customHeight="true" outlineLevel="0" collapsed="false">
      <c r="A253" s="6" t="s">
        <v>125</v>
      </c>
      <c r="B253" s="6" t="s">
        <v>5</v>
      </c>
      <c r="C253" s="7"/>
      <c r="D253" s="7" t="n">
        <v>8.2</v>
      </c>
      <c r="E253" s="7" t="n">
        <v>8.2</v>
      </c>
    </row>
    <row r="254" customFormat="false" ht="15" hidden="false" customHeight="true" outlineLevel="0" collapsed="false">
      <c r="A254" s="8" t="s">
        <v>126</v>
      </c>
      <c r="B254" s="8" t="s">
        <v>6</v>
      </c>
      <c r="C254" s="9" t="n">
        <v>2178</v>
      </c>
      <c r="D254" s="9" t="n">
        <v>36</v>
      </c>
      <c r="E254" s="9" t="n">
        <v>8.2</v>
      </c>
    </row>
    <row r="255" customFormat="false" ht="15" hidden="false" customHeight="true" outlineLevel="0" collapsed="false">
      <c r="A255" s="6" t="s">
        <v>126</v>
      </c>
      <c r="B255" s="6" t="s">
        <v>7</v>
      </c>
      <c r="C255" s="7" t="n">
        <v>2791</v>
      </c>
      <c r="D255" s="7" t="n">
        <v>0</v>
      </c>
      <c r="E255" s="7" t="n">
        <v>8.2</v>
      </c>
    </row>
    <row r="256" customFormat="false" ht="15" hidden="false" customHeight="true" outlineLevel="0" collapsed="false">
      <c r="A256" s="8" t="s">
        <v>126</v>
      </c>
      <c r="B256" s="8" t="s">
        <v>4</v>
      </c>
      <c r="C256" s="9" t="n">
        <v>2346</v>
      </c>
      <c r="D256" s="9" t="n">
        <v>30</v>
      </c>
      <c r="E256" s="9" t="n">
        <v>8.2</v>
      </c>
    </row>
    <row r="257" customFormat="false" ht="15" hidden="false" customHeight="true" outlineLevel="0" collapsed="false">
      <c r="A257" s="6" t="s">
        <v>127</v>
      </c>
      <c r="B257" s="6" t="s">
        <v>8</v>
      </c>
      <c r="C257" s="7" t="n">
        <v>2837</v>
      </c>
      <c r="D257" s="7" t="n">
        <v>0</v>
      </c>
      <c r="E257" s="7" t="n">
        <v>8.2</v>
      </c>
    </row>
    <row r="258" customFormat="false" ht="15" hidden="false" customHeight="true" outlineLevel="0" collapsed="false">
      <c r="A258" s="8" t="s">
        <v>127</v>
      </c>
      <c r="B258" s="8" t="s">
        <v>9</v>
      </c>
      <c r="C258" s="9" t="n">
        <v>2820</v>
      </c>
      <c r="D258" s="9" t="n">
        <v>0</v>
      </c>
      <c r="E258" s="9" t="n">
        <v>8.2</v>
      </c>
    </row>
    <row r="259" customFormat="false" ht="15" hidden="false" customHeight="true" outlineLevel="0" collapsed="false">
      <c r="A259" s="6" t="s">
        <v>128</v>
      </c>
      <c r="B259" s="6" t="s">
        <v>4</v>
      </c>
      <c r="C259" s="7" t="n">
        <v>2189</v>
      </c>
      <c r="D259" s="7" t="n">
        <v>41</v>
      </c>
      <c r="E259" s="7" t="n">
        <v>8.2</v>
      </c>
    </row>
    <row r="260" customFormat="false" ht="15" hidden="false" customHeight="true" outlineLevel="0" collapsed="false">
      <c r="A260" s="8" t="s">
        <v>128</v>
      </c>
      <c r="B260" s="8" t="s">
        <v>5</v>
      </c>
      <c r="C260" s="9"/>
      <c r="D260" s="9" t="n">
        <v>8.2</v>
      </c>
      <c r="E260" s="9" t="n">
        <v>8.2</v>
      </c>
    </row>
    <row r="261" customFormat="false" ht="15" hidden="false" customHeight="true" outlineLevel="0" collapsed="false">
      <c r="A261" s="6" t="s">
        <v>129</v>
      </c>
      <c r="B261" s="6" t="s">
        <v>6</v>
      </c>
      <c r="C261" s="7" t="n">
        <v>2192</v>
      </c>
      <c r="D261" s="7" t="n">
        <v>35</v>
      </c>
      <c r="E261" s="7" t="n">
        <v>8.2</v>
      </c>
    </row>
    <row r="262" customFormat="false" ht="15" hidden="false" customHeight="true" outlineLevel="0" collapsed="false">
      <c r="A262" s="8" t="s">
        <v>129</v>
      </c>
      <c r="B262" s="8" t="s">
        <v>7</v>
      </c>
      <c r="C262" s="9" t="n">
        <v>2797</v>
      </c>
      <c r="D262" s="9" t="n">
        <v>0</v>
      </c>
      <c r="E262" s="9" t="n">
        <v>8.2</v>
      </c>
    </row>
    <row r="263" customFormat="false" ht="15" hidden="false" customHeight="true" outlineLevel="0" collapsed="false">
      <c r="A263" s="6" t="s">
        <v>129</v>
      </c>
      <c r="B263" s="6" t="s">
        <v>8</v>
      </c>
      <c r="C263" s="7" t="n">
        <v>2838</v>
      </c>
      <c r="D263" s="7" t="n">
        <v>0</v>
      </c>
      <c r="E263" s="7" t="n">
        <v>8.2</v>
      </c>
    </row>
    <row r="264" customFormat="false" ht="15" hidden="false" customHeight="true" outlineLevel="0" collapsed="false">
      <c r="A264" s="8" t="s">
        <v>130</v>
      </c>
      <c r="B264" s="8" t="s">
        <v>9</v>
      </c>
      <c r="C264" s="9" t="n">
        <v>2822</v>
      </c>
      <c r="D264" s="9" t="n">
        <v>0</v>
      </c>
      <c r="E264" s="9" t="n">
        <v>8.2</v>
      </c>
    </row>
    <row r="265" customFormat="false" ht="15" hidden="false" customHeight="true" outlineLevel="0" collapsed="false">
      <c r="A265" s="6" t="s">
        <v>131</v>
      </c>
      <c r="B265" s="6" t="s">
        <v>5</v>
      </c>
      <c r="C265" s="7"/>
      <c r="D265" s="7" t="n">
        <v>8.2</v>
      </c>
      <c r="E265" s="7" t="n">
        <v>8.2</v>
      </c>
    </row>
    <row r="266" customFormat="false" ht="15" hidden="false" customHeight="true" outlineLevel="0" collapsed="false">
      <c r="A266" s="8" t="s">
        <v>132</v>
      </c>
      <c r="B266" s="8" t="s">
        <v>6</v>
      </c>
      <c r="C266" s="9" t="n">
        <v>2178</v>
      </c>
      <c r="D266" s="9" t="n">
        <v>36</v>
      </c>
      <c r="E266" s="9" t="n">
        <v>8.2</v>
      </c>
    </row>
    <row r="267" customFormat="false" ht="15" hidden="false" customHeight="true" outlineLevel="0" collapsed="false">
      <c r="A267" s="6" t="s">
        <v>132</v>
      </c>
      <c r="B267" s="6" t="s">
        <v>7</v>
      </c>
      <c r="C267" s="7" t="n">
        <v>2793</v>
      </c>
      <c r="D267" s="7" t="n">
        <v>0</v>
      </c>
      <c r="E267" s="7" t="n">
        <v>8.2</v>
      </c>
    </row>
    <row r="268" customFormat="false" ht="15" hidden="false" customHeight="true" outlineLevel="0" collapsed="false">
      <c r="A268" s="8" t="s">
        <v>132</v>
      </c>
      <c r="B268" s="8" t="s">
        <v>4</v>
      </c>
      <c r="C268" s="9" t="n">
        <v>2194</v>
      </c>
      <c r="D268" s="9" t="n">
        <v>40</v>
      </c>
      <c r="E268" s="9" t="n">
        <v>8.2</v>
      </c>
    </row>
    <row r="269" customFormat="false" ht="15" hidden="false" customHeight="true" outlineLevel="0" collapsed="false">
      <c r="A269" s="6" t="s">
        <v>132</v>
      </c>
      <c r="B269" s="6" t="s">
        <v>8</v>
      </c>
      <c r="C269" s="7" t="n">
        <v>2835</v>
      </c>
      <c r="D269" s="7" t="n">
        <v>0</v>
      </c>
      <c r="E269" s="7" t="n">
        <v>8.2</v>
      </c>
    </row>
    <row r="270" customFormat="false" ht="15" hidden="false" customHeight="true" outlineLevel="0" collapsed="false">
      <c r="A270" s="8" t="s">
        <v>133</v>
      </c>
      <c r="B270" s="8" t="s">
        <v>9</v>
      </c>
      <c r="C270" s="9" t="n">
        <v>2831</v>
      </c>
      <c r="D270" s="9" t="n">
        <v>0</v>
      </c>
      <c r="E270" s="9" t="n">
        <v>8.2</v>
      </c>
    </row>
    <row r="271" customFormat="false" ht="15" hidden="false" customHeight="true" outlineLevel="0" collapsed="false">
      <c r="A271" s="6" t="s">
        <v>134</v>
      </c>
      <c r="B271" s="6" t="s">
        <v>6</v>
      </c>
      <c r="C271" s="7" t="n">
        <v>2190</v>
      </c>
      <c r="D271" s="7" t="n">
        <v>35</v>
      </c>
      <c r="E271" s="7" t="n">
        <v>8.2</v>
      </c>
    </row>
    <row r="272" customFormat="false" ht="15" hidden="false" customHeight="true" outlineLevel="0" collapsed="false">
      <c r="A272" s="8" t="s">
        <v>134</v>
      </c>
      <c r="B272" s="8" t="s">
        <v>7</v>
      </c>
      <c r="C272" s="9" t="n">
        <v>2797</v>
      </c>
      <c r="D272" s="9" t="n">
        <v>0</v>
      </c>
      <c r="E272" s="9" t="n">
        <v>8.2</v>
      </c>
    </row>
    <row r="273" customFormat="false" ht="15" hidden="false" customHeight="true" outlineLevel="0" collapsed="false">
      <c r="A273" s="6" t="s">
        <v>134</v>
      </c>
      <c r="B273" s="6" t="s">
        <v>4</v>
      </c>
      <c r="C273" s="7" t="n">
        <v>2191</v>
      </c>
      <c r="D273" s="7" t="n">
        <v>40</v>
      </c>
      <c r="E273" s="7" t="n">
        <v>8.2</v>
      </c>
    </row>
    <row r="274" customFormat="false" ht="15" hidden="false" customHeight="true" outlineLevel="0" collapsed="false">
      <c r="A274" s="8" t="s">
        <v>134</v>
      </c>
      <c r="B274" s="8" t="s">
        <v>5</v>
      </c>
      <c r="C274" s="9"/>
      <c r="D274" s="9" t="n">
        <v>8.2</v>
      </c>
      <c r="E274" s="9" t="n">
        <v>8.2</v>
      </c>
    </row>
    <row r="275" customFormat="false" ht="15" hidden="false" customHeight="true" outlineLevel="0" collapsed="false">
      <c r="A275" s="6" t="s">
        <v>135</v>
      </c>
      <c r="B275" s="6" t="s">
        <v>8</v>
      </c>
      <c r="C275" s="7" t="n">
        <v>2848</v>
      </c>
      <c r="D275" s="7" t="n">
        <v>0</v>
      </c>
      <c r="E275" s="7" t="n">
        <v>8.2</v>
      </c>
    </row>
    <row r="276" customFormat="false" ht="15" hidden="false" customHeight="true" outlineLevel="0" collapsed="false">
      <c r="A276" s="8" t="s">
        <v>135</v>
      </c>
      <c r="B276" s="8" t="s">
        <v>9</v>
      </c>
      <c r="C276" s="9" t="n">
        <v>2811</v>
      </c>
      <c r="D276" s="9" t="n">
        <v>0</v>
      </c>
      <c r="E276" s="9" t="n">
        <v>8.2</v>
      </c>
    </row>
    <row r="277" customFormat="false" ht="15" hidden="false" customHeight="true" outlineLevel="0" collapsed="false">
      <c r="A277" s="6" t="s">
        <v>136</v>
      </c>
      <c r="B277" s="6" t="s">
        <v>5</v>
      </c>
      <c r="C277" s="7"/>
      <c r="D277" s="7" t="n">
        <v>8.2</v>
      </c>
      <c r="E277" s="7" t="n">
        <v>8.2</v>
      </c>
    </row>
    <row r="278" customFormat="false" ht="15" hidden="false" customHeight="true" outlineLevel="0" collapsed="false">
      <c r="A278" s="8" t="s">
        <v>136</v>
      </c>
      <c r="B278" s="8" t="s">
        <v>4</v>
      </c>
      <c r="C278" s="9" t="n">
        <v>2221</v>
      </c>
      <c r="D278" s="9" t="n">
        <v>38</v>
      </c>
      <c r="E278" s="9" t="n">
        <v>8.2</v>
      </c>
    </row>
    <row r="279" customFormat="false" ht="15" hidden="false" customHeight="true" outlineLevel="0" collapsed="false">
      <c r="A279" s="6" t="s">
        <v>137</v>
      </c>
      <c r="B279" s="6" t="s">
        <v>6</v>
      </c>
      <c r="C279" s="7" t="n">
        <v>2179</v>
      </c>
      <c r="D279" s="7" t="n">
        <v>36</v>
      </c>
      <c r="E279" s="7" t="n">
        <v>8.2</v>
      </c>
    </row>
    <row r="280" customFormat="false" ht="15" hidden="false" customHeight="true" outlineLevel="0" collapsed="false">
      <c r="A280" s="8" t="s">
        <v>137</v>
      </c>
      <c r="B280" s="8" t="s">
        <v>7</v>
      </c>
      <c r="C280" s="9" t="n">
        <v>2781</v>
      </c>
      <c r="D280" s="9" t="n">
        <v>0</v>
      </c>
      <c r="E280" s="9" t="n">
        <v>8.2</v>
      </c>
    </row>
    <row r="281" customFormat="false" ht="15" hidden="false" customHeight="true" outlineLevel="0" collapsed="false">
      <c r="A281" s="6" t="s">
        <v>137</v>
      </c>
      <c r="B281" s="6" t="s">
        <v>8</v>
      </c>
      <c r="C281" s="7" t="n">
        <v>2837</v>
      </c>
      <c r="D281" s="7" t="n">
        <v>0</v>
      </c>
      <c r="E281" s="7" t="n">
        <v>8.2</v>
      </c>
    </row>
    <row r="282" customFormat="false" ht="15" hidden="false" customHeight="true" outlineLevel="0" collapsed="false">
      <c r="A282" s="8" t="s">
        <v>137</v>
      </c>
      <c r="B282" s="8" t="s">
        <v>9</v>
      </c>
      <c r="C282" s="9" t="n">
        <v>2827</v>
      </c>
      <c r="D282" s="9" t="n">
        <v>0</v>
      </c>
      <c r="E282" s="9" t="n">
        <v>8.2</v>
      </c>
    </row>
    <row r="283" customFormat="false" ht="15" hidden="false" customHeight="true" outlineLevel="0" collapsed="false">
      <c r="A283" s="6" t="s">
        <v>138</v>
      </c>
      <c r="B283" s="6" t="s">
        <v>5</v>
      </c>
      <c r="C283" s="7"/>
      <c r="D283" s="7" t="n">
        <v>8.2</v>
      </c>
      <c r="E283" s="7" t="n">
        <v>8.2</v>
      </c>
    </row>
    <row r="284" customFormat="false" ht="15" hidden="false" customHeight="true" outlineLevel="0" collapsed="false">
      <c r="A284" s="8" t="s">
        <v>139</v>
      </c>
      <c r="B284" s="8" t="s">
        <v>6</v>
      </c>
      <c r="C284" s="9" t="n">
        <v>2201</v>
      </c>
      <c r="D284" s="9" t="n">
        <v>34</v>
      </c>
      <c r="E284" s="9" t="n">
        <v>8.2</v>
      </c>
    </row>
    <row r="285" customFormat="false" ht="15" hidden="false" customHeight="true" outlineLevel="0" collapsed="false">
      <c r="A285" s="6" t="s">
        <v>139</v>
      </c>
      <c r="B285" s="6" t="s">
        <v>7</v>
      </c>
      <c r="C285" s="7" t="n">
        <v>2799</v>
      </c>
      <c r="D285" s="7" t="n">
        <v>0</v>
      </c>
      <c r="E285" s="7" t="n">
        <v>8.2</v>
      </c>
    </row>
    <row r="286" customFormat="false" ht="15" hidden="false" customHeight="true" outlineLevel="0" collapsed="false">
      <c r="A286" s="8" t="s">
        <v>139</v>
      </c>
      <c r="B286" s="8" t="s">
        <v>4</v>
      </c>
      <c r="C286" s="9" t="n">
        <v>2183</v>
      </c>
      <c r="D286" s="9" t="n">
        <v>41</v>
      </c>
      <c r="E286" s="9" t="n">
        <v>8.2</v>
      </c>
    </row>
    <row r="287" customFormat="false" ht="15" hidden="false" customHeight="true" outlineLevel="0" collapsed="false">
      <c r="A287" s="6" t="s">
        <v>140</v>
      </c>
      <c r="B287" s="6" t="s">
        <v>8</v>
      </c>
      <c r="C287" s="7" t="n">
        <v>2839</v>
      </c>
      <c r="D287" s="7" t="n">
        <v>0</v>
      </c>
      <c r="E287" s="7" t="n">
        <v>8.2</v>
      </c>
    </row>
    <row r="288" customFormat="false" ht="15" hidden="false" customHeight="true" outlineLevel="0" collapsed="false">
      <c r="A288" s="8" t="s">
        <v>140</v>
      </c>
      <c r="B288" s="8" t="s">
        <v>9</v>
      </c>
      <c r="C288" s="9" t="n">
        <v>2835</v>
      </c>
      <c r="D288" s="9" t="n">
        <v>0</v>
      </c>
      <c r="E288" s="9" t="n">
        <v>8.2</v>
      </c>
    </row>
    <row r="289" customFormat="false" ht="15" hidden="false" customHeight="true" outlineLevel="0" collapsed="false">
      <c r="A289" s="6" t="s">
        <v>141</v>
      </c>
      <c r="B289" s="6" t="s">
        <v>5</v>
      </c>
      <c r="C289" s="7"/>
      <c r="D289" s="7" t="n">
        <v>8.2</v>
      </c>
      <c r="E289" s="7" t="n">
        <v>8.2</v>
      </c>
    </row>
    <row r="290" customFormat="false" ht="15" hidden="false" customHeight="true" outlineLevel="0" collapsed="false">
      <c r="A290" s="8" t="s">
        <v>142</v>
      </c>
      <c r="B290" s="8" t="s">
        <v>4</v>
      </c>
      <c r="C290" s="9" t="n">
        <v>2183</v>
      </c>
      <c r="D290" s="9" t="n">
        <v>41</v>
      </c>
      <c r="E290" s="9" t="n">
        <v>8.2</v>
      </c>
    </row>
    <row r="291" customFormat="false" ht="15" hidden="false" customHeight="true" outlineLevel="0" collapsed="false">
      <c r="A291" s="6" t="s">
        <v>143</v>
      </c>
      <c r="B291" s="6" t="s">
        <v>8</v>
      </c>
      <c r="C291" s="7" t="n">
        <v>2844</v>
      </c>
      <c r="D291" s="7" t="n">
        <v>0</v>
      </c>
      <c r="E291" s="7" t="n">
        <v>8.2</v>
      </c>
    </row>
    <row r="292" customFormat="false" ht="15" hidden="false" customHeight="true" outlineLevel="0" collapsed="false">
      <c r="A292" s="8" t="s">
        <v>143</v>
      </c>
      <c r="B292" s="8" t="s">
        <v>6</v>
      </c>
      <c r="C292" s="9" t="n">
        <v>2165</v>
      </c>
      <c r="D292" s="9" t="n">
        <v>37</v>
      </c>
      <c r="E292" s="9" t="n">
        <v>8.2</v>
      </c>
    </row>
    <row r="293" customFormat="false" ht="15" hidden="false" customHeight="true" outlineLevel="0" collapsed="false">
      <c r="A293" s="6" t="s">
        <v>143</v>
      </c>
      <c r="B293" s="6" t="s">
        <v>7</v>
      </c>
      <c r="C293" s="7" t="n">
        <v>2803</v>
      </c>
      <c r="D293" s="7" t="n">
        <v>0</v>
      </c>
      <c r="E293" s="7" t="n">
        <v>8.2</v>
      </c>
    </row>
    <row r="294" customFormat="false" ht="15" hidden="false" customHeight="true" outlineLevel="0" collapsed="false">
      <c r="A294" s="8" t="s">
        <v>144</v>
      </c>
      <c r="B294" s="8" t="s">
        <v>9</v>
      </c>
      <c r="C294" s="9" t="n">
        <v>2831</v>
      </c>
      <c r="D294" s="9" t="n">
        <v>0</v>
      </c>
      <c r="E294" s="9" t="n">
        <v>8.2</v>
      </c>
    </row>
    <row r="295" customFormat="false" ht="15" hidden="false" customHeight="true" outlineLevel="0" collapsed="false">
      <c r="A295" s="6" t="s">
        <v>145</v>
      </c>
      <c r="B295" s="6" t="s">
        <v>6</v>
      </c>
      <c r="C295" s="7" t="n">
        <v>2131</v>
      </c>
      <c r="D295" s="7" t="n">
        <v>39</v>
      </c>
      <c r="E295" s="7" t="n">
        <v>8.2</v>
      </c>
    </row>
    <row r="296" customFormat="false" ht="15" hidden="false" customHeight="true" outlineLevel="0" collapsed="false">
      <c r="A296" s="8" t="s">
        <v>145</v>
      </c>
      <c r="B296" s="8" t="s">
        <v>4</v>
      </c>
      <c r="C296" s="9" t="n">
        <v>2169</v>
      </c>
      <c r="D296" s="9" t="n">
        <v>42</v>
      </c>
      <c r="E296" s="9" t="n">
        <v>8.2</v>
      </c>
    </row>
    <row r="297" customFormat="false" ht="15" hidden="false" customHeight="true" outlineLevel="0" collapsed="false">
      <c r="A297" s="6" t="s">
        <v>145</v>
      </c>
      <c r="B297" s="6" t="s">
        <v>5</v>
      </c>
      <c r="C297" s="7"/>
      <c r="D297" s="7" t="n">
        <v>8.2</v>
      </c>
      <c r="E297" s="7" t="n">
        <v>8.2</v>
      </c>
    </row>
    <row r="298" customFormat="false" ht="15" hidden="false" customHeight="true" outlineLevel="0" collapsed="false">
      <c r="A298" s="8" t="s">
        <v>146</v>
      </c>
      <c r="B298" s="8" t="s">
        <v>7</v>
      </c>
      <c r="C298" s="9" t="n">
        <v>2797</v>
      </c>
      <c r="D298" s="9" t="n">
        <v>0</v>
      </c>
      <c r="E298" s="9" t="n">
        <v>8.2</v>
      </c>
    </row>
    <row r="299" customFormat="false" ht="15" hidden="false" customHeight="true" outlineLevel="0" collapsed="false">
      <c r="A299" s="6" t="s">
        <v>146</v>
      </c>
      <c r="B299" s="6" t="s">
        <v>8</v>
      </c>
      <c r="C299" s="7" t="n">
        <v>2846</v>
      </c>
      <c r="D299" s="7" t="n">
        <v>0</v>
      </c>
      <c r="E299" s="7" t="n">
        <v>8.2</v>
      </c>
    </row>
    <row r="300" customFormat="false" ht="15" hidden="false" customHeight="true" outlineLevel="0" collapsed="false">
      <c r="A300" s="8" t="s">
        <v>147</v>
      </c>
      <c r="B300" s="8" t="s">
        <v>9</v>
      </c>
      <c r="C300" s="9" t="n">
        <v>2828</v>
      </c>
      <c r="D300" s="9" t="n">
        <v>0</v>
      </c>
      <c r="E300" s="9" t="n">
        <v>8.2</v>
      </c>
    </row>
    <row r="301" customFormat="false" ht="15" hidden="false" customHeight="true" outlineLevel="0" collapsed="false">
      <c r="A301" s="6" t="s">
        <v>148</v>
      </c>
      <c r="B301" s="6" t="s">
        <v>5</v>
      </c>
      <c r="C301" s="7"/>
      <c r="D301" s="7" t="n">
        <v>8.2</v>
      </c>
      <c r="E301" s="7" t="n">
        <v>8.2</v>
      </c>
    </row>
    <row r="302" customFormat="false" ht="15" hidden="false" customHeight="true" outlineLevel="0" collapsed="false">
      <c r="A302" s="8" t="s">
        <v>148</v>
      </c>
      <c r="B302" s="8" t="s">
        <v>4</v>
      </c>
      <c r="C302" s="9" t="n">
        <v>2195</v>
      </c>
      <c r="D302" s="9" t="n">
        <v>40</v>
      </c>
      <c r="E302" s="9" t="n">
        <v>8.2</v>
      </c>
    </row>
    <row r="303" customFormat="false" ht="15" hidden="false" customHeight="true" outlineLevel="0" collapsed="false">
      <c r="A303" s="6" t="s">
        <v>149</v>
      </c>
      <c r="B303" s="6" t="s">
        <v>9</v>
      </c>
      <c r="C303" s="7" t="n">
        <v>2827</v>
      </c>
      <c r="D303" s="7" t="n">
        <v>0</v>
      </c>
      <c r="E303" s="7" t="n">
        <v>8.2</v>
      </c>
    </row>
    <row r="304" customFormat="false" ht="15" hidden="false" customHeight="true" outlineLevel="0" collapsed="false">
      <c r="A304" s="8" t="s">
        <v>149</v>
      </c>
      <c r="B304" s="8" t="s">
        <v>8</v>
      </c>
      <c r="C304" s="9" t="n">
        <v>2842</v>
      </c>
      <c r="D304" s="9" t="n">
        <v>0</v>
      </c>
      <c r="E304" s="9" t="n">
        <v>8.2</v>
      </c>
    </row>
    <row r="305" customFormat="false" ht="15" hidden="false" customHeight="true" outlineLevel="0" collapsed="false">
      <c r="A305" s="6" t="s">
        <v>149</v>
      </c>
      <c r="B305" s="6" t="s">
        <v>7</v>
      </c>
      <c r="C305" s="7" t="n">
        <v>2800</v>
      </c>
      <c r="D305" s="7" t="n">
        <v>0</v>
      </c>
      <c r="E305" s="7" t="n">
        <v>8.2</v>
      </c>
    </row>
    <row r="306" customFormat="false" ht="15" hidden="false" customHeight="true" outlineLevel="0" collapsed="false">
      <c r="A306" s="8" t="s">
        <v>149</v>
      </c>
      <c r="B306" s="8" t="s">
        <v>6</v>
      </c>
      <c r="C306" s="9" t="n">
        <v>2179</v>
      </c>
      <c r="D306" s="9" t="n">
        <v>36</v>
      </c>
      <c r="E306" s="9" t="n">
        <v>8.2</v>
      </c>
    </row>
    <row r="307" customFormat="false" ht="15" hidden="false" customHeight="true" outlineLevel="0" collapsed="false">
      <c r="A307" s="6" t="s">
        <v>150</v>
      </c>
      <c r="B307" s="6" t="s">
        <v>5</v>
      </c>
      <c r="C307" s="7"/>
      <c r="D307" s="7" t="n">
        <v>8.2</v>
      </c>
      <c r="E307" s="7" t="n">
        <v>8.2</v>
      </c>
    </row>
    <row r="308" customFormat="false" ht="15" hidden="false" customHeight="true" outlineLevel="0" collapsed="false">
      <c r="A308" s="8" t="s">
        <v>151</v>
      </c>
      <c r="B308" s="8" t="s">
        <v>6</v>
      </c>
      <c r="C308" s="9" t="n">
        <v>2177</v>
      </c>
      <c r="D308" s="9" t="n">
        <v>36</v>
      </c>
      <c r="E308" s="9" t="n">
        <v>8.2</v>
      </c>
    </row>
    <row r="309" customFormat="false" ht="15" hidden="false" customHeight="true" outlineLevel="0" collapsed="false">
      <c r="A309" s="6" t="s">
        <v>151</v>
      </c>
      <c r="B309" s="6" t="s">
        <v>7</v>
      </c>
      <c r="C309" s="7" t="n">
        <v>2798</v>
      </c>
      <c r="D309" s="7" t="n">
        <v>0</v>
      </c>
      <c r="E309" s="7" t="n">
        <v>8.2</v>
      </c>
    </row>
    <row r="310" customFormat="false" ht="15" hidden="false" customHeight="true" outlineLevel="0" collapsed="false">
      <c r="A310" s="8" t="s">
        <v>151</v>
      </c>
      <c r="B310" s="8" t="s">
        <v>4</v>
      </c>
      <c r="C310" s="9" t="n">
        <v>2192</v>
      </c>
      <c r="D310" s="9" t="n">
        <v>40</v>
      </c>
      <c r="E310" s="9" t="n">
        <v>8.2</v>
      </c>
    </row>
    <row r="311" customFormat="false" ht="15" hidden="false" customHeight="true" outlineLevel="0" collapsed="false">
      <c r="A311" s="6" t="s">
        <v>152</v>
      </c>
      <c r="B311" s="6" t="s">
        <v>8</v>
      </c>
      <c r="C311" s="7" t="n">
        <v>2849</v>
      </c>
      <c r="D311" s="7" t="n">
        <v>0</v>
      </c>
      <c r="E311" s="7" t="n">
        <v>8.2</v>
      </c>
    </row>
    <row r="312" customFormat="false" ht="15" hidden="false" customHeight="true" outlineLevel="0" collapsed="false">
      <c r="A312" s="8" t="s">
        <v>152</v>
      </c>
      <c r="B312" s="8" t="s">
        <v>9</v>
      </c>
      <c r="C312" s="9" t="n">
        <v>2826</v>
      </c>
      <c r="D312" s="9" t="n">
        <v>0</v>
      </c>
      <c r="E312" s="9" t="n">
        <v>8.2</v>
      </c>
    </row>
    <row r="313" customFormat="false" ht="15" hidden="false" customHeight="true" outlineLevel="0" collapsed="false">
      <c r="A313" s="6" t="s">
        <v>153</v>
      </c>
      <c r="B313" s="6" t="s">
        <v>6</v>
      </c>
      <c r="C313" s="7" t="n">
        <v>2209</v>
      </c>
      <c r="D313" s="7" t="n">
        <v>34</v>
      </c>
      <c r="E313" s="7" t="n">
        <v>8.2</v>
      </c>
    </row>
    <row r="314" customFormat="false" ht="15" hidden="false" customHeight="true" outlineLevel="0" collapsed="false">
      <c r="A314" s="8" t="s">
        <v>153</v>
      </c>
      <c r="B314" s="8" t="s">
        <v>4</v>
      </c>
      <c r="C314" s="9" t="n">
        <v>2186</v>
      </c>
      <c r="D314" s="9" t="n">
        <v>41</v>
      </c>
      <c r="E314" s="9" t="n">
        <v>8.2</v>
      </c>
    </row>
    <row r="315" customFormat="false" ht="15" hidden="false" customHeight="true" outlineLevel="0" collapsed="false">
      <c r="A315" s="6" t="s">
        <v>153</v>
      </c>
      <c r="B315" s="6" t="s">
        <v>5</v>
      </c>
      <c r="C315" s="7"/>
      <c r="D315" s="7" t="n">
        <v>8.2</v>
      </c>
      <c r="E315" s="7" t="n">
        <v>8.2</v>
      </c>
    </row>
    <row r="316" customFormat="false" ht="15" hidden="false" customHeight="true" outlineLevel="0" collapsed="false">
      <c r="A316" s="8" t="s">
        <v>154</v>
      </c>
      <c r="B316" s="8" t="s">
        <v>9</v>
      </c>
      <c r="C316" s="9" t="n">
        <v>2825</v>
      </c>
      <c r="D316" s="9" t="n">
        <v>0</v>
      </c>
      <c r="E316" s="9" t="n">
        <v>8.2</v>
      </c>
    </row>
    <row r="317" customFormat="false" ht="15" hidden="false" customHeight="true" outlineLevel="0" collapsed="false">
      <c r="A317" s="6" t="s">
        <v>154</v>
      </c>
      <c r="B317" s="6" t="s">
        <v>8</v>
      </c>
      <c r="C317" s="7" t="n">
        <v>2842</v>
      </c>
      <c r="D317" s="7" t="n">
        <v>0</v>
      </c>
      <c r="E317" s="7" t="n">
        <v>8.2</v>
      </c>
    </row>
    <row r="318" customFormat="false" ht="15" hidden="false" customHeight="true" outlineLevel="0" collapsed="false">
      <c r="A318" s="8" t="s">
        <v>154</v>
      </c>
      <c r="B318" s="8" t="s">
        <v>7</v>
      </c>
      <c r="C318" s="9" t="n">
        <v>2800</v>
      </c>
      <c r="D318" s="9" t="n">
        <v>0</v>
      </c>
      <c r="E318" s="9" t="n">
        <v>8.2</v>
      </c>
    </row>
    <row r="319" customFormat="false" ht="15" hidden="false" customHeight="true" outlineLevel="0" collapsed="false">
      <c r="A319" s="6" t="s">
        <v>155</v>
      </c>
      <c r="B319" s="6" t="s">
        <v>5</v>
      </c>
      <c r="C319" s="7"/>
      <c r="D319" s="7" t="n">
        <v>8.2</v>
      </c>
      <c r="E319" s="7" t="n">
        <v>8.2</v>
      </c>
    </row>
    <row r="320" customFormat="false" ht="15" hidden="false" customHeight="true" outlineLevel="0" collapsed="false">
      <c r="A320" s="8" t="s">
        <v>156</v>
      </c>
      <c r="B320" s="8" t="s">
        <v>6</v>
      </c>
      <c r="C320" s="9" t="n">
        <v>2240</v>
      </c>
      <c r="D320" s="9" t="n">
        <v>32</v>
      </c>
      <c r="E320" s="9" t="n">
        <v>8.2</v>
      </c>
    </row>
    <row r="321" customFormat="false" ht="15" hidden="false" customHeight="true" outlineLevel="0" collapsed="false">
      <c r="A321" s="6" t="s">
        <v>156</v>
      </c>
      <c r="B321" s="6" t="s">
        <v>7</v>
      </c>
      <c r="C321" s="7" t="n">
        <v>2802</v>
      </c>
      <c r="D321" s="7" t="n">
        <v>0</v>
      </c>
      <c r="E321" s="7" t="n">
        <v>8.2</v>
      </c>
    </row>
    <row r="322" customFormat="false" ht="15" hidden="false" customHeight="true" outlineLevel="0" collapsed="false">
      <c r="A322" s="8" t="s">
        <v>156</v>
      </c>
      <c r="B322" s="8" t="s">
        <v>4</v>
      </c>
      <c r="C322" s="9" t="n">
        <v>2203</v>
      </c>
      <c r="D322" s="9" t="n">
        <v>40</v>
      </c>
      <c r="E322" s="9" t="n">
        <v>8.2</v>
      </c>
    </row>
    <row r="323" customFormat="false" ht="15" hidden="false" customHeight="true" outlineLevel="0" collapsed="false">
      <c r="A323" s="6" t="s">
        <v>156</v>
      </c>
      <c r="B323" s="6" t="s">
        <v>8</v>
      </c>
      <c r="C323" s="7" t="n">
        <v>2849</v>
      </c>
      <c r="D323" s="7" t="n">
        <v>0</v>
      </c>
      <c r="E323" s="7" t="n">
        <v>8.2</v>
      </c>
    </row>
    <row r="324" customFormat="false" ht="15" hidden="false" customHeight="true" outlineLevel="0" collapsed="false">
      <c r="A324" s="8" t="s">
        <v>157</v>
      </c>
      <c r="B324" s="8" t="s">
        <v>9</v>
      </c>
      <c r="C324" s="9" t="n">
        <v>2827</v>
      </c>
      <c r="D324" s="9" t="n">
        <v>0</v>
      </c>
      <c r="E324" s="9" t="n">
        <v>8.2</v>
      </c>
    </row>
    <row r="325" customFormat="false" ht="15" hidden="false" customHeight="true" outlineLevel="0" collapsed="false">
      <c r="A325" s="6" t="s">
        <v>158</v>
      </c>
      <c r="B325" s="6" t="s">
        <v>5</v>
      </c>
      <c r="C325" s="7"/>
      <c r="D325" s="7" t="n">
        <v>8.2</v>
      </c>
      <c r="E325" s="7" t="n">
        <v>8.2</v>
      </c>
    </row>
    <row r="326" customFormat="false" ht="15" hidden="false" customHeight="true" outlineLevel="0" collapsed="false">
      <c r="A326" s="8" t="s">
        <v>159</v>
      </c>
      <c r="B326" s="8" t="s">
        <v>6</v>
      </c>
      <c r="C326" s="9" t="n">
        <v>2213</v>
      </c>
      <c r="D326" s="9" t="n">
        <v>34</v>
      </c>
      <c r="E326" s="9" t="n">
        <v>8.2</v>
      </c>
    </row>
    <row r="327" customFormat="false" ht="15" hidden="false" customHeight="true" outlineLevel="0" collapsed="false">
      <c r="A327" s="6" t="s">
        <v>159</v>
      </c>
      <c r="B327" s="6" t="s">
        <v>7</v>
      </c>
      <c r="C327" s="7" t="n">
        <v>2803</v>
      </c>
      <c r="D327" s="7" t="n">
        <v>0</v>
      </c>
      <c r="E327" s="7" t="n">
        <v>8.2</v>
      </c>
    </row>
    <row r="328" customFormat="false" ht="15" hidden="false" customHeight="true" outlineLevel="0" collapsed="false">
      <c r="A328" s="8" t="s">
        <v>159</v>
      </c>
      <c r="B328" s="8" t="s">
        <v>4</v>
      </c>
      <c r="C328" s="9" t="n">
        <v>2178</v>
      </c>
      <c r="D328" s="9" t="n">
        <v>41</v>
      </c>
      <c r="E328" s="9" t="n">
        <v>8.2</v>
      </c>
    </row>
    <row r="329" customFormat="false" ht="15" hidden="false" customHeight="true" outlineLevel="0" collapsed="false">
      <c r="A329" s="6" t="s">
        <v>159</v>
      </c>
      <c r="B329" s="6" t="s">
        <v>8</v>
      </c>
      <c r="C329" s="7" t="n">
        <v>2860</v>
      </c>
      <c r="D329" s="7" t="n">
        <v>0</v>
      </c>
      <c r="E329" s="7" t="n">
        <v>8.2</v>
      </c>
    </row>
    <row r="330" customFormat="false" ht="15" hidden="false" customHeight="true" outlineLevel="0" collapsed="false">
      <c r="A330" s="8" t="s">
        <v>160</v>
      </c>
      <c r="B330" s="8" t="s">
        <v>9</v>
      </c>
      <c r="C330" s="9" t="n">
        <v>2831</v>
      </c>
      <c r="D330" s="9" t="n">
        <v>0</v>
      </c>
      <c r="E330" s="9" t="n">
        <v>8.2</v>
      </c>
    </row>
    <row r="331" customFormat="false" ht="15" hidden="false" customHeight="true" outlineLevel="0" collapsed="false">
      <c r="A331" s="6" t="s">
        <v>161</v>
      </c>
      <c r="B331" s="6" t="s">
        <v>5</v>
      </c>
      <c r="C331" s="7"/>
      <c r="D331" s="7" t="n">
        <v>8.2</v>
      </c>
      <c r="E331" s="7" t="n">
        <v>8.2</v>
      </c>
    </row>
    <row r="332" customFormat="false" ht="15" hidden="false" customHeight="true" outlineLevel="0" collapsed="false">
      <c r="A332" s="8" t="s">
        <v>162</v>
      </c>
      <c r="B332" s="8" t="s">
        <v>6</v>
      </c>
      <c r="C332" s="9" t="n">
        <v>2179</v>
      </c>
      <c r="D332" s="9" t="n">
        <v>36</v>
      </c>
      <c r="E332" s="9" t="n">
        <v>8.2</v>
      </c>
    </row>
    <row r="333" customFormat="false" ht="15" hidden="false" customHeight="true" outlineLevel="0" collapsed="false">
      <c r="A333" s="6" t="s">
        <v>162</v>
      </c>
      <c r="B333" s="6" t="s">
        <v>4</v>
      </c>
      <c r="C333" s="7" t="n">
        <v>2214</v>
      </c>
      <c r="D333" s="7" t="n">
        <v>39</v>
      </c>
      <c r="E333" s="7" t="n">
        <v>8.2</v>
      </c>
    </row>
    <row r="334" customFormat="false" ht="15" hidden="false" customHeight="true" outlineLevel="0" collapsed="false">
      <c r="A334" s="8" t="s">
        <v>163</v>
      </c>
      <c r="B334" s="8" t="s">
        <v>7</v>
      </c>
      <c r="C334" s="9" t="n">
        <v>2799</v>
      </c>
      <c r="D334" s="9" t="n">
        <v>0</v>
      </c>
      <c r="E334" s="9" t="n">
        <v>8.2</v>
      </c>
    </row>
    <row r="335" customFormat="false" ht="15" hidden="false" customHeight="true" outlineLevel="0" collapsed="false">
      <c r="A335" s="6" t="s">
        <v>163</v>
      </c>
      <c r="B335" s="6" t="s">
        <v>8</v>
      </c>
      <c r="C335" s="7" t="n">
        <v>2855</v>
      </c>
      <c r="D335" s="7" t="n">
        <v>0</v>
      </c>
      <c r="E335" s="7" t="n">
        <v>8.2</v>
      </c>
    </row>
    <row r="336" customFormat="false" ht="15" hidden="false" customHeight="true" outlineLevel="0" collapsed="false">
      <c r="A336" s="8" t="s">
        <v>163</v>
      </c>
      <c r="B336" s="8" t="s">
        <v>9</v>
      </c>
      <c r="C336" s="9" t="n">
        <v>2840</v>
      </c>
      <c r="D336" s="9" t="n">
        <v>0</v>
      </c>
      <c r="E336" s="9" t="n">
        <v>8.2</v>
      </c>
    </row>
    <row r="337" customFormat="false" ht="15" hidden="false" customHeight="true" outlineLevel="0" collapsed="false">
      <c r="A337" s="6" t="s">
        <v>164</v>
      </c>
      <c r="B337" s="6" t="s">
        <v>5</v>
      </c>
      <c r="C337" s="7"/>
      <c r="D337" s="7" t="n">
        <v>8.2</v>
      </c>
      <c r="E337" s="7" t="n">
        <v>8.2</v>
      </c>
    </row>
    <row r="338" customFormat="false" ht="15" hidden="false" customHeight="true" outlineLevel="0" collapsed="false">
      <c r="A338" s="8" t="s">
        <v>165</v>
      </c>
      <c r="B338" s="8" t="s">
        <v>6</v>
      </c>
      <c r="C338" s="9" t="n">
        <v>2180</v>
      </c>
      <c r="D338" s="9" t="n">
        <v>36</v>
      </c>
      <c r="E338" s="9" t="n">
        <v>8.2</v>
      </c>
    </row>
    <row r="339" customFormat="false" ht="15" hidden="false" customHeight="true" outlineLevel="0" collapsed="false">
      <c r="A339" s="6" t="s">
        <v>165</v>
      </c>
      <c r="B339" s="6" t="s">
        <v>4</v>
      </c>
      <c r="C339" s="7" t="n">
        <v>2195</v>
      </c>
      <c r="D339" s="7" t="n">
        <v>40</v>
      </c>
      <c r="E339" s="7" t="n">
        <v>8.2</v>
      </c>
    </row>
    <row r="340" customFormat="false" ht="15" hidden="false" customHeight="true" outlineLevel="0" collapsed="false">
      <c r="A340" s="8" t="s">
        <v>166</v>
      </c>
      <c r="B340" s="8" t="s">
        <v>7</v>
      </c>
      <c r="C340" s="9" t="n">
        <v>2802</v>
      </c>
      <c r="D340" s="9" t="n">
        <v>0</v>
      </c>
      <c r="E340" s="9" t="n">
        <v>8.2</v>
      </c>
    </row>
    <row r="341" customFormat="false" ht="15" hidden="false" customHeight="true" outlineLevel="0" collapsed="false">
      <c r="A341" s="6" t="s">
        <v>166</v>
      </c>
      <c r="B341" s="6" t="s">
        <v>8</v>
      </c>
      <c r="C341" s="7" t="n">
        <v>2859</v>
      </c>
      <c r="D341" s="7" t="n">
        <v>0</v>
      </c>
      <c r="E341" s="7" t="n">
        <v>8.2</v>
      </c>
    </row>
    <row r="342" customFormat="false" ht="15" hidden="false" customHeight="true" outlineLevel="0" collapsed="false">
      <c r="A342" s="8" t="s">
        <v>166</v>
      </c>
      <c r="B342" s="8" t="s">
        <v>9</v>
      </c>
      <c r="C342" s="9" t="n">
        <v>2832</v>
      </c>
      <c r="D342" s="9" t="n">
        <v>0</v>
      </c>
      <c r="E342" s="9" t="n">
        <v>8.2</v>
      </c>
    </row>
    <row r="343" customFormat="false" ht="15" hidden="false" customHeight="true" outlineLevel="0" collapsed="false">
      <c r="A343" s="6" t="s">
        <v>167</v>
      </c>
      <c r="B343" s="6" t="s">
        <v>5</v>
      </c>
      <c r="C343" s="7"/>
      <c r="D343" s="7" t="n">
        <v>8.2</v>
      </c>
      <c r="E343" s="7" t="n">
        <v>8.2</v>
      </c>
    </row>
    <row r="344" customFormat="false" ht="15" hidden="false" customHeight="true" outlineLevel="0" collapsed="false">
      <c r="A344" s="8" t="s">
        <v>167</v>
      </c>
      <c r="B344" s="8" t="s">
        <v>4</v>
      </c>
      <c r="C344" s="9" t="n">
        <v>2195</v>
      </c>
      <c r="D344" s="9" t="n">
        <v>40</v>
      </c>
      <c r="E344" s="9" t="n">
        <v>8.2</v>
      </c>
    </row>
    <row r="345" customFormat="false" ht="15" hidden="false" customHeight="true" outlineLevel="0" collapsed="false">
      <c r="A345" s="6" t="s">
        <v>168</v>
      </c>
      <c r="B345" s="6" t="s">
        <v>6</v>
      </c>
      <c r="C345" s="7" t="n">
        <v>2189</v>
      </c>
      <c r="D345" s="7" t="n">
        <v>35</v>
      </c>
      <c r="E345" s="7" t="n">
        <v>8.2</v>
      </c>
    </row>
    <row r="346" customFormat="false" ht="15" hidden="false" customHeight="true" outlineLevel="0" collapsed="false">
      <c r="A346" s="8" t="s">
        <v>168</v>
      </c>
      <c r="B346" s="8" t="s">
        <v>7</v>
      </c>
      <c r="C346" s="9" t="n">
        <v>2806</v>
      </c>
      <c r="D346" s="9" t="n">
        <v>0</v>
      </c>
      <c r="E346" s="9" t="n">
        <v>8.2</v>
      </c>
    </row>
    <row r="347" customFormat="false" ht="15" hidden="false" customHeight="true" outlineLevel="0" collapsed="false">
      <c r="A347" s="6" t="s">
        <v>169</v>
      </c>
      <c r="B347" s="6" t="s">
        <v>8</v>
      </c>
      <c r="C347" s="7" t="n">
        <v>2849</v>
      </c>
      <c r="D347" s="7" t="n">
        <v>0</v>
      </c>
      <c r="E347" s="7" t="n">
        <v>8.2</v>
      </c>
    </row>
    <row r="348" customFormat="false" ht="15" hidden="false" customHeight="true" outlineLevel="0" collapsed="false">
      <c r="A348" s="8" t="s">
        <v>169</v>
      </c>
      <c r="B348" s="8" t="s">
        <v>9</v>
      </c>
      <c r="C348" s="9" t="n">
        <v>2848</v>
      </c>
      <c r="D348" s="9" t="n">
        <v>0</v>
      </c>
      <c r="E348" s="9" t="n">
        <v>8.2</v>
      </c>
    </row>
    <row r="349" customFormat="false" ht="15" hidden="false" customHeight="true" outlineLevel="0" collapsed="false">
      <c r="A349" s="6" t="s">
        <v>170</v>
      </c>
      <c r="B349" s="6" t="s">
        <v>6</v>
      </c>
      <c r="C349" s="7" t="n">
        <v>2140</v>
      </c>
      <c r="D349" s="7" t="n">
        <v>38</v>
      </c>
      <c r="E349" s="7" t="n">
        <v>8.2</v>
      </c>
    </row>
    <row r="350" customFormat="false" ht="15" hidden="false" customHeight="true" outlineLevel="0" collapsed="false">
      <c r="A350" s="8" t="s">
        <v>170</v>
      </c>
      <c r="B350" s="8" t="s">
        <v>4</v>
      </c>
      <c r="C350" s="9" t="n">
        <v>2096</v>
      </c>
      <c r="D350" s="9" t="n">
        <v>47</v>
      </c>
      <c r="E350" s="9" t="n">
        <v>8.2</v>
      </c>
    </row>
    <row r="351" customFormat="false" ht="15" hidden="false" customHeight="true" outlineLevel="0" collapsed="false">
      <c r="A351" s="6" t="s">
        <v>170</v>
      </c>
      <c r="B351" s="6" t="s">
        <v>5</v>
      </c>
      <c r="C351" s="7"/>
      <c r="D351" s="7" t="n">
        <v>8.2</v>
      </c>
      <c r="E351" s="7" t="n">
        <v>8.2</v>
      </c>
    </row>
    <row r="352" customFormat="false" ht="15" hidden="false" customHeight="true" outlineLevel="0" collapsed="false">
      <c r="A352" s="8" t="s">
        <v>171</v>
      </c>
      <c r="B352" s="8" t="s">
        <v>7</v>
      </c>
      <c r="C352" s="9" t="n">
        <v>2805</v>
      </c>
      <c r="D352" s="9" t="n">
        <v>0</v>
      </c>
      <c r="E352" s="9" t="n">
        <v>8.2</v>
      </c>
    </row>
    <row r="353" customFormat="false" ht="15" hidden="false" customHeight="true" outlineLevel="0" collapsed="false">
      <c r="A353" s="6" t="s">
        <v>171</v>
      </c>
      <c r="B353" s="6" t="s">
        <v>8</v>
      </c>
      <c r="C353" s="7" t="n">
        <v>2859</v>
      </c>
      <c r="D353" s="7" t="n">
        <v>0</v>
      </c>
      <c r="E353" s="7" t="n">
        <v>8.2</v>
      </c>
    </row>
    <row r="354" customFormat="false" ht="15" hidden="false" customHeight="true" outlineLevel="0" collapsed="false">
      <c r="A354" s="8" t="s">
        <v>171</v>
      </c>
      <c r="B354" s="8" t="s">
        <v>9</v>
      </c>
      <c r="C354" s="9" t="n">
        <v>2827</v>
      </c>
      <c r="D354" s="9" t="n">
        <v>0</v>
      </c>
      <c r="E354" s="9" t="n">
        <v>8.2</v>
      </c>
    </row>
    <row r="355" customFormat="false" ht="15" hidden="false" customHeight="true" outlineLevel="0" collapsed="false">
      <c r="A355" s="6" t="s">
        <v>172</v>
      </c>
      <c r="B355" s="6" t="s">
        <v>4</v>
      </c>
      <c r="C355" s="7" t="n">
        <v>2163</v>
      </c>
      <c r="D355" s="7" t="n">
        <v>42</v>
      </c>
      <c r="E355" s="7" t="n">
        <v>8.2</v>
      </c>
    </row>
    <row r="356" customFormat="false" ht="15" hidden="false" customHeight="true" outlineLevel="0" collapsed="false">
      <c r="A356" s="8" t="s">
        <v>172</v>
      </c>
      <c r="B356" s="8" t="s">
        <v>5</v>
      </c>
      <c r="C356" s="9"/>
      <c r="D356" s="9" t="n">
        <v>8.2</v>
      </c>
      <c r="E356" s="9" t="n">
        <v>8.2</v>
      </c>
    </row>
    <row r="357" customFormat="false" ht="15" hidden="false" customHeight="true" outlineLevel="0" collapsed="false">
      <c r="A357" s="6" t="s">
        <v>173</v>
      </c>
      <c r="B357" s="6" t="s">
        <v>8</v>
      </c>
      <c r="C357" s="7" t="n">
        <v>2859</v>
      </c>
      <c r="D357" s="7" t="n">
        <v>0</v>
      </c>
      <c r="E357" s="7" t="n">
        <v>8.2</v>
      </c>
    </row>
    <row r="358" customFormat="false" ht="15" hidden="false" customHeight="true" outlineLevel="0" collapsed="false">
      <c r="A358" s="8" t="s">
        <v>173</v>
      </c>
      <c r="B358" s="8" t="s">
        <v>6</v>
      </c>
      <c r="C358" s="9" t="n">
        <v>2192</v>
      </c>
      <c r="D358" s="9" t="n">
        <v>35</v>
      </c>
      <c r="E358" s="9" t="n">
        <v>8.2</v>
      </c>
    </row>
    <row r="359" customFormat="false" ht="15" hidden="false" customHeight="true" outlineLevel="0" collapsed="false">
      <c r="A359" s="6" t="s">
        <v>173</v>
      </c>
      <c r="B359" s="6" t="s">
        <v>7</v>
      </c>
      <c r="C359" s="7" t="n">
        <v>2809</v>
      </c>
      <c r="D359" s="7" t="n">
        <v>0</v>
      </c>
      <c r="E359" s="7" t="n">
        <v>8.2</v>
      </c>
    </row>
    <row r="360" customFormat="false" ht="15" hidden="false" customHeight="true" outlineLevel="0" collapsed="false">
      <c r="A360" s="8" t="s">
        <v>174</v>
      </c>
      <c r="B360" s="8" t="s">
        <v>9</v>
      </c>
      <c r="C360" s="9" t="n">
        <v>2838</v>
      </c>
      <c r="D360" s="9" t="n">
        <v>0</v>
      </c>
      <c r="E360" s="9" t="n">
        <v>8.2</v>
      </c>
    </row>
    <row r="361" customFormat="false" ht="15" hidden="false" customHeight="true" outlineLevel="0" collapsed="false">
      <c r="A361" s="6" t="s">
        <v>175</v>
      </c>
      <c r="B361" s="6" t="s">
        <v>6</v>
      </c>
      <c r="C361" s="7" t="n">
        <v>2183</v>
      </c>
      <c r="D361" s="7" t="n">
        <v>36</v>
      </c>
      <c r="E361" s="7" t="n">
        <v>8.2</v>
      </c>
    </row>
    <row r="362" customFormat="false" ht="15" hidden="false" customHeight="true" outlineLevel="0" collapsed="false">
      <c r="A362" s="8" t="s">
        <v>175</v>
      </c>
      <c r="B362" s="8" t="s">
        <v>4</v>
      </c>
      <c r="C362" s="9" t="n">
        <v>2171</v>
      </c>
      <c r="D362" s="9" t="n">
        <v>42</v>
      </c>
      <c r="E362" s="9" t="n">
        <v>8.2</v>
      </c>
    </row>
    <row r="363" customFormat="false" ht="15" hidden="false" customHeight="true" outlineLevel="0" collapsed="false">
      <c r="A363" s="6" t="s">
        <v>175</v>
      </c>
      <c r="B363" s="6" t="s">
        <v>5</v>
      </c>
      <c r="C363" s="7"/>
      <c r="D363" s="7" t="n">
        <v>8.2</v>
      </c>
      <c r="E363" s="7" t="n">
        <v>8.2</v>
      </c>
    </row>
    <row r="364" customFormat="false" ht="15" hidden="false" customHeight="true" outlineLevel="0" collapsed="false">
      <c r="A364" s="8" t="s">
        <v>176</v>
      </c>
      <c r="B364" s="8" t="s">
        <v>7</v>
      </c>
      <c r="C364" s="9" t="n">
        <v>2810</v>
      </c>
      <c r="D364" s="9" t="n">
        <v>0</v>
      </c>
      <c r="E364" s="9" t="n">
        <v>8.2</v>
      </c>
    </row>
    <row r="365" customFormat="false" ht="15" hidden="false" customHeight="true" outlineLevel="0" collapsed="false">
      <c r="A365" s="6" t="s">
        <v>176</v>
      </c>
      <c r="B365" s="6" t="s">
        <v>8</v>
      </c>
      <c r="C365" s="7" t="n">
        <v>2861</v>
      </c>
      <c r="D365" s="7" t="n">
        <v>0</v>
      </c>
      <c r="E365" s="7" t="n">
        <v>8.2</v>
      </c>
    </row>
    <row r="366" customFormat="false" ht="15" hidden="false" customHeight="true" outlineLevel="0" collapsed="false">
      <c r="A366" s="8" t="s">
        <v>176</v>
      </c>
      <c r="B366" s="8" t="s">
        <v>9</v>
      </c>
      <c r="C366" s="9" t="n">
        <v>2844</v>
      </c>
      <c r="D366" s="9" t="n">
        <v>0</v>
      </c>
      <c r="E366" s="9" t="n">
        <v>8.2</v>
      </c>
    </row>
    <row r="367" customFormat="false" ht="15" hidden="false" customHeight="true" outlineLevel="0" collapsed="false">
      <c r="A367" s="6" t="s">
        <v>177</v>
      </c>
      <c r="B367" s="6" t="s">
        <v>5</v>
      </c>
      <c r="C367" s="7"/>
      <c r="D367" s="7" t="n">
        <v>8.2</v>
      </c>
      <c r="E367" s="7" t="n">
        <v>8.2</v>
      </c>
    </row>
    <row r="368" customFormat="false" ht="15" hidden="false" customHeight="true" outlineLevel="0" collapsed="false">
      <c r="A368" s="8" t="s">
        <v>178</v>
      </c>
      <c r="B368" s="8" t="s">
        <v>6</v>
      </c>
      <c r="C368" s="9" t="n">
        <v>2178</v>
      </c>
      <c r="D368" s="9" t="n">
        <v>36</v>
      </c>
      <c r="E368" s="9" t="n">
        <v>8.2</v>
      </c>
    </row>
    <row r="369" customFormat="false" ht="15" hidden="false" customHeight="true" outlineLevel="0" collapsed="false">
      <c r="A369" s="6" t="s">
        <v>178</v>
      </c>
      <c r="B369" s="6" t="s">
        <v>7</v>
      </c>
      <c r="C369" s="7" t="n">
        <v>2815</v>
      </c>
      <c r="D369" s="7" t="n">
        <v>0</v>
      </c>
      <c r="E369" s="7" t="n">
        <v>8.2</v>
      </c>
    </row>
    <row r="370" customFormat="false" ht="15" hidden="false" customHeight="true" outlineLevel="0" collapsed="false">
      <c r="A370" s="8" t="s">
        <v>178</v>
      </c>
      <c r="B370" s="8" t="s">
        <v>4</v>
      </c>
      <c r="C370" s="9" t="n">
        <v>2193</v>
      </c>
      <c r="D370" s="9" t="n">
        <v>40</v>
      </c>
      <c r="E370" s="9" t="n">
        <v>8.2</v>
      </c>
    </row>
    <row r="371" customFormat="false" ht="15" hidden="false" customHeight="true" outlineLevel="0" collapsed="false">
      <c r="A371" s="6" t="s">
        <v>179</v>
      </c>
      <c r="B371" s="6" t="s">
        <v>9</v>
      </c>
      <c r="C371" s="7" t="n">
        <v>2843</v>
      </c>
      <c r="D371" s="7" t="n">
        <v>0</v>
      </c>
      <c r="E371" s="7" t="n">
        <v>8.2</v>
      </c>
    </row>
    <row r="372" customFormat="false" ht="15" hidden="false" customHeight="true" outlineLevel="0" collapsed="false">
      <c r="A372" s="8" t="s">
        <v>179</v>
      </c>
      <c r="B372" s="8" t="s">
        <v>8</v>
      </c>
      <c r="C372" s="9" t="n">
        <v>2875</v>
      </c>
      <c r="D372" s="9" t="n">
        <v>0</v>
      </c>
      <c r="E372" s="9" t="n">
        <v>8.2</v>
      </c>
    </row>
    <row r="373" customFormat="false" ht="15" hidden="false" customHeight="true" outlineLevel="0" collapsed="false">
      <c r="A373" s="6" t="s">
        <v>180</v>
      </c>
      <c r="B373" s="6" t="s">
        <v>6</v>
      </c>
      <c r="C373" s="7" t="n">
        <v>2182</v>
      </c>
      <c r="D373" s="7" t="n">
        <v>36</v>
      </c>
      <c r="E373" s="7" t="n">
        <v>8.2</v>
      </c>
    </row>
    <row r="374" customFormat="false" ht="15" hidden="false" customHeight="true" outlineLevel="0" collapsed="false">
      <c r="A374" s="8" t="s">
        <v>180</v>
      </c>
      <c r="B374" s="8" t="s">
        <v>4</v>
      </c>
      <c r="C374" s="9" t="n">
        <v>2172</v>
      </c>
      <c r="D374" s="9" t="n">
        <v>42</v>
      </c>
      <c r="E374" s="9" t="n">
        <v>8.2</v>
      </c>
    </row>
    <row r="375" customFormat="false" ht="15" hidden="false" customHeight="true" outlineLevel="0" collapsed="false">
      <c r="A375" s="6" t="s">
        <v>180</v>
      </c>
      <c r="B375" s="6" t="s">
        <v>5</v>
      </c>
      <c r="C375" s="7"/>
      <c r="D375" s="7" t="n">
        <v>8.2</v>
      </c>
      <c r="E375" s="7" t="n">
        <v>8.2</v>
      </c>
    </row>
    <row r="376" customFormat="false" ht="15" hidden="false" customHeight="true" outlineLevel="0" collapsed="false">
      <c r="A376" s="8" t="s">
        <v>181</v>
      </c>
      <c r="B376" s="8" t="s">
        <v>7</v>
      </c>
      <c r="C376" s="9" t="n">
        <v>2832</v>
      </c>
      <c r="D376" s="9" t="n">
        <v>0</v>
      </c>
      <c r="E376" s="9" t="n">
        <v>8.2</v>
      </c>
    </row>
    <row r="377" customFormat="false" ht="15" hidden="false" customHeight="true" outlineLevel="0" collapsed="false">
      <c r="A377" s="6" t="s">
        <v>181</v>
      </c>
      <c r="B377" s="6" t="s">
        <v>8</v>
      </c>
      <c r="C377" s="7" t="n">
        <v>2861</v>
      </c>
      <c r="D377" s="7" t="n">
        <v>0</v>
      </c>
      <c r="E377" s="7" t="n">
        <v>8.2</v>
      </c>
    </row>
    <row r="378" customFormat="false" ht="15" hidden="false" customHeight="true" outlineLevel="0" collapsed="false">
      <c r="A378" s="8" t="s">
        <v>181</v>
      </c>
      <c r="B378" s="8" t="s">
        <v>9</v>
      </c>
      <c r="C378" s="9" t="n">
        <v>2847</v>
      </c>
      <c r="D378" s="9" t="n">
        <v>0</v>
      </c>
      <c r="E378" s="9" t="n">
        <v>8.2</v>
      </c>
    </row>
    <row r="379" customFormat="false" ht="15" hidden="false" customHeight="true" outlineLevel="0" collapsed="false">
      <c r="A379" s="6" t="s">
        <v>182</v>
      </c>
      <c r="B379" s="6" t="s">
        <v>4</v>
      </c>
      <c r="C379" s="7" t="n">
        <v>2228</v>
      </c>
      <c r="D379" s="7" t="n">
        <v>38</v>
      </c>
      <c r="E379" s="7" t="n">
        <v>8.2</v>
      </c>
    </row>
    <row r="380" customFormat="false" ht="15" hidden="false" customHeight="true" outlineLevel="0" collapsed="false">
      <c r="A380" s="8" t="s">
        <v>182</v>
      </c>
      <c r="B380" s="8" t="s">
        <v>5</v>
      </c>
      <c r="C380" s="9"/>
      <c r="D380" s="9" t="n">
        <v>8.2</v>
      </c>
      <c r="E380" s="9" t="n">
        <v>8.2</v>
      </c>
    </row>
    <row r="381" customFormat="false" ht="15" hidden="false" customHeight="true" outlineLevel="0" collapsed="false">
      <c r="A381" s="6" t="s">
        <v>183</v>
      </c>
      <c r="B381" s="6" t="s">
        <v>6</v>
      </c>
      <c r="C381" s="7" t="n">
        <v>2187</v>
      </c>
      <c r="D381" s="7" t="n">
        <v>35</v>
      </c>
      <c r="E381" s="7" t="n">
        <v>8.2</v>
      </c>
    </row>
    <row r="382" customFormat="false" ht="15" hidden="false" customHeight="true" outlineLevel="0" collapsed="false">
      <c r="A382" s="8" t="s">
        <v>183</v>
      </c>
      <c r="B382" s="8" t="s">
        <v>7</v>
      </c>
      <c r="C382" s="9" t="n">
        <v>2816</v>
      </c>
      <c r="D382" s="9" t="n">
        <v>0</v>
      </c>
      <c r="E382" s="9" t="n">
        <v>8.2</v>
      </c>
    </row>
    <row r="383" customFormat="false" ht="15" hidden="false" customHeight="true" outlineLevel="0" collapsed="false">
      <c r="A383" s="6" t="s">
        <v>184</v>
      </c>
      <c r="B383" s="6" t="s">
        <v>9</v>
      </c>
      <c r="C383" s="7" t="n">
        <v>2838</v>
      </c>
      <c r="D383" s="7" t="n">
        <v>0</v>
      </c>
      <c r="E383" s="7" t="n">
        <v>8.2</v>
      </c>
    </row>
    <row r="384" customFormat="false" ht="15" hidden="false" customHeight="true" outlineLevel="0" collapsed="false">
      <c r="A384" s="8" t="s">
        <v>184</v>
      </c>
      <c r="B384" s="8" t="s">
        <v>8</v>
      </c>
      <c r="C384" s="9" t="n">
        <v>2863</v>
      </c>
      <c r="D384" s="9" t="n">
        <v>0</v>
      </c>
      <c r="E384" s="9" t="n">
        <v>8.2</v>
      </c>
    </row>
    <row r="385" customFormat="false" ht="15" hidden="false" customHeight="true" outlineLevel="0" collapsed="false">
      <c r="A385" s="6" t="s">
        <v>185</v>
      </c>
      <c r="B385" s="6" t="s">
        <v>5</v>
      </c>
      <c r="C385" s="7"/>
      <c r="D385" s="7" t="n">
        <v>8.2</v>
      </c>
      <c r="E385" s="7" t="n">
        <v>8.2</v>
      </c>
    </row>
    <row r="386" customFormat="false" ht="15" hidden="false" customHeight="true" outlineLevel="0" collapsed="false">
      <c r="A386" s="8" t="s">
        <v>186</v>
      </c>
      <c r="B386" s="8" t="s">
        <v>6</v>
      </c>
      <c r="C386" s="9" t="n">
        <v>2179</v>
      </c>
      <c r="D386" s="9" t="n">
        <v>36</v>
      </c>
      <c r="E386" s="9" t="n">
        <v>8.2</v>
      </c>
    </row>
    <row r="387" customFormat="false" ht="15" hidden="false" customHeight="true" outlineLevel="0" collapsed="false">
      <c r="A387" s="6" t="s">
        <v>186</v>
      </c>
      <c r="B387" s="6" t="s">
        <v>7</v>
      </c>
      <c r="C387" s="7" t="n">
        <v>2815</v>
      </c>
      <c r="D387" s="7" t="n">
        <v>0</v>
      </c>
      <c r="E387" s="7" t="n">
        <v>8.2</v>
      </c>
    </row>
    <row r="388" customFormat="false" ht="15" hidden="false" customHeight="true" outlineLevel="0" collapsed="false">
      <c r="A388" s="8" t="s">
        <v>186</v>
      </c>
      <c r="B388" s="8" t="s">
        <v>4</v>
      </c>
      <c r="C388" s="9" t="n">
        <v>2192</v>
      </c>
      <c r="D388" s="9" t="n">
        <v>40</v>
      </c>
      <c r="E388" s="9" t="n">
        <v>8.2</v>
      </c>
    </row>
    <row r="389" customFormat="false" ht="15" hidden="false" customHeight="true" outlineLevel="0" collapsed="false">
      <c r="A389" s="6" t="s">
        <v>187</v>
      </c>
      <c r="B389" s="6" t="s">
        <v>8</v>
      </c>
      <c r="C389" s="7" t="n">
        <v>2863</v>
      </c>
      <c r="D389" s="7" t="n">
        <v>0</v>
      </c>
      <c r="E389" s="7" t="n">
        <v>8.2</v>
      </c>
    </row>
    <row r="390" customFormat="false" ht="15" hidden="false" customHeight="true" outlineLevel="0" collapsed="false">
      <c r="A390" s="8" t="s">
        <v>187</v>
      </c>
      <c r="B390" s="8" t="s">
        <v>9</v>
      </c>
      <c r="C390" s="9" t="n">
        <v>2835</v>
      </c>
      <c r="D390" s="9" t="n">
        <v>0</v>
      </c>
      <c r="E390" s="9" t="n">
        <v>8.2</v>
      </c>
    </row>
    <row r="391" customFormat="false" ht="15" hidden="false" customHeight="true" outlineLevel="0" collapsed="false">
      <c r="A391" s="6" t="s">
        <v>188</v>
      </c>
      <c r="B391" s="6" t="s">
        <v>5</v>
      </c>
      <c r="C391" s="7"/>
      <c r="D391" s="7" t="n">
        <v>8.2</v>
      </c>
      <c r="E391" s="7" t="n">
        <v>8.2</v>
      </c>
    </row>
    <row r="392" customFormat="false" ht="15" hidden="false" customHeight="true" outlineLevel="0" collapsed="false">
      <c r="A392" s="8" t="s">
        <v>189</v>
      </c>
      <c r="B392" s="8" t="s">
        <v>6</v>
      </c>
      <c r="C392" s="9" t="n">
        <v>2224</v>
      </c>
      <c r="D392" s="9" t="n">
        <v>33</v>
      </c>
      <c r="E392" s="9" t="n">
        <v>8.2</v>
      </c>
    </row>
    <row r="393" customFormat="false" ht="15" hidden="false" customHeight="true" outlineLevel="0" collapsed="false">
      <c r="A393" s="6" t="s">
        <v>189</v>
      </c>
      <c r="B393" s="6" t="s">
        <v>4</v>
      </c>
      <c r="C393" s="7" t="n">
        <v>2222</v>
      </c>
      <c r="D393" s="7" t="n">
        <v>38</v>
      </c>
      <c r="E393" s="7" t="n">
        <v>8.2</v>
      </c>
    </row>
    <row r="394" customFormat="false" ht="15" hidden="false" customHeight="true" outlineLevel="0" collapsed="false">
      <c r="A394" s="8" t="s">
        <v>190</v>
      </c>
      <c r="B394" s="8" t="s">
        <v>9</v>
      </c>
      <c r="C394" s="9" t="n">
        <v>2851</v>
      </c>
      <c r="D394" s="9" t="n">
        <v>0</v>
      </c>
      <c r="E394" s="9" t="n">
        <v>8.2</v>
      </c>
    </row>
    <row r="395" customFormat="false" ht="15" hidden="false" customHeight="true" outlineLevel="0" collapsed="false">
      <c r="A395" s="6" t="s">
        <v>190</v>
      </c>
      <c r="B395" s="6" t="s">
        <v>8</v>
      </c>
      <c r="C395" s="7" t="n">
        <v>2864</v>
      </c>
      <c r="D395" s="7" t="n">
        <v>0</v>
      </c>
      <c r="E395" s="7" t="n">
        <v>8.2</v>
      </c>
    </row>
    <row r="396" customFormat="false" ht="15" hidden="false" customHeight="true" outlineLevel="0" collapsed="false">
      <c r="A396" s="8" t="s">
        <v>190</v>
      </c>
      <c r="B396" s="8" t="s">
        <v>7</v>
      </c>
      <c r="C396" s="9" t="n">
        <v>2814</v>
      </c>
      <c r="D396" s="9" t="n">
        <v>0</v>
      </c>
      <c r="E396" s="9" t="n">
        <v>8.2</v>
      </c>
    </row>
    <row r="397" customFormat="false" ht="15" hidden="false" customHeight="true" outlineLevel="0" collapsed="false">
      <c r="A397" s="6" t="s">
        <v>191</v>
      </c>
      <c r="B397" s="6" t="s">
        <v>4</v>
      </c>
      <c r="C397" s="7" t="n">
        <v>2174</v>
      </c>
      <c r="D397" s="7" t="n">
        <v>42</v>
      </c>
      <c r="E397" s="7" t="n">
        <v>8.2</v>
      </c>
    </row>
    <row r="398" customFormat="false" ht="15" hidden="false" customHeight="true" outlineLevel="0" collapsed="false">
      <c r="A398" s="8" t="s">
        <v>191</v>
      </c>
      <c r="B398" s="8" t="s">
        <v>5</v>
      </c>
      <c r="C398" s="9"/>
      <c r="D398" s="9" t="n">
        <v>8.2</v>
      </c>
      <c r="E398" s="9" t="n">
        <v>8.2</v>
      </c>
    </row>
    <row r="399" customFormat="false" ht="15" hidden="false" customHeight="true" outlineLevel="0" collapsed="false">
      <c r="A399" s="6" t="s">
        <v>192</v>
      </c>
      <c r="B399" s="6" t="s">
        <v>6</v>
      </c>
      <c r="C399" s="7" t="n">
        <v>2179</v>
      </c>
      <c r="D399" s="7" t="n">
        <v>36</v>
      </c>
      <c r="E399" s="7" t="n">
        <v>8.2</v>
      </c>
    </row>
    <row r="400" customFormat="false" ht="15" hidden="false" customHeight="true" outlineLevel="0" collapsed="false">
      <c r="A400" s="8" t="s">
        <v>192</v>
      </c>
      <c r="B400" s="8" t="s">
        <v>7</v>
      </c>
      <c r="C400" s="9" t="n">
        <v>2815</v>
      </c>
      <c r="D400" s="9" t="n">
        <v>0</v>
      </c>
      <c r="E400" s="9" t="n">
        <v>8.2</v>
      </c>
    </row>
    <row r="401" customFormat="false" ht="15" hidden="false" customHeight="true" outlineLevel="0" collapsed="false">
      <c r="A401" s="6" t="s">
        <v>192</v>
      </c>
      <c r="B401" s="6" t="s">
        <v>8</v>
      </c>
      <c r="C401" s="7" t="n">
        <v>2858</v>
      </c>
      <c r="D401" s="7" t="n">
        <v>0</v>
      </c>
      <c r="E401" s="7" t="n">
        <v>8.2</v>
      </c>
    </row>
    <row r="402" customFormat="false" ht="15" hidden="false" customHeight="true" outlineLevel="0" collapsed="false">
      <c r="A402" s="8" t="s">
        <v>193</v>
      </c>
      <c r="B402" s="8" t="s">
        <v>9</v>
      </c>
      <c r="C402" s="9" t="n">
        <v>2846</v>
      </c>
      <c r="D402" s="9" t="n">
        <v>0</v>
      </c>
      <c r="E402" s="9" t="n">
        <v>8.2</v>
      </c>
    </row>
    <row r="403" customFormat="false" ht="15" hidden="false" customHeight="true" outlineLevel="0" collapsed="false">
      <c r="A403" s="6" t="s">
        <v>194</v>
      </c>
      <c r="B403" s="6" t="s">
        <v>5</v>
      </c>
      <c r="C403" s="7"/>
      <c r="D403" s="7" t="n">
        <v>8.2</v>
      </c>
      <c r="E403" s="7" t="n">
        <v>8.2</v>
      </c>
    </row>
    <row r="404" customFormat="false" ht="15" hidden="false" customHeight="true" outlineLevel="0" collapsed="false">
      <c r="A404" s="8" t="s">
        <v>195</v>
      </c>
      <c r="B404" s="8" t="s">
        <v>4</v>
      </c>
      <c r="C404" s="9" t="n">
        <v>2192</v>
      </c>
      <c r="D404" s="9" t="n">
        <v>40</v>
      </c>
      <c r="E404" s="9" t="n">
        <v>8.2</v>
      </c>
    </row>
    <row r="405" customFormat="false" ht="15" hidden="false" customHeight="true" outlineLevel="0" collapsed="false">
      <c r="A405" s="6" t="s">
        <v>196</v>
      </c>
      <c r="B405" s="6" t="s">
        <v>6</v>
      </c>
      <c r="C405" s="7" t="n">
        <v>2176</v>
      </c>
      <c r="D405" s="7" t="n">
        <v>36</v>
      </c>
      <c r="E405" s="7" t="n">
        <v>8.2</v>
      </c>
    </row>
    <row r="406" customFormat="false" ht="15" hidden="false" customHeight="true" outlineLevel="0" collapsed="false">
      <c r="A406" s="8" t="s">
        <v>196</v>
      </c>
      <c r="B406" s="8" t="s">
        <v>7</v>
      </c>
      <c r="C406" s="9" t="n">
        <v>2815</v>
      </c>
      <c r="D406" s="9" t="n">
        <v>0</v>
      </c>
      <c r="E406" s="9" t="n">
        <v>8.2</v>
      </c>
    </row>
    <row r="407" customFormat="false" ht="15" hidden="false" customHeight="true" outlineLevel="0" collapsed="false">
      <c r="A407" s="6" t="s">
        <v>197</v>
      </c>
      <c r="B407" s="6" t="s">
        <v>8</v>
      </c>
      <c r="C407" s="7" t="n">
        <v>2857</v>
      </c>
      <c r="D407" s="7" t="n">
        <v>0</v>
      </c>
      <c r="E407" s="7" t="n">
        <v>8.2</v>
      </c>
    </row>
    <row r="408" customFormat="false" ht="15" hidden="false" customHeight="true" outlineLevel="0" collapsed="false">
      <c r="A408" s="8" t="s">
        <v>197</v>
      </c>
      <c r="B408" s="8" t="s">
        <v>9</v>
      </c>
      <c r="C408" s="9" t="n">
        <v>2846</v>
      </c>
      <c r="D408" s="9" t="n">
        <v>0</v>
      </c>
      <c r="E408" s="9" t="n">
        <v>8.2</v>
      </c>
    </row>
    <row r="409" customFormat="false" ht="15" hidden="false" customHeight="true" outlineLevel="0" collapsed="false">
      <c r="A409" s="6" t="s">
        <v>198</v>
      </c>
      <c r="B409" s="6" t="s">
        <v>4</v>
      </c>
      <c r="C409" s="7" t="n">
        <v>2194</v>
      </c>
      <c r="D409" s="7" t="n">
        <v>40</v>
      </c>
      <c r="E409" s="7" t="n">
        <v>8.2</v>
      </c>
    </row>
    <row r="410" customFormat="false" ht="15" hidden="false" customHeight="true" outlineLevel="0" collapsed="false">
      <c r="A410" s="8" t="s">
        <v>198</v>
      </c>
      <c r="B410" s="8" t="s">
        <v>5</v>
      </c>
      <c r="C410" s="9"/>
      <c r="D410" s="9" t="n">
        <v>8.2</v>
      </c>
      <c r="E410" s="9" t="n">
        <v>8.2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7" min="4" style="1" width="12"/>
    <col collapsed="false" customWidth="true" hidden="false" outlineLevel="0" max="8" min="8" style="1" width="8"/>
    <col collapsed="false" customWidth="true" hidden="false" outlineLevel="0" max="10" min="9" style="1" width="10"/>
    <col collapsed="false" customWidth="true" hidden="false" outlineLevel="0" max="11" min="11" style="1" width="30"/>
  </cols>
  <sheetData>
    <row r="1" customFormat="false" ht="27.75" hidden="false" customHeight="true" outlineLevel="0" collapsed="false">
      <c r="A1" s="10" t="s">
        <v>199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21.75" hidden="false" customHeight="true" outlineLevel="0" collapsed="false">
      <c r="A2" s="11" t="s">
        <v>200</v>
      </c>
      <c r="B2" s="11" t="s">
        <v>201</v>
      </c>
      <c r="C2" s="11" t="s">
        <v>202</v>
      </c>
      <c r="D2" s="11" t="s">
        <v>203</v>
      </c>
      <c r="E2" s="11" t="s">
        <v>204</v>
      </c>
      <c r="F2" s="11" t="s">
        <v>205</v>
      </c>
      <c r="G2" s="11" t="s">
        <v>206</v>
      </c>
      <c r="H2" s="11" t="s">
        <v>207</v>
      </c>
      <c r="I2" s="11" t="s">
        <v>208</v>
      </c>
      <c r="J2" s="11" t="s">
        <v>209</v>
      </c>
      <c r="K2" s="11" t="s">
        <v>210</v>
      </c>
    </row>
    <row r="3" customFormat="false" ht="15" hidden="false" customHeight="true" outlineLevel="0" collapsed="false">
      <c r="A3" s="12" t="s">
        <v>211</v>
      </c>
      <c r="B3" s="13" t="n">
        <v>16.2</v>
      </c>
      <c r="C3" s="13" t="n">
        <v>14.3</v>
      </c>
      <c r="D3" s="14" t="n">
        <v>0</v>
      </c>
      <c r="E3" s="14" t="n">
        <v>0</v>
      </c>
      <c r="F3" s="14" t="n">
        <v>0</v>
      </c>
      <c r="G3" s="14" t="n">
        <v>0</v>
      </c>
      <c r="H3" s="13" t="n">
        <v>6</v>
      </c>
      <c r="I3" s="14" t="s">
        <v>212</v>
      </c>
      <c r="J3" s="15" t="s">
        <v>213</v>
      </c>
      <c r="K3" s="12" t="s">
        <v>214</v>
      </c>
    </row>
    <row r="4" customFormat="false" ht="15" hidden="false" customHeight="true" outlineLevel="0" collapsed="false">
      <c r="A4" s="12" t="s">
        <v>215</v>
      </c>
      <c r="B4" s="13" t="n">
        <v>16.2</v>
      </c>
      <c r="C4" s="13" t="n">
        <v>14.2</v>
      </c>
      <c r="D4" s="14" t="n">
        <v>0</v>
      </c>
      <c r="E4" s="14" t="n">
        <v>0</v>
      </c>
      <c r="F4" s="14" t="n">
        <v>0</v>
      </c>
      <c r="G4" s="14" t="n">
        <v>0</v>
      </c>
      <c r="H4" s="13" t="n">
        <v>5.9</v>
      </c>
      <c r="I4" s="14" t="s">
        <v>212</v>
      </c>
      <c r="J4" s="15" t="s">
        <v>213</v>
      </c>
      <c r="K4" s="12" t="s">
        <v>214</v>
      </c>
    </row>
    <row r="5" customFormat="false" ht="15" hidden="false" customHeight="true" outlineLevel="0" collapsed="false">
      <c r="A5" s="12" t="s">
        <v>216</v>
      </c>
      <c r="B5" s="13" t="n">
        <v>16.2</v>
      </c>
      <c r="C5" s="13" t="n">
        <v>14.3</v>
      </c>
      <c r="D5" s="14" t="n">
        <v>0</v>
      </c>
      <c r="E5" s="14" t="n">
        <v>0</v>
      </c>
      <c r="F5" s="14" t="n">
        <v>0</v>
      </c>
      <c r="G5" s="14" t="n">
        <v>0</v>
      </c>
      <c r="H5" s="13" t="n">
        <v>5.9</v>
      </c>
      <c r="I5" s="14" t="s">
        <v>212</v>
      </c>
      <c r="J5" s="15" t="s">
        <v>213</v>
      </c>
      <c r="K5" s="12" t="s">
        <v>214</v>
      </c>
    </row>
    <row r="6" customFormat="false" ht="15" hidden="false" customHeight="true" outlineLevel="0" collapsed="false">
      <c r="A6" s="12" t="s">
        <v>217</v>
      </c>
      <c r="B6" s="13" t="n">
        <v>16.3</v>
      </c>
      <c r="C6" s="13" t="n">
        <v>14.2</v>
      </c>
      <c r="D6" s="14" t="n">
        <v>0</v>
      </c>
      <c r="E6" s="14" t="n">
        <v>0</v>
      </c>
      <c r="F6" s="14" t="n">
        <v>0</v>
      </c>
      <c r="G6" s="14" t="n">
        <v>0</v>
      </c>
      <c r="H6" s="13" t="n">
        <v>5.9</v>
      </c>
      <c r="I6" s="14" t="s">
        <v>212</v>
      </c>
      <c r="J6" s="15" t="s">
        <v>213</v>
      </c>
      <c r="K6" s="12" t="s">
        <v>214</v>
      </c>
    </row>
    <row r="7" customFormat="false" ht="15" hidden="false" customHeight="true" outlineLevel="0" collapsed="false">
      <c r="A7" s="12" t="s">
        <v>218</v>
      </c>
      <c r="B7" s="13" t="n">
        <v>16.2</v>
      </c>
      <c r="C7" s="13" t="n">
        <v>14.2</v>
      </c>
      <c r="D7" s="14" t="n">
        <v>0</v>
      </c>
      <c r="E7" s="14" t="n">
        <v>0</v>
      </c>
      <c r="F7" s="14" t="n">
        <v>0</v>
      </c>
      <c r="G7" s="14" t="n">
        <v>0</v>
      </c>
      <c r="H7" s="13" t="n">
        <v>5.9</v>
      </c>
      <c r="I7" s="14" t="s">
        <v>212</v>
      </c>
      <c r="J7" s="15" t="s">
        <v>213</v>
      </c>
      <c r="K7" s="12" t="s">
        <v>214</v>
      </c>
    </row>
    <row r="8" customFormat="false" ht="15" hidden="false" customHeight="true" outlineLevel="0" collapsed="false">
      <c r="A8" s="12" t="s">
        <v>219</v>
      </c>
      <c r="B8" s="13" t="n">
        <v>16.3</v>
      </c>
      <c r="C8" s="13" t="n">
        <v>14.2</v>
      </c>
      <c r="D8" s="14" t="n">
        <v>0</v>
      </c>
      <c r="E8" s="14" t="n">
        <v>0</v>
      </c>
      <c r="F8" s="14" t="n">
        <v>0</v>
      </c>
      <c r="G8" s="14" t="n">
        <v>0</v>
      </c>
      <c r="H8" s="13" t="n">
        <v>5.8</v>
      </c>
      <c r="I8" s="14" t="s">
        <v>212</v>
      </c>
      <c r="J8" s="15" t="s">
        <v>213</v>
      </c>
      <c r="K8" s="12" t="s">
        <v>214</v>
      </c>
    </row>
    <row r="9" customFormat="false" ht="15" hidden="false" customHeight="true" outlineLevel="0" collapsed="false">
      <c r="A9" s="12" t="s">
        <v>220</v>
      </c>
      <c r="B9" s="13" t="n">
        <v>16.2</v>
      </c>
      <c r="C9" s="13" t="n">
        <v>14.2</v>
      </c>
      <c r="D9" s="14" t="n">
        <v>0</v>
      </c>
      <c r="E9" s="14" t="n">
        <v>0</v>
      </c>
      <c r="F9" s="14" t="n">
        <v>0</v>
      </c>
      <c r="G9" s="14" t="n">
        <v>0</v>
      </c>
      <c r="H9" s="13" t="n">
        <v>5.8</v>
      </c>
      <c r="I9" s="14" t="s">
        <v>212</v>
      </c>
      <c r="J9" s="15" t="s">
        <v>213</v>
      </c>
      <c r="K9" s="12" t="s">
        <v>214</v>
      </c>
    </row>
    <row r="10" customFormat="false" ht="15" hidden="false" customHeight="true" outlineLevel="0" collapsed="false">
      <c r="A10" s="12" t="s">
        <v>221</v>
      </c>
      <c r="B10" s="13" t="n">
        <v>16.2</v>
      </c>
      <c r="C10" s="13" t="n">
        <v>14.2</v>
      </c>
      <c r="D10" s="14" t="n">
        <v>0</v>
      </c>
      <c r="E10" s="14" t="n">
        <v>0</v>
      </c>
      <c r="F10" s="14" t="n">
        <v>0</v>
      </c>
      <c r="G10" s="14" t="n">
        <v>0</v>
      </c>
      <c r="H10" s="13" t="n">
        <v>5.8</v>
      </c>
      <c r="I10" s="14" t="s">
        <v>212</v>
      </c>
      <c r="J10" s="15" t="s">
        <v>213</v>
      </c>
      <c r="K10" s="12" t="s">
        <v>214</v>
      </c>
    </row>
    <row r="11" customFormat="false" ht="15" hidden="false" customHeight="true" outlineLevel="0" collapsed="false">
      <c r="A11" s="12" t="s">
        <v>222</v>
      </c>
      <c r="B11" s="13" t="n">
        <v>16.3</v>
      </c>
      <c r="C11" s="13" t="n">
        <v>14.2</v>
      </c>
      <c r="D11" s="14" t="n">
        <v>0</v>
      </c>
      <c r="E11" s="14" t="n">
        <v>0</v>
      </c>
      <c r="F11" s="14" t="n">
        <v>0</v>
      </c>
      <c r="G11" s="14" t="n">
        <v>0</v>
      </c>
      <c r="H11" s="13" t="n">
        <v>5.8</v>
      </c>
      <c r="I11" s="14" t="s">
        <v>212</v>
      </c>
      <c r="J11" s="15" t="s">
        <v>213</v>
      </c>
      <c r="K11" s="12" t="s">
        <v>214</v>
      </c>
    </row>
    <row r="12" customFormat="false" ht="15" hidden="false" customHeight="true" outlineLevel="0" collapsed="false">
      <c r="A12" s="12" t="s">
        <v>223</v>
      </c>
      <c r="B12" s="13" t="n">
        <v>16.2</v>
      </c>
      <c r="C12" s="13" t="n">
        <v>14.2</v>
      </c>
      <c r="D12" s="14" t="n">
        <v>0</v>
      </c>
      <c r="E12" s="14" t="n">
        <v>0</v>
      </c>
      <c r="F12" s="14" t="n">
        <v>0</v>
      </c>
      <c r="G12" s="14" t="n">
        <v>0</v>
      </c>
      <c r="H12" s="13" t="n">
        <v>5.8</v>
      </c>
      <c r="I12" s="14" t="s">
        <v>212</v>
      </c>
      <c r="J12" s="15" t="s">
        <v>213</v>
      </c>
      <c r="K12" s="12" t="s">
        <v>214</v>
      </c>
    </row>
    <row r="13" customFormat="false" ht="15" hidden="false" customHeight="true" outlineLevel="0" collapsed="false">
      <c r="A13" s="12" t="s">
        <v>224</v>
      </c>
      <c r="B13" s="13" t="n">
        <v>16.2</v>
      </c>
      <c r="C13" s="13" t="n">
        <v>14.2</v>
      </c>
      <c r="D13" s="14" t="n">
        <v>0</v>
      </c>
      <c r="E13" s="14" t="n">
        <v>0</v>
      </c>
      <c r="F13" s="14" t="n">
        <v>0</v>
      </c>
      <c r="G13" s="14" t="n">
        <v>0</v>
      </c>
      <c r="H13" s="13" t="n">
        <v>5.8</v>
      </c>
      <c r="I13" s="14" t="s">
        <v>212</v>
      </c>
      <c r="J13" s="15" t="s">
        <v>213</v>
      </c>
      <c r="K13" s="12" t="s">
        <v>214</v>
      </c>
    </row>
    <row r="14" customFormat="false" ht="15" hidden="false" customHeight="true" outlineLevel="0" collapsed="false">
      <c r="A14" s="12" t="s">
        <v>225</v>
      </c>
      <c r="B14" s="13" t="n">
        <v>16.2</v>
      </c>
      <c r="C14" s="13" t="n">
        <v>14.2</v>
      </c>
      <c r="D14" s="14" t="n">
        <v>0</v>
      </c>
      <c r="E14" s="14" t="n">
        <v>0</v>
      </c>
      <c r="F14" s="14" t="n">
        <v>0</v>
      </c>
      <c r="G14" s="14" t="n">
        <v>0</v>
      </c>
      <c r="H14" s="13" t="n">
        <v>5.8</v>
      </c>
      <c r="I14" s="14" t="s">
        <v>212</v>
      </c>
      <c r="J14" s="15" t="s">
        <v>213</v>
      </c>
      <c r="K14" s="12" t="s">
        <v>214</v>
      </c>
    </row>
    <row r="15" customFormat="false" ht="15" hidden="false" customHeight="true" outlineLevel="0" collapsed="false">
      <c r="A15" s="12" t="s">
        <v>226</v>
      </c>
      <c r="B15" s="13" t="n">
        <v>16.2</v>
      </c>
      <c r="C15" s="13" t="n">
        <v>14.1</v>
      </c>
      <c r="D15" s="14" t="n">
        <v>0</v>
      </c>
      <c r="E15" s="14" t="n">
        <v>0</v>
      </c>
      <c r="F15" s="14" t="n">
        <v>0</v>
      </c>
      <c r="G15" s="14" t="n">
        <v>0</v>
      </c>
      <c r="H15" s="13" t="n">
        <v>5.8</v>
      </c>
      <c r="I15" s="14" t="s">
        <v>212</v>
      </c>
      <c r="J15" s="15" t="s">
        <v>213</v>
      </c>
      <c r="K15" s="12" t="s">
        <v>214</v>
      </c>
    </row>
    <row r="16" customFormat="false" ht="15" hidden="false" customHeight="true" outlineLevel="0" collapsed="false">
      <c r="A16" s="12" t="s">
        <v>227</v>
      </c>
      <c r="B16" s="13" t="n">
        <v>16.2</v>
      </c>
      <c r="C16" s="13" t="n">
        <v>14.1</v>
      </c>
      <c r="D16" s="14" t="n">
        <v>0</v>
      </c>
      <c r="E16" s="14" t="n">
        <v>0</v>
      </c>
      <c r="F16" s="14" t="n">
        <v>0</v>
      </c>
      <c r="G16" s="14" t="n">
        <v>0</v>
      </c>
      <c r="H16" s="13" t="n">
        <v>5.7</v>
      </c>
      <c r="I16" s="14" t="s">
        <v>212</v>
      </c>
      <c r="J16" s="15" t="s">
        <v>213</v>
      </c>
      <c r="K16" s="12" t="s">
        <v>214</v>
      </c>
    </row>
    <row r="17" customFormat="false" ht="15" hidden="false" customHeight="true" outlineLevel="0" collapsed="false">
      <c r="A17" s="12" t="s">
        <v>228</v>
      </c>
      <c r="B17" s="13" t="n">
        <v>16.2</v>
      </c>
      <c r="C17" s="13" t="n">
        <v>14.1</v>
      </c>
      <c r="D17" s="14" t="n">
        <v>0</v>
      </c>
      <c r="E17" s="14" t="n">
        <v>0</v>
      </c>
      <c r="F17" s="14" t="n">
        <v>0</v>
      </c>
      <c r="G17" s="14" t="n">
        <v>0</v>
      </c>
      <c r="H17" s="13" t="n">
        <v>5.7</v>
      </c>
      <c r="I17" s="14" t="s">
        <v>212</v>
      </c>
      <c r="J17" s="15" t="s">
        <v>213</v>
      </c>
      <c r="K17" s="12" t="s">
        <v>214</v>
      </c>
    </row>
    <row r="18" customFormat="false" ht="15" hidden="false" customHeight="true" outlineLevel="0" collapsed="false">
      <c r="A18" s="12" t="s">
        <v>229</v>
      </c>
      <c r="B18" s="13" t="n">
        <v>16.2</v>
      </c>
      <c r="C18" s="13" t="n">
        <v>14.1</v>
      </c>
      <c r="D18" s="14" t="n">
        <v>0</v>
      </c>
      <c r="E18" s="14" t="n">
        <v>0</v>
      </c>
      <c r="F18" s="14" t="n">
        <v>0</v>
      </c>
      <c r="G18" s="14" t="n">
        <v>0</v>
      </c>
      <c r="H18" s="13" t="n">
        <v>5.7</v>
      </c>
      <c r="I18" s="14" t="s">
        <v>212</v>
      </c>
      <c r="J18" s="15" t="s">
        <v>213</v>
      </c>
      <c r="K18" s="12" t="s">
        <v>214</v>
      </c>
    </row>
    <row r="19" customFormat="false" ht="15" hidden="false" customHeight="true" outlineLevel="0" collapsed="false">
      <c r="A19" s="12" t="s">
        <v>230</v>
      </c>
      <c r="B19" s="13" t="n">
        <v>16.3</v>
      </c>
      <c r="C19" s="13" t="n">
        <v>14.1</v>
      </c>
      <c r="D19" s="14" t="n">
        <v>0</v>
      </c>
      <c r="E19" s="14" t="n">
        <v>0</v>
      </c>
      <c r="F19" s="14" t="n">
        <v>0</v>
      </c>
      <c r="G19" s="14" t="n">
        <v>0</v>
      </c>
      <c r="H19" s="13" t="n">
        <v>5.7</v>
      </c>
      <c r="I19" s="14" t="s">
        <v>212</v>
      </c>
      <c r="J19" s="15" t="s">
        <v>213</v>
      </c>
      <c r="K19" s="12" t="s">
        <v>214</v>
      </c>
    </row>
    <row r="20" customFormat="false" ht="15" hidden="false" customHeight="true" outlineLevel="0" collapsed="false">
      <c r="A20" s="12" t="s">
        <v>231</v>
      </c>
      <c r="B20" s="13" t="n">
        <v>16.2</v>
      </c>
      <c r="C20" s="13" t="n">
        <v>14.1</v>
      </c>
      <c r="D20" s="14" t="n">
        <v>0</v>
      </c>
      <c r="E20" s="14" t="n">
        <v>0</v>
      </c>
      <c r="F20" s="14" t="n">
        <v>0</v>
      </c>
      <c r="G20" s="14" t="n">
        <v>0</v>
      </c>
      <c r="H20" s="13" t="n">
        <v>5.7</v>
      </c>
      <c r="I20" s="14" t="s">
        <v>212</v>
      </c>
      <c r="J20" s="15" t="s">
        <v>213</v>
      </c>
      <c r="K20" s="12" t="s">
        <v>214</v>
      </c>
    </row>
    <row r="21" customFormat="false" ht="15" hidden="false" customHeight="true" outlineLevel="0" collapsed="false">
      <c r="A21" s="12" t="s">
        <v>232</v>
      </c>
      <c r="B21" s="13" t="n">
        <v>16.3</v>
      </c>
      <c r="C21" s="13" t="n">
        <v>14.1</v>
      </c>
      <c r="D21" s="14" t="n">
        <v>0</v>
      </c>
      <c r="E21" s="14" t="n">
        <v>0</v>
      </c>
      <c r="F21" s="14" t="n">
        <v>0</v>
      </c>
      <c r="G21" s="14" t="n">
        <v>0</v>
      </c>
      <c r="H21" s="13" t="n">
        <v>5.7</v>
      </c>
      <c r="I21" s="14" t="s">
        <v>212</v>
      </c>
      <c r="J21" s="15" t="s">
        <v>213</v>
      </c>
      <c r="K21" s="12" t="s">
        <v>214</v>
      </c>
    </row>
    <row r="22" customFormat="false" ht="15" hidden="false" customHeight="true" outlineLevel="0" collapsed="false">
      <c r="A22" s="12" t="s">
        <v>233</v>
      </c>
      <c r="B22" s="13" t="n">
        <v>16.2</v>
      </c>
      <c r="C22" s="13" t="n">
        <v>14.1</v>
      </c>
      <c r="D22" s="14" t="n">
        <v>0</v>
      </c>
      <c r="E22" s="14" t="n">
        <v>0</v>
      </c>
      <c r="F22" s="14" t="n">
        <v>0</v>
      </c>
      <c r="G22" s="14" t="n">
        <v>0</v>
      </c>
      <c r="H22" s="13" t="n">
        <v>5.7</v>
      </c>
      <c r="I22" s="14" t="s">
        <v>212</v>
      </c>
      <c r="J22" s="15" t="s">
        <v>213</v>
      </c>
      <c r="K22" s="12" t="s">
        <v>214</v>
      </c>
    </row>
    <row r="23" customFormat="false" ht="15" hidden="false" customHeight="true" outlineLevel="0" collapsed="false">
      <c r="A23" s="12" t="s">
        <v>234</v>
      </c>
      <c r="B23" s="13" t="n">
        <v>16.2</v>
      </c>
      <c r="C23" s="13" t="n">
        <v>14</v>
      </c>
      <c r="D23" s="14" t="n">
        <v>0</v>
      </c>
      <c r="E23" s="14" t="n">
        <v>0</v>
      </c>
      <c r="F23" s="14" t="n">
        <v>0</v>
      </c>
      <c r="G23" s="14" t="n">
        <v>0</v>
      </c>
      <c r="H23" s="13" t="n">
        <v>5.7</v>
      </c>
      <c r="I23" s="14" t="s">
        <v>212</v>
      </c>
      <c r="J23" s="15" t="s">
        <v>213</v>
      </c>
      <c r="K23" s="12" t="s">
        <v>214</v>
      </c>
    </row>
    <row r="24" customFormat="false" ht="15" hidden="false" customHeight="true" outlineLevel="0" collapsed="false">
      <c r="A24" s="12" t="s">
        <v>235</v>
      </c>
      <c r="B24" s="13" t="n">
        <v>16.2</v>
      </c>
      <c r="C24" s="13" t="n">
        <v>14</v>
      </c>
      <c r="D24" s="14" t="n">
        <v>0</v>
      </c>
      <c r="E24" s="14" t="n">
        <v>0</v>
      </c>
      <c r="F24" s="14" t="n">
        <v>0</v>
      </c>
      <c r="G24" s="14" t="n">
        <v>0</v>
      </c>
      <c r="H24" s="13" t="n">
        <v>5.7</v>
      </c>
      <c r="I24" s="14" t="s">
        <v>212</v>
      </c>
      <c r="J24" s="15" t="s">
        <v>213</v>
      </c>
      <c r="K24" s="12" t="s">
        <v>214</v>
      </c>
    </row>
    <row r="25" customFormat="false" ht="15" hidden="false" customHeight="true" outlineLevel="0" collapsed="false">
      <c r="A25" s="12" t="s">
        <v>236</v>
      </c>
      <c r="B25" s="13" t="n">
        <v>16.2</v>
      </c>
      <c r="C25" s="13" t="n">
        <v>14</v>
      </c>
      <c r="D25" s="14" t="n">
        <v>0</v>
      </c>
      <c r="E25" s="14" t="n">
        <v>0</v>
      </c>
      <c r="F25" s="14" t="n">
        <v>0</v>
      </c>
      <c r="G25" s="14" t="n">
        <v>0</v>
      </c>
      <c r="H25" s="13" t="n">
        <v>5.7</v>
      </c>
      <c r="I25" s="14" t="s">
        <v>212</v>
      </c>
      <c r="J25" s="15" t="s">
        <v>213</v>
      </c>
      <c r="K25" s="12" t="s">
        <v>214</v>
      </c>
    </row>
    <row r="26" customFormat="false" ht="15" hidden="false" customHeight="true" outlineLevel="0" collapsed="false">
      <c r="A26" s="12" t="s">
        <v>237</v>
      </c>
      <c r="B26" s="13" t="n">
        <v>16.2</v>
      </c>
      <c r="C26" s="13" t="n">
        <v>14</v>
      </c>
      <c r="D26" s="14" t="n">
        <v>0</v>
      </c>
      <c r="E26" s="14" t="n">
        <v>0</v>
      </c>
      <c r="F26" s="14" t="n">
        <v>0</v>
      </c>
      <c r="G26" s="14" t="n">
        <v>0</v>
      </c>
      <c r="H26" s="13" t="n">
        <v>5.7</v>
      </c>
      <c r="I26" s="14" t="s">
        <v>212</v>
      </c>
      <c r="J26" s="15" t="s">
        <v>213</v>
      </c>
      <c r="K26" s="12" t="s">
        <v>214</v>
      </c>
    </row>
    <row r="27" customFormat="false" ht="15" hidden="false" customHeight="true" outlineLevel="0" collapsed="false">
      <c r="A27" s="12" t="s">
        <v>238</v>
      </c>
      <c r="B27" s="13" t="n">
        <v>16.3</v>
      </c>
      <c r="C27" s="13" t="n">
        <v>14</v>
      </c>
      <c r="D27" s="14" t="n">
        <v>0</v>
      </c>
      <c r="E27" s="14" t="n">
        <v>0</v>
      </c>
      <c r="F27" s="14" t="n">
        <v>0</v>
      </c>
      <c r="G27" s="14" t="n">
        <v>0</v>
      </c>
      <c r="H27" s="13" t="n">
        <v>5.6</v>
      </c>
      <c r="I27" s="14" t="s">
        <v>212</v>
      </c>
      <c r="J27" s="15" t="s">
        <v>213</v>
      </c>
      <c r="K27" s="12" t="s">
        <v>214</v>
      </c>
    </row>
    <row r="28" customFormat="false" ht="15" hidden="false" customHeight="true" outlineLevel="0" collapsed="false">
      <c r="A28" s="12" t="s">
        <v>239</v>
      </c>
      <c r="B28" s="13" t="n">
        <v>16.3</v>
      </c>
      <c r="C28" s="13" t="n">
        <v>13.9</v>
      </c>
      <c r="D28" s="14" t="n">
        <v>0</v>
      </c>
      <c r="E28" s="14" t="n">
        <v>0</v>
      </c>
      <c r="F28" s="14" t="n">
        <v>0</v>
      </c>
      <c r="G28" s="14" t="n">
        <v>0</v>
      </c>
      <c r="H28" s="13" t="n">
        <v>5.7</v>
      </c>
      <c r="I28" s="14" t="s">
        <v>212</v>
      </c>
      <c r="J28" s="15" t="s">
        <v>213</v>
      </c>
      <c r="K28" s="12" t="s">
        <v>214</v>
      </c>
    </row>
    <row r="29" customFormat="false" ht="15" hidden="false" customHeight="true" outlineLevel="0" collapsed="false">
      <c r="A29" s="12" t="s">
        <v>240</v>
      </c>
      <c r="B29" s="13" t="n">
        <v>16.2</v>
      </c>
      <c r="C29" s="13" t="n">
        <v>13.9</v>
      </c>
      <c r="D29" s="14" t="n">
        <v>0</v>
      </c>
      <c r="E29" s="14" t="n">
        <v>0</v>
      </c>
      <c r="F29" s="14" t="n">
        <v>0</v>
      </c>
      <c r="G29" s="14" t="n">
        <v>0</v>
      </c>
      <c r="H29" s="13" t="n">
        <v>5.6</v>
      </c>
      <c r="I29" s="14" t="s">
        <v>212</v>
      </c>
      <c r="J29" s="15" t="s">
        <v>213</v>
      </c>
      <c r="K29" s="12" t="s">
        <v>214</v>
      </c>
    </row>
    <row r="30" customFormat="false" ht="15" hidden="false" customHeight="true" outlineLevel="0" collapsed="false">
      <c r="A30" s="12" t="s">
        <v>241</v>
      </c>
      <c r="B30" s="13" t="n">
        <v>16.2</v>
      </c>
      <c r="C30" s="13" t="n">
        <v>13.9</v>
      </c>
      <c r="D30" s="14" t="n">
        <v>0</v>
      </c>
      <c r="E30" s="14" t="n">
        <v>0</v>
      </c>
      <c r="F30" s="14" t="n">
        <v>0</v>
      </c>
      <c r="G30" s="14" t="n">
        <v>0</v>
      </c>
      <c r="H30" s="13" t="n">
        <v>5.6</v>
      </c>
      <c r="I30" s="14" t="s">
        <v>212</v>
      </c>
      <c r="J30" s="15" t="s">
        <v>213</v>
      </c>
      <c r="K30" s="12" t="s">
        <v>214</v>
      </c>
    </row>
    <row r="31" customFormat="false" ht="15" hidden="false" customHeight="true" outlineLevel="0" collapsed="false">
      <c r="A31" s="12" t="s">
        <v>242</v>
      </c>
      <c r="B31" s="13" t="n">
        <v>16.2</v>
      </c>
      <c r="C31" s="13" t="n">
        <v>13.9</v>
      </c>
      <c r="D31" s="14" t="n">
        <v>0</v>
      </c>
      <c r="E31" s="14" t="n">
        <v>0</v>
      </c>
      <c r="F31" s="14" t="n">
        <v>0</v>
      </c>
      <c r="G31" s="14" t="n">
        <v>0</v>
      </c>
      <c r="H31" s="13" t="n">
        <v>5.6</v>
      </c>
      <c r="I31" s="14" t="s">
        <v>212</v>
      </c>
      <c r="J31" s="15" t="s">
        <v>213</v>
      </c>
      <c r="K31" s="12" t="s">
        <v>214</v>
      </c>
    </row>
    <row r="32" customFormat="false" ht="15" hidden="false" customHeight="true" outlineLevel="0" collapsed="false">
      <c r="A32" s="12" t="s">
        <v>243</v>
      </c>
      <c r="B32" s="13" t="n">
        <v>16.2</v>
      </c>
      <c r="C32" s="13" t="n">
        <v>13.9</v>
      </c>
      <c r="D32" s="14" t="n">
        <v>0</v>
      </c>
      <c r="E32" s="14" t="n">
        <v>0</v>
      </c>
      <c r="F32" s="14" t="n">
        <v>0</v>
      </c>
      <c r="G32" s="14" t="n">
        <v>0</v>
      </c>
      <c r="H32" s="13" t="n">
        <v>5.6</v>
      </c>
      <c r="I32" s="14" t="s">
        <v>212</v>
      </c>
      <c r="J32" s="15" t="s">
        <v>213</v>
      </c>
      <c r="K32" s="12" t="s">
        <v>214</v>
      </c>
    </row>
    <row r="33" customFormat="false" ht="15" hidden="false" customHeight="true" outlineLevel="0" collapsed="false">
      <c r="A33" s="12" t="s">
        <v>244</v>
      </c>
      <c r="B33" s="13" t="n">
        <v>16.2</v>
      </c>
      <c r="C33" s="13" t="n">
        <v>13.8</v>
      </c>
      <c r="D33" s="14" t="n">
        <v>0</v>
      </c>
      <c r="E33" s="14" t="n">
        <v>0</v>
      </c>
      <c r="F33" s="14" t="n">
        <v>0</v>
      </c>
      <c r="G33" s="14" t="n">
        <v>0</v>
      </c>
      <c r="H33" s="13" t="n">
        <v>5.6</v>
      </c>
      <c r="I33" s="14" t="s">
        <v>212</v>
      </c>
      <c r="J33" s="15" t="s">
        <v>213</v>
      </c>
      <c r="K33" s="12" t="s">
        <v>214</v>
      </c>
    </row>
    <row r="34" customFormat="false" ht="15" hidden="false" customHeight="true" outlineLevel="0" collapsed="false">
      <c r="A34" s="12" t="s">
        <v>245</v>
      </c>
      <c r="B34" s="13" t="n">
        <v>16.2</v>
      </c>
      <c r="C34" s="13" t="n">
        <v>13.9</v>
      </c>
      <c r="D34" s="14" t="n">
        <v>0</v>
      </c>
      <c r="E34" s="14" t="n">
        <v>0</v>
      </c>
      <c r="F34" s="14" t="n">
        <v>0</v>
      </c>
      <c r="G34" s="14" t="n">
        <v>0</v>
      </c>
      <c r="H34" s="13" t="n">
        <v>5.6</v>
      </c>
      <c r="I34" s="14" t="s">
        <v>212</v>
      </c>
      <c r="J34" s="15" t="s">
        <v>213</v>
      </c>
      <c r="K34" s="12" t="s">
        <v>214</v>
      </c>
    </row>
    <row r="35" customFormat="false" ht="15" hidden="false" customHeight="true" outlineLevel="0" collapsed="false">
      <c r="A35" s="12" t="s">
        <v>246</v>
      </c>
      <c r="B35" s="13" t="n">
        <v>16.2</v>
      </c>
      <c r="C35" s="13" t="n">
        <v>13.8</v>
      </c>
      <c r="D35" s="14" t="n">
        <v>0</v>
      </c>
      <c r="E35" s="14" t="n">
        <v>0</v>
      </c>
      <c r="F35" s="14" t="n">
        <v>0</v>
      </c>
      <c r="G35" s="14" t="n">
        <v>0</v>
      </c>
      <c r="H35" s="13" t="n">
        <v>5.6</v>
      </c>
      <c r="I35" s="14" t="s">
        <v>212</v>
      </c>
      <c r="J35" s="15" t="s">
        <v>213</v>
      </c>
      <c r="K35" s="12" t="s">
        <v>214</v>
      </c>
    </row>
    <row r="36" customFormat="false" ht="15" hidden="false" customHeight="true" outlineLevel="0" collapsed="false">
      <c r="A36" s="12" t="s">
        <v>247</v>
      </c>
      <c r="B36" s="13" t="n">
        <v>16.2</v>
      </c>
      <c r="C36" s="13" t="n">
        <v>13.8</v>
      </c>
      <c r="D36" s="14" t="n">
        <v>0</v>
      </c>
      <c r="E36" s="14" t="n">
        <v>0</v>
      </c>
      <c r="F36" s="14" t="n">
        <v>0</v>
      </c>
      <c r="G36" s="14" t="n">
        <v>0</v>
      </c>
      <c r="H36" s="13" t="n">
        <v>5.6</v>
      </c>
      <c r="I36" s="14" t="s">
        <v>212</v>
      </c>
      <c r="J36" s="15" t="s">
        <v>213</v>
      </c>
      <c r="K36" s="12" t="s">
        <v>214</v>
      </c>
    </row>
    <row r="37" customFormat="false" ht="15" hidden="false" customHeight="true" outlineLevel="0" collapsed="false">
      <c r="A37" s="12" t="s">
        <v>248</v>
      </c>
      <c r="B37" s="13" t="n">
        <v>16.2</v>
      </c>
      <c r="C37" s="13" t="n">
        <v>13.8</v>
      </c>
      <c r="D37" s="14" t="n">
        <v>0</v>
      </c>
      <c r="E37" s="14" t="n">
        <v>0</v>
      </c>
      <c r="F37" s="14" t="n">
        <v>0</v>
      </c>
      <c r="G37" s="14" t="n">
        <v>0</v>
      </c>
      <c r="H37" s="13" t="n">
        <v>5.6</v>
      </c>
      <c r="I37" s="14" t="s">
        <v>212</v>
      </c>
      <c r="J37" s="15" t="s">
        <v>213</v>
      </c>
      <c r="K37" s="12" t="s">
        <v>214</v>
      </c>
    </row>
    <row r="38" customFormat="false" ht="15" hidden="false" customHeight="true" outlineLevel="0" collapsed="false">
      <c r="A38" s="12" t="s">
        <v>249</v>
      </c>
      <c r="B38" s="13" t="n">
        <v>16.2</v>
      </c>
      <c r="C38" s="13" t="n">
        <v>13.8</v>
      </c>
      <c r="D38" s="14" t="n">
        <v>0</v>
      </c>
      <c r="E38" s="14" t="n">
        <v>0</v>
      </c>
      <c r="F38" s="14" t="n">
        <v>0</v>
      </c>
      <c r="G38" s="14" t="n">
        <v>0</v>
      </c>
      <c r="H38" s="13" t="n">
        <v>5.6</v>
      </c>
      <c r="I38" s="14" t="s">
        <v>212</v>
      </c>
      <c r="J38" s="15" t="s">
        <v>213</v>
      </c>
      <c r="K38" s="12" t="s">
        <v>214</v>
      </c>
    </row>
    <row r="39" customFormat="false" ht="15" hidden="false" customHeight="true" outlineLevel="0" collapsed="false">
      <c r="A39" s="12" t="s">
        <v>250</v>
      </c>
      <c r="B39" s="13" t="n">
        <v>16.2</v>
      </c>
      <c r="C39" s="13" t="n">
        <v>13.8</v>
      </c>
      <c r="D39" s="14" t="n">
        <v>0</v>
      </c>
      <c r="E39" s="14" t="n">
        <v>0</v>
      </c>
      <c r="F39" s="14" t="n">
        <v>0</v>
      </c>
      <c r="G39" s="14" t="n">
        <v>0</v>
      </c>
      <c r="H39" s="13" t="n">
        <v>5.6</v>
      </c>
      <c r="I39" s="14" t="s">
        <v>212</v>
      </c>
      <c r="J39" s="15" t="s">
        <v>213</v>
      </c>
      <c r="K39" s="12" t="s">
        <v>214</v>
      </c>
    </row>
    <row r="40" customFormat="false" ht="15" hidden="false" customHeight="true" outlineLevel="0" collapsed="false">
      <c r="A40" s="12" t="s">
        <v>251</v>
      </c>
      <c r="B40" s="13" t="n">
        <v>16.2</v>
      </c>
      <c r="C40" s="13" t="n">
        <v>13.8</v>
      </c>
      <c r="D40" s="14" t="n">
        <v>0</v>
      </c>
      <c r="E40" s="14" t="n">
        <v>0</v>
      </c>
      <c r="F40" s="14" t="n">
        <v>0</v>
      </c>
      <c r="G40" s="14" t="n">
        <v>0</v>
      </c>
      <c r="H40" s="13" t="n">
        <v>5.6</v>
      </c>
      <c r="I40" s="14" t="s">
        <v>212</v>
      </c>
      <c r="J40" s="15" t="s">
        <v>213</v>
      </c>
      <c r="K40" s="12" t="s">
        <v>214</v>
      </c>
    </row>
    <row r="41" customFormat="false" ht="15" hidden="false" customHeight="true" outlineLevel="0" collapsed="false">
      <c r="A41" s="12" t="s">
        <v>252</v>
      </c>
      <c r="B41" s="13" t="n">
        <v>16.2</v>
      </c>
      <c r="C41" s="13" t="n">
        <v>13.8</v>
      </c>
      <c r="D41" s="14" t="n">
        <v>0</v>
      </c>
      <c r="E41" s="14" t="n">
        <v>0</v>
      </c>
      <c r="F41" s="14" t="n">
        <v>0</v>
      </c>
      <c r="G41" s="14" t="n">
        <v>0</v>
      </c>
      <c r="H41" s="13" t="n">
        <v>5.6</v>
      </c>
      <c r="I41" s="14" t="s">
        <v>212</v>
      </c>
      <c r="J41" s="15" t="s">
        <v>213</v>
      </c>
      <c r="K41" s="12" t="s">
        <v>214</v>
      </c>
    </row>
    <row r="42" customFormat="false" ht="15" hidden="false" customHeight="true" outlineLevel="0" collapsed="false">
      <c r="A42" s="12" t="s">
        <v>253</v>
      </c>
      <c r="B42" s="13" t="n">
        <v>16.2</v>
      </c>
      <c r="C42" s="13" t="n">
        <v>13.8</v>
      </c>
      <c r="D42" s="14" t="n">
        <v>0</v>
      </c>
      <c r="E42" s="14" t="n">
        <v>0</v>
      </c>
      <c r="F42" s="14" t="n">
        <v>0</v>
      </c>
      <c r="G42" s="14" t="n">
        <v>0</v>
      </c>
      <c r="H42" s="13" t="n">
        <v>5.6</v>
      </c>
      <c r="I42" s="14" t="s">
        <v>212</v>
      </c>
      <c r="J42" s="15" t="s">
        <v>213</v>
      </c>
      <c r="K42" s="12" t="s">
        <v>214</v>
      </c>
    </row>
    <row r="43" customFormat="false" ht="15" hidden="false" customHeight="true" outlineLevel="0" collapsed="false">
      <c r="A43" s="12" t="s">
        <v>254</v>
      </c>
      <c r="B43" s="13" t="n">
        <v>16.2</v>
      </c>
      <c r="C43" s="13" t="n">
        <v>13.7</v>
      </c>
      <c r="D43" s="14" t="n">
        <v>0</v>
      </c>
      <c r="E43" s="14" t="n">
        <v>0</v>
      </c>
      <c r="F43" s="14" t="n">
        <v>0</v>
      </c>
      <c r="G43" s="14" t="n">
        <v>0</v>
      </c>
      <c r="H43" s="13" t="n">
        <v>5.5</v>
      </c>
      <c r="I43" s="14" t="s">
        <v>212</v>
      </c>
      <c r="J43" s="15" t="s">
        <v>213</v>
      </c>
      <c r="K43" s="12" t="s">
        <v>214</v>
      </c>
    </row>
    <row r="44" customFormat="false" ht="15" hidden="false" customHeight="true" outlineLevel="0" collapsed="false">
      <c r="A44" s="12" t="s">
        <v>255</v>
      </c>
      <c r="B44" s="13" t="n">
        <v>16.2</v>
      </c>
      <c r="C44" s="13" t="n">
        <v>13.7</v>
      </c>
      <c r="D44" s="14" t="n">
        <v>0</v>
      </c>
      <c r="E44" s="14" t="n">
        <v>0</v>
      </c>
      <c r="F44" s="14" t="n">
        <v>0</v>
      </c>
      <c r="G44" s="14" t="n">
        <v>0</v>
      </c>
      <c r="H44" s="13" t="n">
        <v>5.5</v>
      </c>
      <c r="I44" s="14" t="s">
        <v>212</v>
      </c>
      <c r="J44" s="15" t="s">
        <v>213</v>
      </c>
      <c r="K44" s="12" t="s">
        <v>214</v>
      </c>
    </row>
    <row r="45" customFormat="false" ht="15" hidden="false" customHeight="true" outlineLevel="0" collapsed="false">
      <c r="A45" s="12" t="s">
        <v>256</v>
      </c>
      <c r="B45" s="13" t="n">
        <v>16.2</v>
      </c>
      <c r="C45" s="13" t="n">
        <v>13.7</v>
      </c>
      <c r="D45" s="14" t="n">
        <v>0</v>
      </c>
      <c r="E45" s="14" t="n">
        <v>0</v>
      </c>
      <c r="F45" s="14" t="n">
        <v>0</v>
      </c>
      <c r="G45" s="14" t="n">
        <v>0</v>
      </c>
      <c r="H45" s="13" t="n">
        <v>5.5</v>
      </c>
      <c r="I45" s="14" t="s">
        <v>212</v>
      </c>
      <c r="J45" s="15" t="s">
        <v>213</v>
      </c>
      <c r="K45" s="12" t="s">
        <v>214</v>
      </c>
    </row>
    <row r="46" customFormat="false" ht="15" hidden="false" customHeight="true" outlineLevel="0" collapsed="false">
      <c r="A46" s="12" t="s">
        <v>257</v>
      </c>
      <c r="B46" s="13" t="n">
        <v>16.2</v>
      </c>
      <c r="C46" s="13" t="n">
        <v>13.7</v>
      </c>
      <c r="D46" s="14" t="n">
        <v>0</v>
      </c>
      <c r="E46" s="14" t="n">
        <v>0</v>
      </c>
      <c r="F46" s="14" t="n">
        <v>0</v>
      </c>
      <c r="G46" s="14" t="n">
        <v>0</v>
      </c>
      <c r="H46" s="13" t="n">
        <v>5.5</v>
      </c>
      <c r="I46" s="14" t="s">
        <v>212</v>
      </c>
      <c r="J46" s="15" t="s">
        <v>213</v>
      </c>
      <c r="K46" s="12" t="s">
        <v>214</v>
      </c>
    </row>
    <row r="47" customFormat="false" ht="15" hidden="false" customHeight="true" outlineLevel="0" collapsed="false">
      <c r="A47" s="12" t="s">
        <v>258</v>
      </c>
      <c r="B47" s="13" t="n">
        <v>16.2</v>
      </c>
      <c r="C47" s="13" t="n">
        <v>13.7</v>
      </c>
      <c r="D47" s="14" t="n">
        <v>0</v>
      </c>
      <c r="E47" s="14" t="n">
        <v>0</v>
      </c>
      <c r="F47" s="14" t="n">
        <v>0</v>
      </c>
      <c r="G47" s="14" t="n">
        <v>0</v>
      </c>
      <c r="H47" s="13" t="n">
        <v>5.5</v>
      </c>
      <c r="I47" s="14" t="s">
        <v>212</v>
      </c>
      <c r="J47" s="15" t="s">
        <v>213</v>
      </c>
      <c r="K47" s="12" t="s">
        <v>214</v>
      </c>
    </row>
    <row r="48" customFormat="false" ht="15" hidden="false" customHeight="true" outlineLevel="0" collapsed="false">
      <c r="A48" s="12" t="s">
        <v>259</v>
      </c>
      <c r="B48" s="13" t="n">
        <v>16.2</v>
      </c>
      <c r="C48" s="13" t="n">
        <v>13.7</v>
      </c>
      <c r="D48" s="14" t="n">
        <v>0</v>
      </c>
      <c r="E48" s="14" t="n">
        <v>0</v>
      </c>
      <c r="F48" s="14" t="n">
        <v>0</v>
      </c>
      <c r="G48" s="14" t="n">
        <v>0</v>
      </c>
      <c r="H48" s="13" t="n">
        <v>5.5</v>
      </c>
      <c r="I48" s="14" t="s">
        <v>212</v>
      </c>
      <c r="J48" s="15" t="s">
        <v>213</v>
      </c>
      <c r="K48" s="12" t="s">
        <v>214</v>
      </c>
    </row>
    <row r="49" customFormat="false" ht="15" hidden="false" customHeight="true" outlineLevel="0" collapsed="false">
      <c r="A49" s="12" t="s">
        <v>260</v>
      </c>
      <c r="B49" s="13" t="n">
        <v>16.2</v>
      </c>
      <c r="C49" s="13" t="n">
        <v>13.7</v>
      </c>
      <c r="D49" s="14" t="n">
        <v>0</v>
      </c>
      <c r="E49" s="14" t="n">
        <v>0</v>
      </c>
      <c r="F49" s="14" t="n">
        <v>0</v>
      </c>
      <c r="G49" s="14" t="n">
        <v>0</v>
      </c>
      <c r="H49" s="13" t="n">
        <v>5.5</v>
      </c>
      <c r="I49" s="14" t="s">
        <v>212</v>
      </c>
      <c r="J49" s="15" t="s">
        <v>213</v>
      </c>
      <c r="K49" s="12" t="s">
        <v>214</v>
      </c>
    </row>
    <row r="50" customFormat="false" ht="15" hidden="false" customHeight="true" outlineLevel="0" collapsed="false">
      <c r="A50" s="12" t="s">
        <v>261</v>
      </c>
      <c r="B50" s="13" t="n">
        <v>16.2</v>
      </c>
      <c r="C50" s="13" t="n">
        <v>13.7</v>
      </c>
      <c r="D50" s="14" t="n">
        <v>0</v>
      </c>
      <c r="E50" s="14" t="n">
        <v>0</v>
      </c>
      <c r="F50" s="14" t="n">
        <v>0</v>
      </c>
      <c r="G50" s="14" t="n">
        <v>0</v>
      </c>
      <c r="H50" s="13" t="n">
        <v>5.5</v>
      </c>
      <c r="I50" s="14" t="s">
        <v>212</v>
      </c>
      <c r="J50" s="15" t="s">
        <v>213</v>
      </c>
      <c r="K50" s="12" t="s">
        <v>214</v>
      </c>
    </row>
    <row r="51" customFormat="false" ht="15" hidden="false" customHeight="true" outlineLevel="0" collapsed="false">
      <c r="A51" s="12" t="s">
        <v>262</v>
      </c>
      <c r="B51" s="13" t="n">
        <v>16.2</v>
      </c>
      <c r="C51" s="13" t="n">
        <v>13.7</v>
      </c>
      <c r="D51" s="14" t="n">
        <v>0</v>
      </c>
      <c r="E51" s="14" t="n">
        <v>0</v>
      </c>
      <c r="F51" s="14" t="n">
        <v>0</v>
      </c>
      <c r="G51" s="14" t="n">
        <v>0</v>
      </c>
      <c r="H51" s="13" t="n">
        <v>5.5</v>
      </c>
      <c r="I51" s="14" t="s">
        <v>212</v>
      </c>
      <c r="J51" s="15" t="s">
        <v>213</v>
      </c>
      <c r="K51" s="12" t="s">
        <v>214</v>
      </c>
    </row>
    <row r="52" customFormat="false" ht="15" hidden="false" customHeight="true" outlineLevel="0" collapsed="false">
      <c r="A52" s="12" t="s">
        <v>263</v>
      </c>
      <c r="B52" s="13" t="n">
        <v>16.2</v>
      </c>
      <c r="C52" s="13" t="n">
        <v>13.7</v>
      </c>
      <c r="D52" s="14" t="n">
        <v>0</v>
      </c>
      <c r="E52" s="14" t="n">
        <v>0</v>
      </c>
      <c r="F52" s="14" t="n">
        <v>0</v>
      </c>
      <c r="G52" s="14" t="n">
        <v>0</v>
      </c>
      <c r="H52" s="13" t="n">
        <v>5.5</v>
      </c>
      <c r="I52" s="14" t="s">
        <v>212</v>
      </c>
      <c r="J52" s="15" t="s">
        <v>213</v>
      </c>
      <c r="K52" s="12" t="s">
        <v>214</v>
      </c>
    </row>
    <row r="53" customFormat="false" ht="15" hidden="false" customHeight="true" outlineLevel="0" collapsed="false">
      <c r="A53" s="12" t="s">
        <v>264</v>
      </c>
      <c r="B53" s="13" t="n">
        <v>16.2</v>
      </c>
      <c r="C53" s="13" t="n">
        <v>13.6</v>
      </c>
      <c r="D53" s="14" t="n">
        <v>0</v>
      </c>
      <c r="E53" s="14" t="n">
        <v>0</v>
      </c>
      <c r="F53" s="14" t="n">
        <v>0</v>
      </c>
      <c r="G53" s="14" t="n">
        <v>0</v>
      </c>
      <c r="H53" s="13" t="n">
        <v>5.5</v>
      </c>
      <c r="I53" s="14" t="s">
        <v>212</v>
      </c>
      <c r="J53" s="15" t="s">
        <v>213</v>
      </c>
      <c r="K53" s="12" t="s">
        <v>214</v>
      </c>
    </row>
    <row r="54" customFormat="false" ht="15" hidden="false" customHeight="true" outlineLevel="0" collapsed="false">
      <c r="A54" s="12" t="s">
        <v>265</v>
      </c>
      <c r="B54" s="13" t="n">
        <v>16.2</v>
      </c>
      <c r="C54" s="13" t="n">
        <v>13.6</v>
      </c>
      <c r="D54" s="14" t="n">
        <v>0</v>
      </c>
      <c r="E54" s="14" t="n">
        <v>0</v>
      </c>
      <c r="F54" s="14" t="n">
        <v>0</v>
      </c>
      <c r="G54" s="14" t="n">
        <v>0</v>
      </c>
      <c r="H54" s="13" t="n">
        <v>5.5</v>
      </c>
      <c r="I54" s="14" t="s">
        <v>212</v>
      </c>
      <c r="J54" s="15" t="s">
        <v>213</v>
      </c>
      <c r="K54" s="12" t="s">
        <v>214</v>
      </c>
    </row>
    <row r="55" customFormat="false" ht="15" hidden="false" customHeight="true" outlineLevel="0" collapsed="false">
      <c r="A55" s="12" t="s">
        <v>266</v>
      </c>
      <c r="B55" s="13" t="n">
        <v>16.2</v>
      </c>
      <c r="C55" s="13" t="n">
        <v>13.6</v>
      </c>
      <c r="D55" s="14" t="n">
        <v>0</v>
      </c>
      <c r="E55" s="14" t="n">
        <v>0</v>
      </c>
      <c r="F55" s="14" t="n">
        <v>0</v>
      </c>
      <c r="G55" s="14" t="n">
        <v>0</v>
      </c>
      <c r="H55" s="13" t="n">
        <v>5.5</v>
      </c>
      <c r="I55" s="14" t="s">
        <v>212</v>
      </c>
      <c r="J55" s="15" t="s">
        <v>213</v>
      </c>
      <c r="K55" s="12" t="s">
        <v>214</v>
      </c>
    </row>
    <row r="56" customFormat="false" ht="15" hidden="false" customHeight="true" outlineLevel="0" collapsed="false">
      <c r="A56" s="12" t="s">
        <v>267</v>
      </c>
      <c r="B56" s="13" t="n">
        <v>16.2</v>
      </c>
      <c r="C56" s="13" t="n">
        <v>13.6</v>
      </c>
      <c r="D56" s="14" t="n">
        <v>0</v>
      </c>
      <c r="E56" s="14" t="n">
        <v>0</v>
      </c>
      <c r="F56" s="14" t="n">
        <v>0</v>
      </c>
      <c r="G56" s="14" t="n">
        <v>0</v>
      </c>
      <c r="H56" s="13" t="n">
        <v>5.5</v>
      </c>
      <c r="I56" s="14" t="s">
        <v>212</v>
      </c>
      <c r="J56" s="15" t="s">
        <v>213</v>
      </c>
      <c r="K56" s="12" t="s">
        <v>214</v>
      </c>
    </row>
    <row r="57" customFormat="false" ht="15" hidden="false" customHeight="true" outlineLevel="0" collapsed="false">
      <c r="A57" s="12" t="s">
        <v>268</v>
      </c>
      <c r="B57" s="13" t="n">
        <v>16.2</v>
      </c>
      <c r="C57" s="13" t="n">
        <v>13.6</v>
      </c>
      <c r="D57" s="14" t="n">
        <v>0</v>
      </c>
      <c r="E57" s="14" t="n">
        <v>0</v>
      </c>
      <c r="F57" s="14" t="n">
        <v>0</v>
      </c>
      <c r="G57" s="14" t="n">
        <v>0</v>
      </c>
      <c r="H57" s="13" t="n">
        <v>5.5</v>
      </c>
      <c r="I57" s="14" t="s">
        <v>212</v>
      </c>
      <c r="J57" s="15" t="s">
        <v>213</v>
      </c>
      <c r="K57" s="12" t="s">
        <v>214</v>
      </c>
    </row>
    <row r="58" customFormat="false" ht="15" hidden="false" customHeight="true" outlineLevel="0" collapsed="false">
      <c r="A58" s="12" t="s">
        <v>269</v>
      </c>
      <c r="B58" s="13" t="n">
        <v>16.2</v>
      </c>
      <c r="C58" s="13" t="n">
        <v>13.5</v>
      </c>
      <c r="D58" s="14" t="n">
        <v>0</v>
      </c>
      <c r="E58" s="14" t="n">
        <v>0</v>
      </c>
      <c r="F58" s="14" t="n">
        <v>0</v>
      </c>
      <c r="G58" s="14" t="n">
        <v>0</v>
      </c>
      <c r="H58" s="13" t="n">
        <v>5.5</v>
      </c>
      <c r="I58" s="14" t="s">
        <v>212</v>
      </c>
      <c r="J58" s="15" t="s">
        <v>213</v>
      </c>
      <c r="K58" s="12" t="s">
        <v>214</v>
      </c>
    </row>
    <row r="59" customFormat="false" ht="15" hidden="false" customHeight="true" outlineLevel="0" collapsed="false">
      <c r="A59" s="12" t="s">
        <v>270</v>
      </c>
      <c r="B59" s="13" t="n">
        <v>16.2</v>
      </c>
      <c r="C59" s="13" t="n">
        <v>13.6</v>
      </c>
      <c r="D59" s="14" t="n">
        <v>0</v>
      </c>
      <c r="E59" s="14" t="n">
        <v>0</v>
      </c>
      <c r="F59" s="14" t="n">
        <v>0</v>
      </c>
      <c r="G59" s="14" t="n">
        <v>0</v>
      </c>
      <c r="H59" s="13" t="n">
        <v>5.5</v>
      </c>
      <c r="I59" s="14" t="s">
        <v>212</v>
      </c>
      <c r="J59" s="15" t="s">
        <v>213</v>
      </c>
      <c r="K59" s="12" t="s">
        <v>214</v>
      </c>
    </row>
    <row r="60" customFormat="false" ht="15" hidden="false" customHeight="true" outlineLevel="0" collapsed="false">
      <c r="A60" s="12" t="s">
        <v>271</v>
      </c>
      <c r="B60" s="13" t="n">
        <v>16.2</v>
      </c>
      <c r="C60" s="13" t="n">
        <v>13.5</v>
      </c>
      <c r="D60" s="14" t="n">
        <v>0</v>
      </c>
      <c r="E60" s="14" t="n">
        <v>0</v>
      </c>
      <c r="F60" s="14" t="n">
        <v>0</v>
      </c>
      <c r="G60" s="14" t="n">
        <v>0</v>
      </c>
      <c r="H60" s="13" t="n">
        <v>5.5</v>
      </c>
      <c r="I60" s="14" t="s">
        <v>212</v>
      </c>
      <c r="J60" s="15" t="s">
        <v>213</v>
      </c>
      <c r="K60" s="12" t="s">
        <v>214</v>
      </c>
    </row>
    <row r="61" customFormat="false" ht="15" hidden="false" customHeight="true" outlineLevel="0" collapsed="false">
      <c r="A61" s="12" t="s">
        <v>272</v>
      </c>
      <c r="B61" s="13" t="n">
        <v>16.2</v>
      </c>
      <c r="C61" s="13" t="n">
        <v>13.5</v>
      </c>
      <c r="D61" s="14" t="n">
        <v>0</v>
      </c>
      <c r="E61" s="14" t="n">
        <v>0</v>
      </c>
      <c r="F61" s="14" t="n">
        <v>0</v>
      </c>
      <c r="G61" s="14" t="n">
        <v>0</v>
      </c>
      <c r="H61" s="13" t="n">
        <v>5.5</v>
      </c>
      <c r="I61" s="14" t="s">
        <v>212</v>
      </c>
      <c r="J61" s="15" t="s">
        <v>213</v>
      </c>
      <c r="K61" s="12" t="s">
        <v>214</v>
      </c>
    </row>
    <row r="62" customFormat="false" ht="15" hidden="false" customHeight="true" outlineLevel="0" collapsed="false">
      <c r="A62" s="12" t="s">
        <v>273</v>
      </c>
      <c r="B62" s="13" t="n">
        <v>16.2</v>
      </c>
      <c r="C62" s="13" t="n">
        <v>13.5</v>
      </c>
      <c r="D62" s="14" t="n">
        <v>0</v>
      </c>
      <c r="E62" s="14" t="n">
        <v>0</v>
      </c>
      <c r="F62" s="14" t="n">
        <v>0</v>
      </c>
      <c r="G62" s="14" t="n">
        <v>0</v>
      </c>
      <c r="H62" s="13" t="n">
        <v>5.5</v>
      </c>
      <c r="I62" s="14" t="s">
        <v>212</v>
      </c>
      <c r="J62" s="15" t="s">
        <v>213</v>
      </c>
      <c r="K62" s="12" t="s">
        <v>214</v>
      </c>
    </row>
    <row r="63" customFormat="false" ht="15" hidden="false" customHeight="true" outlineLevel="0" collapsed="false">
      <c r="A63" s="12" t="s">
        <v>274</v>
      </c>
      <c r="B63" s="13" t="n">
        <v>16.2</v>
      </c>
      <c r="C63" s="13" t="n">
        <v>13.5</v>
      </c>
      <c r="D63" s="14" t="n">
        <v>0</v>
      </c>
      <c r="E63" s="14" t="n">
        <v>0</v>
      </c>
      <c r="F63" s="14" t="n">
        <v>0</v>
      </c>
      <c r="G63" s="14" t="n">
        <v>0</v>
      </c>
      <c r="H63" s="13" t="n">
        <v>5.5</v>
      </c>
      <c r="I63" s="14" t="s">
        <v>212</v>
      </c>
      <c r="J63" s="15" t="s">
        <v>213</v>
      </c>
      <c r="K63" s="12" t="s">
        <v>214</v>
      </c>
    </row>
    <row r="64" customFormat="false" ht="15" hidden="false" customHeight="true" outlineLevel="0" collapsed="false">
      <c r="A64" s="12" t="s">
        <v>275</v>
      </c>
      <c r="B64" s="13" t="n">
        <v>16.2</v>
      </c>
      <c r="C64" s="13" t="n">
        <v>13.5</v>
      </c>
      <c r="D64" s="14" t="n">
        <v>0</v>
      </c>
      <c r="E64" s="14" t="n">
        <v>0</v>
      </c>
      <c r="F64" s="14" t="n">
        <v>0</v>
      </c>
      <c r="G64" s="14" t="n">
        <v>0</v>
      </c>
      <c r="H64" s="13" t="n">
        <v>5.5</v>
      </c>
      <c r="I64" s="14" t="s">
        <v>212</v>
      </c>
      <c r="J64" s="15" t="s">
        <v>213</v>
      </c>
      <c r="K64" s="12" t="s">
        <v>214</v>
      </c>
    </row>
    <row r="65" customFormat="false" ht="15" hidden="false" customHeight="true" outlineLevel="0" collapsed="false">
      <c r="A65" s="12" t="s">
        <v>276</v>
      </c>
      <c r="B65" s="13" t="n">
        <v>16.2</v>
      </c>
      <c r="C65" s="13" t="n">
        <v>13.5</v>
      </c>
      <c r="D65" s="14" t="n">
        <v>0</v>
      </c>
      <c r="E65" s="14" t="n">
        <v>0</v>
      </c>
      <c r="F65" s="14" t="n">
        <v>0</v>
      </c>
      <c r="G65" s="14" t="n">
        <v>0</v>
      </c>
      <c r="H65" s="13" t="n">
        <v>5.5</v>
      </c>
      <c r="I65" s="14" t="s">
        <v>212</v>
      </c>
      <c r="J65" s="15" t="s">
        <v>213</v>
      </c>
      <c r="K65" s="12" t="s">
        <v>214</v>
      </c>
    </row>
    <row r="66" customFormat="false" ht="15" hidden="false" customHeight="true" outlineLevel="0" collapsed="false">
      <c r="A66" s="12" t="s">
        <v>277</v>
      </c>
      <c r="B66" s="13" t="n">
        <v>16.2</v>
      </c>
      <c r="C66" s="13" t="n">
        <v>13.5</v>
      </c>
      <c r="D66" s="14" t="n">
        <v>0</v>
      </c>
      <c r="E66" s="14" t="n">
        <v>0</v>
      </c>
      <c r="F66" s="14" t="n">
        <v>0</v>
      </c>
      <c r="G66" s="14" t="n">
        <v>0</v>
      </c>
      <c r="H66" s="13" t="n">
        <v>5.4</v>
      </c>
      <c r="I66" s="14" t="s">
        <v>212</v>
      </c>
      <c r="J66" s="15" t="s">
        <v>213</v>
      </c>
      <c r="K66" s="12" t="s">
        <v>214</v>
      </c>
    </row>
    <row r="67" customFormat="false" ht="15" hidden="false" customHeight="true" outlineLevel="0" collapsed="false">
      <c r="A67" s="12" t="s">
        <v>278</v>
      </c>
      <c r="B67" s="13" t="n">
        <v>16.2</v>
      </c>
      <c r="C67" s="13" t="n">
        <v>13.5</v>
      </c>
      <c r="D67" s="14" t="n">
        <v>0</v>
      </c>
      <c r="E67" s="14" t="n">
        <v>0</v>
      </c>
      <c r="F67" s="14" t="n">
        <v>0</v>
      </c>
      <c r="G67" s="14" t="n">
        <v>0</v>
      </c>
      <c r="H67" s="13" t="n">
        <v>5.4</v>
      </c>
      <c r="I67" s="14" t="s">
        <v>212</v>
      </c>
      <c r="J67" s="15" t="s">
        <v>213</v>
      </c>
      <c r="K67" s="12" t="s">
        <v>214</v>
      </c>
    </row>
    <row r="68" customFormat="false" ht="15" hidden="false" customHeight="true" outlineLevel="0" collapsed="false">
      <c r="A68" s="12" t="s">
        <v>279</v>
      </c>
      <c r="B68" s="13" t="n">
        <v>16.2</v>
      </c>
      <c r="C68" s="13" t="n">
        <v>13.5</v>
      </c>
      <c r="D68" s="14" t="n">
        <v>0</v>
      </c>
      <c r="E68" s="14" t="n">
        <v>0</v>
      </c>
      <c r="F68" s="14" t="n">
        <v>0</v>
      </c>
      <c r="G68" s="14" t="n">
        <v>0</v>
      </c>
      <c r="H68" s="13" t="n">
        <v>5.4</v>
      </c>
      <c r="I68" s="14" t="s">
        <v>212</v>
      </c>
      <c r="J68" s="15" t="s">
        <v>213</v>
      </c>
      <c r="K68" s="12" t="s">
        <v>214</v>
      </c>
    </row>
    <row r="69" customFormat="false" ht="15" hidden="false" customHeight="true" outlineLevel="0" collapsed="false">
      <c r="A69" s="12" t="s">
        <v>280</v>
      </c>
      <c r="B69" s="13" t="n">
        <v>16.2</v>
      </c>
      <c r="C69" s="13" t="n">
        <v>13.4</v>
      </c>
      <c r="D69" s="14" t="n">
        <v>0</v>
      </c>
      <c r="E69" s="14" t="n">
        <v>0</v>
      </c>
      <c r="F69" s="14" t="n">
        <v>0</v>
      </c>
      <c r="G69" s="14" t="n">
        <v>0</v>
      </c>
      <c r="H69" s="13" t="n">
        <v>5.4</v>
      </c>
      <c r="I69" s="14" t="s">
        <v>212</v>
      </c>
      <c r="J69" s="15" t="s">
        <v>213</v>
      </c>
      <c r="K69" s="12" t="s">
        <v>214</v>
      </c>
    </row>
    <row r="70" customFormat="false" ht="15" hidden="false" customHeight="true" outlineLevel="0" collapsed="false">
      <c r="A70" s="12" t="s">
        <v>281</v>
      </c>
      <c r="B70" s="13" t="n">
        <v>16.2</v>
      </c>
      <c r="C70" s="13" t="n">
        <v>13.4</v>
      </c>
      <c r="D70" s="14" t="n">
        <v>0</v>
      </c>
      <c r="E70" s="14" t="n">
        <v>0</v>
      </c>
      <c r="F70" s="14" t="n">
        <v>0</v>
      </c>
      <c r="G70" s="14" t="n">
        <v>0</v>
      </c>
      <c r="H70" s="13" t="n">
        <v>5.4</v>
      </c>
      <c r="I70" s="14" t="s">
        <v>212</v>
      </c>
      <c r="J70" s="15" t="s">
        <v>213</v>
      </c>
      <c r="K70" s="12" t="s">
        <v>214</v>
      </c>
    </row>
    <row r="71" customFormat="false" ht="15" hidden="false" customHeight="true" outlineLevel="0" collapsed="false">
      <c r="A71" s="12" t="s">
        <v>282</v>
      </c>
      <c r="B71" s="13" t="n">
        <v>16.2</v>
      </c>
      <c r="C71" s="13" t="n">
        <v>13.4</v>
      </c>
      <c r="D71" s="14" t="n">
        <v>0</v>
      </c>
      <c r="E71" s="14" t="n">
        <v>0</v>
      </c>
      <c r="F71" s="14" t="n">
        <v>0</v>
      </c>
      <c r="G71" s="14" t="n">
        <v>0</v>
      </c>
      <c r="H71" s="13" t="n">
        <v>5.4</v>
      </c>
      <c r="I71" s="14" t="s">
        <v>212</v>
      </c>
      <c r="J71" s="15" t="s">
        <v>213</v>
      </c>
      <c r="K71" s="12" t="s">
        <v>214</v>
      </c>
    </row>
    <row r="72" customFormat="false" ht="15" hidden="false" customHeight="true" outlineLevel="0" collapsed="false">
      <c r="A72" s="12" t="s">
        <v>283</v>
      </c>
      <c r="B72" s="13" t="n">
        <v>16.2</v>
      </c>
      <c r="C72" s="13" t="n">
        <v>13.3</v>
      </c>
      <c r="D72" s="14" t="n">
        <v>0</v>
      </c>
      <c r="E72" s="14" t="n">
        <v>0</v>
      </c>
      <c r="F72" s="14" t="n">
        <v>0</v>
      </c>
      <c r="G72" s="14" t="n">
        <v>0</v>
      </c>
      <c r="H72" s="13" t="n">
        <v>5.4</v>
      </c>
      <c r="I72" s="14" t="s">
        <v>212</v>
      </c>
      <c r="J72" s="15" t="s">
        <v>213</v>
      </c>
      <c r="K72" s="12" t="s">
        <v>214</v>
      </c>
    </row>
    <row r="73" customFormat="false" ht="15" hidden="false" customHeight="true" outlineLevel="0" collapsed="false">
      <c r="A73" s="12" t="s">
        <v>284</v>
      </c>
      <c r="B73" s="13" t="n">
        <v>0</v>
      </c>
      <c r="C73" s="13" t="n">
        <v>13.4</v>
      </c>
      <c r="D73" s="14" t="n">
        <v>0</v>
      </c>
      <c r="E73" s="14" t="n">
        <v>0</v>
      </c>
      <c r="F73" s="14" t="n">
        <v>0</v>
      </c>
      <c r="G73" s="14" t="n">
        <v>0</v>
      </c>
      <c r="H73" s="13" t="n">
        <v>6</v>
      </c>
      <c r="I73" s="14" t="s">
        <v>212</v>
      </c>
      <c r="J73" s="15" t="s">
        <v>213</v>
      </c>
      <c r="K73" s="12" t="s">
        <v>214</v>
      </c>
    </row>
    <row r="74" customFormat="false" ht="15" hidden="false" customHeight="true" outlineLevel="0" collapsed="false">
      <c r="A74" s="12" t="s">
        <v>285</v>
      </c>
      <c r="B74" s="13" t="n">
        <v>0</v>
      </c>
      <c r="C74" s="13" t="n">
        <v>12.8</v>
      </c>
      <c r="D74" s="14" t="n">
        <v>0</v>
      </c>
      <c r="E74" s="14" t="n">
        <v>0</v>
      </c>
      <c r="F74" s="14" t="n">
        <v>0</v>
      </c>
      <c r="G74" s="14" t="n">
        <v>0</v>
      </c>
      <c r="H74" s="13" t="n">
        <v>5.5</v>
      </c>
      <c r="I74" s="14" t="s">
        <v>212</v>
      </c>
      <c r="J74" s="15" t="s">
        <v>213</v>
      </c>
      <c r="K74" s="12" t="s">
        <v>214</v>
      </c>
    </row>
    <row r="75" customFormat="false" ht="15" hidden="false" customHeight="true" outlineLevel="0" collapsed="false">
      <c r="A75" s="12" t="s">
        <v>286</v>
      </c>
      <c r="B75" s="13" t="n">
        <v>0</v>
      </c>
      <c r="C75" s="13" t="n">
        <v>13.9</v>
      </c>
      <c r="D75" s="14" t="n">
        <v>0</v>
      </c>
      <c r="E75" s="14" t="n">
        <v>0</v>
      </c>
      <c r="F75" s="14" t="n">
        <v>0</v>
      </c>
      <c r="G75" s="14" t="n">
        <v>0</v>
      </c>
      <c r="H75" s="13" t="n">
        <v>9</v>
      </c>
      <c r="I75" s="14" t="s">
        <v>212</v>
      </c>
      <c r="J75" s="14" t="s">
        <v>212</v>
      </c>
      <c r="K75" s="12" t="s">
        <v>287</v>
      </c>
    </row>
    <row r="76" customFormat="false" ht="15" hidden="false" customHeight="true" outlineLevel="0" collapsed="false">
      <c r="A76" s="12" t="s">
        <v>288</v>
      </c>
      <c r="B76" s="13" t="n">
        <v>0</v>
      </c>
      <c r="C76" s="13" t="n">
        <v>13.7</v>
      </c>
      <c r="D76" s="14" t="n">
        <v>0</v>
      </c>
      <c r="E76" s="14" t="n">
        <v>0</v>
      </c>
      <c r="F76" s="14" t="n">
        <v>0</v>
      </c>
      <c r="G76" s="14" t="n">
        <v>0</v>
      </c>
      <c r="H76" s="13" t="n">
        <v>9</v>
      </c>
      <c r="I76" s="14" t="s">
        <v>212</v>
      </c>
      <c r="J76" s="14" t="s">
        <v>212</v>
      </c>
      <c r="K76" s="12" t="s">
        <v>287</v>
      </c>
    </row>
    <row r="77" customFormat="false" ht="15" hidden="false" customHeight="true" outlineLevel="0" collapsed="false">
      <c r="A77" s="12" t="s">
        <v>289</v>
      </c>
      <c r="B77" s="13" t="n">
        <v>0</v>
      </c>
      <c r="C77" s="13" t="n">
        <v>12.9</v>
      </c>
      <c r="D77" s="14" t="n">
        <v>0</v>
      </c>
      <c r="E77" s="14" t="n">
        <v>0</v>
      </c>
      <c r="F77" s="14" t="n">
        <v>0</v>
      </c>
      <c r="G77" s="14" t="n">
        <v>0</v>
      </c>
      <c r="H77" s="13" t="n">
        <v>9</v>
      </c>
      <c r="I77" s="14" t="s">
        <v>212</v>
      </c>
      <c r="J77" s="14" t="s">
        <v>212</v>
      </c>
      <c r="K77" s="12" t="s">
        <v>287</v>
      </c>
    </row>
    <row r="78" customFormat="false" ht="15" hidden="false" customHeight="true" outlineLevel="0" collapsed="false">
      <c r="A78" s="12" t="s">
        <v>290</v>
      </c>
      <c r="B78" s="13" t="n">
        <v>0</v>
      </c>
      <c r="C78" s="13" t="n">
        <v>12.9</v>
      </c>
      <c r="D78" s="14" t="n">
        <v>0</v>
      </c>
      <c r="E78" s="14" t="n">
        <v>0</v>
      </c>
      <c r="F78" s="14" t="n">
        <v>0</v>
      </c>
      <c r="G78" s="14" t="n">
        <v>0</v>
      </c>
      <c r="H78" s="13" t="n">
        <v>9</v>
      </c>
      <c r="I78" s="14" t="s">
        <v>212</v>
      </c>
      <c r="J78" s="14" t="s">
        <v>212</v>
      </c>
      <c r="K78" s="12" t="s">
        <v>287</v>
      </c>
    </row>
    <row r="79" customFormat="false" ht="15" hidden="false" customHeight="true" outlineLevel="0" collapsed="false">
      <c r="A79" s="12" t="s">
        <v>291</v>
      </c>
      <c r="B79" s="13" t="n">
        <v>0</v>
      </c>
      <c r="C79" s="13" t="n">
        <v>12.4</v>
      </c>
      <c r="D79" s="14" t="n">
        <v>0</v>
      </c>
      <c r="E79" s="14" t="n">
        <v>0</v>
      </c>
      <c r="F79" s="14" t="n">
        <v>0</v>
      </c>
      <c r="G79" s="14" t="n">
        <v>0</v>
      </c>
      <c r="H79" s="13" t="n">
        <v>9</v>
      </c>
      <c r="I79" s="14" t="s">
        <v>212</v>
      </c>
      <c r="J79" s="14" t="s">
        <v>212</v>
      </c>
      <c r="K79" s="12" t="s">
        <v>287</v>
      </c>
    </row>
    <row r="80" customFormat="false" ht="15" hidden="false" customHeight="true" outlineLevel="0" collapsed="false">
      <c r="A80" s="12" t="s">
        <v>292</v>
      </c>
      <c r="B80" s="13" t="n">
        <v>15.4</v>
      </c>
      <c r="C80" s="13" t="n">
        <v>12.4</v>
      </c>
      <c r="D80" s="14" t="n">
        <v>0</v>
      </c>
      <c r="E80" s="14" t="n">
        <v>0</v>
      </c>
      <c r="F80" s="14" t="n">
        <v>0</v>
      </c>
      <c r="G80" s="14" t="n">
        <v>0</v>
      </c>
      <c r="H80" s="13" t="n">
        <v>5.8</v>
      </c>
      <c r="I80" s="14" t="s">
        <v>212</v>
      </c>
      <c r="J80" s="15" t="s">
        <v>213</v>
      </c>
      <c r="K80" s="12" t="s">
        <v>214</v>
      </c>
    </row>
    <row r="81" customFormat="false" ht="15" hidden="false" customHeight="true" outlineLevel="0" collapsed="false">
      <c r="A81" s="12" t="s">
        <v>293</v>
      </c>
      <c r="B81" s="13" t="n">
        <v>15.9</v>
      </c>
      <c r="C81" s="13" t="n">
        <v>12.8</v>
      </c>
      <c r="D81" s="14" t="n">
        <v>0</v>
      </c>
      <c r="E81" s="14" t="n">
        <v>0</v>
      </c>
      <c r="F81" s="14" t="n">
        <v>0</v>
      </c>
      <c r="G81" s="14" t="n">
        <v>0</v>
      </c>
      <c r="H81" s="13" t="n">
        <v>5.7</v>
      </c>
      <c r="I81" s="14" t="s">
        <v>212</v>
      </c>
      <c r="J81" s="15" t="s">
        <v>213</v>
      </c>
      <c r="K81" s="12" t="s">
        <v>214</v>
      </c>
    </row>
    <row r="82" customFormat="false" ht="15" hidden="false" customHeight="true" outlineLevel="0" collapsed="false">
      <c r="A82" s="12" t="s">
        <v>294</v>
      </c>
      <c r="B82" s="13" t="n">
        <v>16</v>
      </c>
      <c r="C82" s="13" t="n">
        <v>12.9</v>
      </c>
      <c r="D82" s="14" t="n">
        <v>0</v>
      </c>
      <c r="E82" s="14" t="n">
        <v>0</v>
      </c>
      <c r="F82" s="14" t="n">
        <v>0</v>
      </c>
      <c r="G82" s="14" t="n">
        <v>0</v>
      </c>
      <c r="H82" s="13" t="n">
        <v>5.7</v>
      </c>
      <c r="I82" s="14" t="s">
        <v>212</v>
      </c>
      <c r="J82" s="15" t="s">
        <v>213</v>
      </c>
      <c r="K82" s="12" t="s">
        <v>214</v>
      </c>
    </row>
    <row r="83" customFormat="false" ht="15" hidden="false" customHeight="true" outlineLevel="0" collapsed="false">
      <c r="A83" s="12" t="s">
        <v>295</v>
      </c>
      <c r="B83" s="13" t="n">
        <v>16</v>
      </c>
      <c r="C83" s="13" t="n">
        <v>13</v>
      </c>
      <c r="D83" s="14" t="n">
        <v>0</v>
      </c>
      <c r="E83" s="14" t="n">
        <v>0</v>
      </c>
      <c r="F83" s="14" t="n">
        <v>0</v>
      </c>
      <c r="G83" s="14" t="n">
        <v>0</v>
      </c>
      <c r="H83" s="13" t="n">
        <v>5.7</v>
      </c>
      <c r="I83" s="14" t="s">
        <v>212</v>
      </c>
      <c r="J83" s="15" t="s">
        <v>213</v>
      </c>
      <c r="K83" s="12" t="s">
        <v>214</v>
      </c>
    </row>
    <row r="84" customFormat="false" ht="15" hidden="false" customHeight="true" outlineLevel="0" collapsed="false">
      <c r="A84" s="12" t="s">
        <v>296</v>
      </c>
      <c r="B84" s="13" t="n">
        <v>16</v>
      </c>
      <c r="C84" s="13" t="n">
        <v>13</v>
      </c>
      <c r="D84" s="14" t="n">
        <v>0</v>
      </c>
      <c r="E84" s="14" t="n">
        <v>0</v>
      </c>
      <c r="F84" s="14" t="n">
        <v>0</v>
      </c>
      <c r="G84" s="14" t="n">
        <v>0</v>
      </c>
      <c r="H84" s="13" t="n">
        <v>5.7</v>
      </c>
      <c r="I84" s="14" t="s">
        <v>212</v>
      </c>
      <c r="J84" s="15" t="s">
        <v>213</v>
      </c>
      <c r="K84" s="12" t="s">
        <v>214</v>
      </c>
    </row>
    <row r="85" customFormat="false" ht="15" hidden="false" customHeight="true" outlineLevel="0" collapsed="false">
      <c r="A85" s="12" t="s">
        <v>297</v>
      </c>
      <c r="B85" s="13" t="n">
        <v>16</v>
      </c>
      <c r="C85" s="13" t="n">
        <v>13.1</v>
      </c>
      <c r="D85" s="14" t="n">
        <v>0</v>
      </c>
      <c r="E85" s="14" t="n">
        <v>0</v>
      </c>
      <c r="F85" s="14" t="n">
        <v>0</v>
      </c>
      <c r="G85" s="14" t="n">
        <v>0</v>
      </c>
      <c r="H85" s="13" t="n">
        <v>5.7</v>
      </c>
      <c r="I85" s="14" t="s">
        <v>212</v>
      </c>
      <c r="J85" s="15" t="s">
        <v>213</v>
      </c>
      <c r="K85" s="12" t="s">
        <v>214</v>
      </c>
    </row>
    <row r="86" customFormat="false" ht="15" hidden="false" customHeight="true" outlineLevel="0" collapsed="false">
      <c r="A86" s="12" t="s">
        <v>12</v>
      </c>
      <c r="B86" s="13" t="n">
        <v>8</v>
      </c>
      <c r="C86" s="13" t="n">
        <v>12.6</v>
      </c>
      <c r="D86" s="14" t="n">
        <v>0</v>
      </c>
      <c r="E86" s="14" t="n">
        <v>0</v>
      </c>
      <c r="F86" s="14" t="n">
        <v>0</v>
      </c>
      <c r="G86" s="14" t="n">
        <v>0</v>
      </c>
      <c r="H86" s="13" t="n">
        <v>6.1</v>
      </c>
      <c r="I86" s="14" t="s">
        <v>212</v>
      </c>
      <c r="J86" s="15" t="s">
        <v>213</v>
      </c>
      <c r="K86" s="12" t="s">
        <v>214</v>
      </c>
    </row>
    <row r="87" customFormat="false" ht="15" hidden="false" customHeight="true" outlineLevel="0" collapsed="false">
      <c r="A87" s="12" t="s">
        <v>15</v>
      </c>
      <c r="B87" s="13" t="n">
        <v>8</v>
      </c>
      <c r="C87" s="13" t="n">
        <v>12.6</v>
      </c>
      <c r="D87" s="14" t="n">
        <v>0</v>
      </c>
      <c r="E87" s="14" t="n">
        <v>0</v>
      </c>
      <c r="F87" s="14" t="n">
        <v>0</v>
      </c>
      <c r="G87" s="14" t="n">
        <v>0</v>
      </c>
      <c r="H87" s="13" t="n">
        <v>5.8</v>
      </c>
      <c r="I87" s="14" t="s">
        <v>212</v>
      </c>
      <c r="J87" s="15" t="s">
        <v>213</v>
      </c>
      <c r="K87" s="12" t="s">
        <v>214</v>
      </c>
    </row>
    <row r="88" customFormat="false" ht="15" hidden="false" customHeight="true" outlineLevel="0" collapsed="false">
      <c r="A88" s="12" t="s">
        <v>18</v>
      </c>
      <c r="B88" s="13" t="n">
        <v>8.1</v>
      </c>
      <c r="C88" s="13" t="n">
        <v>12.6</v>
      </c>
      <c r="D88" s="14" t="n">
        <v>0</v>
      </c>
      <c r="E88" s="14" t="n">
        <v>0</v>
      </c>
      <c r="F88" s="14" t="n">
        <v>0</v>
      </c>
      <c r="G88" s="14" t="n">
        <v>0</v>
      </c>
      <c r="H88" s="13" t="n">
        <v>5.7</v>
      </c>
      <c r="I88" s="14" t="s">
        <v>212</v>
      </c>
      <c r="J88" s="15" t="s">
        <v>213</v>
      </c>
      <c r="K88" s="12" t="s">
        <v>214</v>
      </c>
    </row>
    <row r="89" customFormat="false" ht="15" hidden="false" customHeight="true" outlineLevel="0" collapsed="false">
      <c r="A89" s="12" t="s">
        <v>20</v>
      </c>
      <c r="B89" s="13" t="n">
        <v>8.2</v>
      </c>
      <c r="C89" s="13" t="n">
        <v>12.6</v>
      </c>
      <c r="D89" s="14" t="n">
        <v>0</v>
      </c>
      <c r="E89" s="14" t="n">
        <v>0</v>
      </c>
      <c r="F89" s="14" t="n">
        <v>0</v>
      </c>
      <c r="G89" s="14" t="n">
        <v>0</v>
      </c>
      <c r="H89" s="13" t="n">
        <v>5.7</v>
      </c>
      <c r="I89" s="14" t="s">
        <v>212</v>
      </c>
      <c r="J89" s="15" t="s">
        <v>213</v>
      </c>
      <c r="K89" s="12" t="s">
        <v>214</v>
      </c>
    </row>
    <row r="90" customFormat="false" ht="15" hidden="false" customHeight="true" outlineLevel="0" collapsed="false">
      <c r="A90" s="12" t="s">
        <v>21</v>
      </c>
      <c r="B90" s="13" t="n">
        <v>8.2</v>
      </c>
      <c r="C90" s="13" t="n">
        <v>12.7</v>
      </c>
      <c r="D90" s="14" t="n">
        <v>0</v>
      </c>
      <c r="E90" s="14" t="n">
        <v>0</v>
      </c>
      <c r="F90" s="14" t="n">
        <v>0</v>
      </c>
      <c r="G90" s="14" t="n">
        <v>0</v>
      </c>
      <c r="H90" s="13" t="n">
        <v>5.6</v>
      </c>
      <c r="I90" s="14" t="s">
        <v>212</v>
      </c>
      <c r="J90" s="15" t="s">
        <v>213</v>
      </c>
      <c r="K90" s="12" t="s">
        <v>214</v>
      </c>
    </row>
    <row r="91" customFormat="false" ht="15" hidden="false" customHeight="true" outlineLevel="0" collapsed="false">
      <c r="A91" s="12" t="s">
        <v>22</v>
      </c>
      <c r="B91" s="13" t="n">
        <v>8.1</v>
      </c>
      <c r="C91" s="13" t="n">
        <v>12.7</v>
      </c>
      <c r="D91" s="14" t="n">
        <v>0</v>
      </c>
      <c r="E91" s="14" t="n">
        <v>0</v>
      </c>
      <c r="F91" s="14" t="n">
        <v>0</v>
      </c>
      <c r="G91" s="14" t="n">
        <v>0</v>
      </c>
      <c r="H91" s="13" t="n">
        <v>5.6</v>
      </c>
      <c r="I91" s="14" t="s">
        <v>212</v>
      </c>
      <c r="J91" s="15" t="s">
        <v>213</v>
      </c>
      <c r="K91" s="12" t="s">
        <v>214</v>
      </c>
    </row>
    <row r="92" customFormat="false" ht="15" hidden="false" customHeight="true" outlineLevel="0" collapsed="false">
      <c r="A92" s="12" t="s">
        <v>23</v>
      </c>
      <c r="B92" s="13" t="n">
        <v>8.2</v>
      </c>
      <c r="C92" s="13" t="n">
        <v>12.7</v>
      </c>
      <c r="D92" s="14" t="n">
        <v>0</v>
      </c>
      <c r="E92" s="14" t="n">
        <v>0</v>
      </c>
      <c r="F92" s="14" t="n">
        <v>0</v>
      </c>
      <c r="G92" s="14" t="n">
        <v>0</v>
      </c>
      <c r="H92" s="13" t="n">
        <v>5.6</v>
      </c>
      <c r="I92" s="14" t="s">
        <v>212</v>
      </c>
      <c r="J92" s="15" t="s">
        <v>213</v>
      </c>
      <c r="K92" s="12" t="s">
        <v>214</v>
      </c>
    </row>
    <row r="93" customFormat="false" ht="15" hidden="false" customHeight="true" outlineLevel="0" collapsed="false">
      <c r="A93" s="12" t="s">
        <v>26</v>
      </c>
      <c r="B93" s="13" t="n">
        <v>8.2</v>
      </c>
      <c r="C93" s="13" t="n">
        <v>12.8</v>
      </c>
      <c r="D93" s="14" t="n">
        <v>0</v>
      </c>
      <c r="E93" s="14" t="n">
        <v>0</v>
      </c>
      <c r="F93" s="14" t="n">
        <v>0</v>
      </c>
      <c r="G93" s="14" t="n">
        <v>0</v>
      </c>
      <c r="H93" s="13" t="n">
        <v>5.6</v>
      </c>
      <c r="I93" s="14" t="s">
        <v>212</v>
      </c>
      <c r="J93" s="15" t="s">
        <v>213</v>
      </c>
      <c r="K93" s="12" t="s">
        <v>214</v>
      </c>
    </row>
    <row r="94" customFormat="false" ht="15" hidden="false" customHeight="true" outlineLevel="0" collapsed="false">
      <c r="A94" s="12" t="s">
        <v>29</v>
      </c>
      <c r="B94" s="13" t="n">
        <v>8.2</v>
      </c>
      <c r="C94" s="13" t="n">
        <v>12.8</v>
      </c>
      <c r="D94" s="14" t="n">
        <v>0</v>
      </c>
      <c r="E94" s="14" t="n">
        <v>0</v>
      </c>
      <c r="F94" s="14" t="n">
        <v>0</v>
      </c>
      <c r="G94" s="14" t="n">
        <v>0</v>
      </c>
      <c r="H94" s="13" t="n">
        <v>5.6</v>
      </c>
      <c r="I94" s="14" t="s">
        <v>212</v>
      </c>
      <c r="J94" s="15" t="s">
        <v>213</v>
      </c>
      <c r="K94" s="12" t="s">
        <v>214</v>
      </c>
    </row>
    <row r="95" customFormat="false" ht="15" hidden="false" customHeight="true" outlineLevel="0" collapsed="false">
      <c r="A95" s="12" t="s">
        <v>32</v>
      </c>
      <c r="B95" s="13" t="n">
        <v>8.2</v>
      </c>
      <c r="C95" s="13" t="n">
        <v>12.8</v>
      </c>
      <c r="D95" s="14" t="n">
        <v>0</v>
      </c>
      <c r="E95" s="14" t="n">
        <v>0</v>
      </c>
      <c r="F95" s="14" t="n">
        <v>0</v>
      </c>
      <c r="G95" s="14" t="n">
        <v>0</v>
      </c>
      <c r="H95" s="13" t="n">
        <v>5.5</v>
      </c>
      <c r="I95" s="14" t="s">
        <v>212</v>
      </c>
      <c r="J95" s="15" t="s">
        <v>213</v>
      </c>
      <c r="K95" s="12" t="s">
        <v>214</v>
      </c>
    </row>
    <row r="96" customFormat="false" ht="15" hidden="false" customHeight="true" outlineLevel="0" collapsed="false">
      <c r="A96" s="12" t="s">
        <v>35</v>
      </c>
      <c r="B96" s="13" t="n">
        <v>8.2</v>
      </c>
      <c r="C96" s="13" t="n">
        <v>12.9</v>
      </c>
      <c r="D96" s="14" t="n">
        <v>0</v>
      </c>
      <c r="E96" s="14" t="n">
        <v>0</v>
      </c>
      <c r="F96" s="14" t="n">
        <v>0</v>
      </c>
      <c r="G96" s="14" t="n">
        <v>0</v>
      </c>
      <c r="H96" s="13" t="n">
        <v>5.5</v>
      </c>
      <c r="I96" s="14" t="s">
        <v>212</v>
      </c>
      <c r="J96" s="15" t="s">
        <v>213</v>
      </c>
      <c r="K96" s="12" t="s">
        <v>214</v>
      </c>
    </row>
    <row r="97" customFormat="false" ht="15" hidden="false" customHeight="true" outlineLevel="0" collapsed="false">
      <c r="A97" s="12" t="s">
        <v>38</v>
      </c>
      <c r="B97" s="13" t="n">
        <v>8.2</v>
      </c>
      <c r="C97" s="13" t="n">
        <v>12.9</v>
      </c>
      <c r="D97" s="14" t="n">
        <v>0</v>
      </c>
      <c r="E97" s="14" t="n">
        <v>0</v>
      </c>
      <c r="F97" s="14" t="n">
        <v>0</v>
      </c>
      <c r="G97" s="14" t="n">
        <v>0</v>
      </c>
      <c r="H97" s="13" t="n">
        <v>5.5</v>
      </c>
      <c r="I97" s="14" t="s">
        <v>212</v>
      </c>
      <c r="J97" s="15" t="s">
        <v>213</v>
      </c>
      <c r="K97" s="12" t="s">
        <v>214</v>
      </c>
    </row>
    <row r="98" customFormat="false" ht="15" hidden="false" customHeight="true" outlineLevel="0" collapsed="false">
      <c r="A98" s="12" t="s">
        <v>41</v>
      </c>
      <c r="B98" s="13" t="n">
        <v>8.2</v>
      </c>
      <c r="C98" s="13" t="n">
        <v>12.9</v>
      </c>
      <c r="D98" s="14" t="n">
        <v>0</v>
      </c>
      <c r="E98" s="14" t="n">
        <v>0</v>
      </c>
      <c r="F98" s="14" t="n">
        <v>0</v>
      </c>
      <c r="G98" s="14" t="n">
        <v>0</v>
      </c>
      <c r="H98" s="13" t="n">
        <v>5.5</v>
      </c>
      <c r="I98" s="14" t="s">
        <v>212</v>
      </c>
      <c r="J98" s="15" t="s">
        <v>213</v>
      </c>
      <c r="K98" s="12" t="s">
        <v>214</v>
      </c>
    </row>
    <row r="99" customFormat="false" ht="15" hidden="false" customHeight="true" outlineLevel="0" collapsed="false">
      <c r="A99" s="12" t="s">
        <v>44</v>
      </c>
      <c r="B99" s="13" t="n">
        <v>8.2</v>
      </c>
      <c r="C99" s="13" t="n">
        <v>12.9</v>
      </c>
      <c r="D99" s="14" t="n">
        <v>0</v>
      </c>
      <c r="E99" s="14" t="n">
        <v>0</v>
      </c>
      <c r="F99" s="14" t="n">
        <v>0</v>
      </c>
      <c r="G99" s="14" t="n">
        <v>0</v>
      </c>
      <c r="H99" s="13" t="n">
        <v>5.5</v>
      </c>
      <c r="I99" s="14" t="s">
        <v>212</v>
      </c>
      <c r="J99" s="15" t="s">
        <v>213</v>
      </c>
      <c r="K99" s="12" t="s">
        <v>214</v>
      </c>
    </row>
    <row r="100" customFormat="false" ht="15" hidden="false" customHeight="true" outlineLevel="0" collapsed="false">
      <c r="A100" s="12" t="s">
        <v>47</v>
      </c>
      <c r="B100" s="13" t="n">
        <v>8.2</v>
      </c>
      <c r="C100" s="13" t="n">
        <v>13</v>
      </c>
      <c r="D100" s="14" t="n">
        <v>0</v>
      </c>
      <c r="E100" s="14" t="n">
        <v>0</v>
      </c>
      <c r="F100" s="14" t="n">
        <v>0</v>
      </c>
      <c r="G100" s="14" t="n">
        <v>0</v>
      </c>
      <c r="H100" s="13" t="n">
        <v>5.5</v>
      </c>
      <c r="I100" s="14" t="s">
        <v>212</v>
      </c>
      <c r="J100" s="15" t="s">
        <v>213</v>
      </c>
      <c r="K100" s="12" t="s">
        <v>214</v>
      </c>
    </row>
    <row r="101" customFormat="false" ht="15" hidden="false" customHeight="true" outlineLevel="0" collapsed="false">
      <c r="A101" s="12" t="s">
        <v>49</v>
      </c>
      <c r="B101" s="13" t="n">
        <v>8.2</v>
      </c>
      <c r="C101" s="13" t="n">
        <v>13</v>
      </c>
      <c r="D101" s="14" t="n">
        <v>0</v>
      </c>
      <c r="E101" s="14" t="n">
        <v>0</v>
      </c>
      <c r="F101" s="14" t="n">
        <v>0</v>
      </c>
      <c r="G101" s="14" t="n">
        <v>0</v>
      </c>
      <c r="H101" s="13" t="n">
        <v>5.5</v>
      </c>
      <c r="I101" s="14" t="s">
        <v>212</v>
      </c>
      <c r="J101" s="15" t="s">
        <v>213</v>
      </c>
      <c r="K101" s="12" t="s">
        <v>214</v>
      </c>
    </row>
    <row r="102" customFormat="false" ht="15" hidden="false" customHeight="true" outlineLevel="0" collapsed="false">
      <c r="A102" s="12" t="s">
        <v>51</v>
      </c>
      <c r="B102" s="13" t="n">
        <v>8.2</v>
      </c>
      <c r="C102" s="13" t="n">
        <v>13</v>
      </c>
      <c r="D102" s="14" t="n">
        <v>0</v>
      </c>
      <c r="E102" s="14" t="n">
        <v>0</v>
      </c>
      <c r="F102" s="14" t="n">
        <v>0</v>
      </c>
      <c r="G102" s="14" t="n">
        <v>0</v>
      </c>
      <c r="H102" s="13" t="n">
        <v>5.5</v>
      </c>
      <c r="I102" s="14" t="s">
        <v>212</v>
      </c>
      <c r="J102" s="15" t="s">
        <v>213</v>
      </c>
      <c r="K102" s="12" t="s">
        <v>214</v>
      </c>
    </row>
    <row r="103" customFormat="false" ht="15" hidden="false" customHeight="true" outlineLevel="0" collapsed="false">
      <c r="A103" s="12" t="s">
        <v>54</v>
      </c>
      <c r="B103" s="13" t="n">
        <v>8.2</v>
      </c>
      <c r="C103" s="13" t="n">
        <v>13</v>
      </c>
      <c r="D103" s="14" t="n">
        <v>0</v>
      </c>
      <c r="E103" s="14" t="n">
        <v>0</v>
      </c>
      <c r="F103" s="14" t="n">
        <v>0</v>
      </c>
      <c r="G103" s="14" t="n">
        <v>0</v>
      </c>
      <c r="H103" s="13" t="n">
        <v>5.5</v>
      </c>
      <c r="I103" s="14" t="s">
        <v>212</v>
      </c>
      <c r="J103" s="15" t="s">
        <v>213</v>
      </c>
      <c r="K103" s="12" t="s">
        <v>214</v>
      </c>
    </row>
    <row r="104" customFormat="false" ht="15" hidden="false" customHeight="true" outlineLevel="0" collapsed="false">
      <c r="A104" s="12" t="s">
        <v>57</v>
      </c>
      <c r="B104" s="13" t="n">
        <v>8.2</v>
      </c>
      <c r="C104" s="13" t="n">
        <v>13</v>
      </c>
      <c r="D104" s="14" t="n">
        <v>0</v>
      </c>
      <c r="E104" s="14" t="n">
        <v>0</v>
      </c>
      <c r="F104" s="14" t="n">
        <v>0</v>
      </c>
      <c r="G104" s="14" t="n">
        <v>0</v>
      </c>
      <c r="H104" s="13" t="n">
        <v>5.5</v>
      </c>
      <c r="I104" s="14" t="s">
        <v>212</v>
      </c>
      <c r="J104" s="15" t="s">
        <v>213</v>
      </c>
      <c r="K104" s="12" t="s">
        <v>214</v>
      </c>
    </row>
    <row r="105" customFormat="false" ht="15" hidden="false" customHeight="true" outlineLevel="0" collapsed="false">
      <c r="A105" s="12" t="s">
        <v>60</v>
      </c>
      <c r="B105" s="13" t="n">
        <v>8.2</v>
      </c>
      <c r="C105" s="13" t="n">
        <v>13</v>
      </c>
      <c r="D105" s="14" t="n">
        <v>0</v>
      </c>
      <c r="E105" s="14" t="n">
        <v>0</v>
      </c>
      <c r="F105" s="14" t="n">
        <v>0</v>
      </c>
      <c r="G105" s="14" t="n">
        <v>0</v>
      </c>
      <c r="H105" s="13" t="n">
        <v>5.5</v>
      </c>
      <c r="I105" s="14" t="s">
        <v>212</v>
      </c>
      <c r="J105" s="15" t="s">
        <v>213</v>
      </c>
      <c r="K105" s="12" t="s">
        <v>214</v>
      </c>
    </row>
    <row r="106" customFormat="false" ht="15" hidden="false" customHeight="true" outlineLevel="0" collapsed="false">
      <c r="A106" s="12" t="s">
        <v>64</v>
      </c>
      <c r="B106" s="13" t="n">
        <v>8.4</v>
      </c>
      <c r="C106" s="13" t="n">
        <v>13</v>
      </c>
      <c r="D106" s="14" t="n">
        <v>0</v>
      </c>
      <c r="E106" s="14" t="n">
        <v>0</v>
      </c>
      <c r="F106" s="14" t="n">
        <v>0</v>
      </c>
      <c r="G106" s="14" t="n">
        <v>0</v>
      </c>
      <c r="H106" s="13" t="n">
        <v>5.5</v>
      </c>
      <c r="I106" s="14" t="s">
        <v>212</v>
      </c>
      <c r="J106" s="15" t="s">
        <v>213</v>
      </c>
      <c r="K106" s="12" t="s">
        <v>214</v>
      </c>
    </row>
    <row r="107" customFormat="false" ht="15" hidden="false" customHeight="true" outlineLevel="0" collapsed="false">
      <c r="A107" s="12" t="s">
        <v>67</v>
      </c>
      <c r="B107" s="13" t="n">
        <v>8.4</v>
      </c>
      <c r="C107" s="13" t="n">
        <v>13</v>
      </c>
      <c r="D107" s="14" t="n">
        <v>0</v>
      </c>
      <c r="E107" s="14" t="n">
        <v>0</v>
      </c>
      <c r="F107" s="14" t="n">
        <v>0</v>
      </c>
      <c r="G107" s="14" t="n">
        <v>0</v>
      </c>
      <c r="H107" s="13" t="n">
        <v>5.5</v>
      </c>
      <c r="I107" s="14" t="s">
        <v>212</v>
      </c>
      <c r="J107" s="15" t="s">
        <v>213</v>
      </c>
      <c r="K107" s="12" t="s">
        <v>214</v>
      </c>
    </row>
    <row r="108" customFormat="false" ht="15" hidden="false" customHeight="true" outlineLevel="0" collapsed="false">
      <c r="A108" s="12" t="s">
        <v>70</v>
      </c>
      <c r="B108" s="13" t="n">
        <v>8.2</v>
      </c>
      <c r="C108" s="13" t="n">
        <v>13</v>
      </c>
      <c r="D108" s="14" t="n">
        <v>0</v>
      </c>
      <c r="E108" s="14" t="n">
        <v>0</v>
      </c>
      <c r="F108" s="14" t="n">
        <v>0</v>
      </c>
      <c r="G108" s="14" t="n">
        <v>0</v>
      </c>
      <c r="H108" s="13" t="n">
        <v>5.5</v>
      </c>
      <c r="I108" s="14" t="s">
        <v>212</v>
      </c>
      <c r="J108" s="15" t="s">
        <v>213</v>
      </c>
      <c r="K108" s="12" t="s">
        <v>214</v>
      </c>
    </row>
    <row r="109" customFormat="false" ht="15" hidden="false" customHeight="true" outlineLevel="0" collapsed="false">
      <c r="A109" s="12" t="s">
        <v>72</v>
      </c>
      <c r="B109" s="13" t="n">
        <v>8.2</v>
      </c>
      <c r="C109" s="13" t="n">
        <v>13</v>
      </c>
      <c r="D109" s="14" t="n">
        <v>0</v>
      </c>
      <c r="E109" s="14" t="n">
        <v>0</v>
      </c>
      <c r="F109" s="14" t="n">
        <v>0</v>
      </c>
      <c r="G109" s="14" t="n">
        <v>0</v>
      </c>
      <c r="H109" s="13" t="n">
        <v>5.5</v>
      </c>
      <c r="I109" s="14" t="s">
        <v>212</v>
      </c>
      <c r="J109" s="15" t="s">
        <v>213</v>
      </c>
      <c r="K109" s="12" t="s">
        <v>214</v>
      </c>
    </row>
    <row r="110" customFormat="false" ht="15" hidden="false" customHeight="true" outlineLevel="0" collapsed="false">
      <c r="A110" s="12" t="s">
        <v>74</v>
      </c>
      <c r="B110" s="13" t="n">
        <v>8.2</v>
      </c>
      <c r="C110" s="13" t="n">
        <v>13</v>
      </c>
      <c r="D110" s="14" t="n">
        <v>0</v>
      </c>
      <c r="E110" s="14" t="n">
        <v>0</v>
      </c>
      <c r="F110" s="14" t="n">
        <v>0</v>
      </c>
      <c r="G110" s="14" t="n">
        <v>0</v>
      </c>
      <c r="H110" s="13" t="n">
        <v>5.5</v>
      </c>
      <c r="I110" s="14" t="s">
        <v>212</v>
      </c>
      <c r="J110" s="15" t="s">
        <v>213</v>
      </c>
      <c r="K110" s="12" t="s">
        <v>214</v>
      </c>
    </row>
    <row r="111" customFormat="false" ht="15" hidden="false" customHeight="true" outlineLevel="0" collapsed="false">
      <c r="A111" s="12" t="s">
        <v>77</v>
      </c>
      <c r="B111" s="13" t="n">
        <v>8.2</v>
      </c>
      <c r="C111" s="13" t="n">
        <v>13</v>
      </c>
      <c r="D111" s="14" t="n">
        <v>0</v>
      </c>
      <c r="E111" s="14" t="n">
        <v>0</v>
      </c>
      <c r="F111" s="14" t="n">
        <v>0</v>
      </c>
      <c r="G111" s="14" t="n">
        <v>0</v>
      </c>
      <c r="H111" s="13" t="n">
        <v>5.5</v>
      </c>
      <c r="I111" s="14" t="s">
        <v>212</v>
      </c>
      <c r="J111" s="15" t="s">
        <v>213</v>
      </c>
      <c r="K111" s="12" t="s">
        <v>214</v>
      </c>
    </row>
    <row r="112" customFormat="false" ht="15" hidden="false" customHeight="true" outlineLevel="0" collapsed="false">
      <c r="A112" s="12" t="s">
        <v>80</v>
      </c>
      <c r="B112" s="13" t="n">
        <v>8.2</v>
      </c>
      <c r="C112" s="13" t="n">
        <v>13</v>
      </c>
      <c r="D112" s="14" t="n">
        <v>0</v>
      </c>
      <c r="E112" s="14" t="n">
        <v>0</v>
      </c>
      <c r="F112" s="14" t="n">
        <v>0</v>
      </c>
      <c r="G112" s="14" t="n">
        <v>0</v>
      </c>
      <c r="H112" s="13" t="n">
        <v>5.5</v>
      </c>
      <c r="I112" s="14" t="s">
        <v>212</v>
      </c>
      <c r="J112" s="15" t="s">
        <v>213</v>
      </c>
      <c r="K112" s="12" t="s">
        <v>214</v>
      </c>
    </row>
    <row r="113" customFormat="false" ht="15" hidden="false" customHeight="true" outlineLevel="0" collapsed="false">
      <c r="A113" s="12" t="s">
        <v>83</v>
      </c>
      <c r="B113" s="13" t="n">
        <v>8.2</v>
      </c>
      <c r="C113" s="13" t="n">
        <v>13</v>
      </c>
      <c r="D113" s="14" t="n">
        <v>0</v>
      </c>
      <c r="E113" s="14" t="n">
        <v>0</v>
      </c>
      <c r="F113" s="14" t="n">
        <v>0</v>
      </c>
      <c r="G113" s="14" t="n">
        <v>0</v>
      </c>
      <c r="H113" s="13" t="n">
        <v>5.5</v>
      </c>
      <c r="I113" s="14" t="s">
        <v>212</v>
      </c>
      <c r="J113" s="15" t="s">
        <v>213</v>
      </c>
      <c r="K113" s="12" t="s">
        <v>214</v>
      </c>
    </row>
    <row r="114" customFormat="false" ht="15" hidden="false" customHeight="true" outlineLevel="0" collapsed="false">
      <c r="A114" s="12" t="s">
        <v>86</v>
      </c>
      <c r="B114" s="13" t="n">
        <v>8.2</v>
      </c>
      <c r="C114" s="13" t="n">
        <v>13</v>
      </c>
      <c r="D114" s="14" t="n">
        <v>0</v>
      </c>
      <c r="E114" s="14" t="n">
        <v>0</v>
      </c>
      <c r="F114" s="14" t="n">
        <v>0</v>
      </c>
      <c r="G114" s="14" t="n">
        <v>0</v>
      </c>
      <c r="H114" s="13" t="n">
        <v>5.5</v>
      </c>
      <c r="I114" s="14" t="s">
        <v>212</v>
      </c>
      <c r="J114" s="15" t="s">
        <v>213</v>
      </c>
      <c r="K114" s="12" t="s">
        <v>214</v>
      </c>
    </row>
    <row r="115" customFormat="false" ht="15" hidden="false" customHeight="true" outlineLevel="0" collapsed="false">
      <c r="A115" s="12" t="s">
        <v>88</v>
      </c>
      <c r="B115" s="13" t="n">
        <v>8.2</v>
      </c>
      <c r="C115" s="13" t="n">
        <v>13</v>
      </c>
      <c r="D115" s="14" t="n">
        <v>0</v>
      </c>
      <c r="E115" s="14" t="n">
        <v>0</v>
      </c>
      <c r="F115" s="14" t="n">
        <v>0</v>
      </c>
      <c r="G115" s="14" t="n">
        <v>0</v>
      </c>
      <c r="H115" s="13" t="n">
        <v>5.5</v>
      </c>
      <c r="I115" s="14" t="s">
        <v>212</v>
      </c>
      <c r="J115" s="15" t="s">
        <v>213</v>
      </c>
      <c r="K115" s="12" t="s">
        <v>214</v>
      </c>
    </row>
    <row r="116" customFormat="false" ht="15" hidden="false" customHeight="true" outlineLevel="0" collapsed="false">
      <c r="A116" s="12" t="s">
        <v>90</v>
      </c>
      <c r="B116" s="13" t="n">
        <v>8.2</v>
      </c>
      <c r="C116" s="13" t="n">
        <v>13.1</v>
      </c>
      <c r="D116" s="14" t="n">
        <v>0</v>
      </c>
      <c r="E116" s="14" t="n">
        <v>0</v>
      </c>
      <c r="F116" s="14" t="n">
        <v>0</v>
      </c>
      <c r="G116" s="14" t="n">
        <v>0</v>
      </c>
      <c r="H116" s="13" t="n">
        <v>5.5</v>
      </c>
      <c r="I116" s="14" t="s">
        <v>212</v>
      </c>
      <c r="J116" s="15" t="s">
        <v>213</v>
      </c>
      <c r="K116" s="12" t="s">
        <v>214</v>
      </c>
    </row>
    <row r="117" customFormat="false" ht="15" hidden="false" customHeight="true" outlineLevel="0" collapsed="false">
      <c r="A117" s="12" t="s">
        <v>92</v>
      </c>
      <c r="B117" s="13" t="n">
        <v>8.2</v>
      </c>
      <c r="C117" s="13" t="n">
        <v>13.1</v>
      </c>
      <c r="D117" s="14" t="n">
        <v>0</v>
      </c>
      <c r="E117" s="14" t="n">
        <v>0</v>
      </c>
      <c r="F117" s="14" t="n">
        <v>0</v>
      </c>
      <c r="G117" s="14" t="n">
        <v>0</v>
      </c>
      <c r="H117" s="13" t="n">
        <v>5.5</v>
      </c>
      <c r="I117" s="14" t="s">
        <v>212</v>
      </c>
      <c r="J117" s="15" t="s">
        <v>213</v>
      </c>
      <c r="K117" s="12" t="s">
        <v>214</v>
      </c>
    </row>
    <row r="118" customFormat="false" ht="15" hidden="false" customHeight="true" outlineLevel="0" collapsed="false">
      <c r="A118" s="12" t="s">
        <v>95</v>
      </c>
      <c r="B118" s="13" t="n">
        <v>8.2</v>
      </c>
      <c r="C118" s="13" t="n">
        <v>13</v>
      </c>
      <c r="D118" s="14" t="n">
        <v>0</v>
      </c>
      <c r="E118" s="14" t="n">
        <v>0</v>
      </c>
      <c r="F118" s="14" t="n">
        <v>0</v>
      </c>
      <c r="G118" s="14" t="n">
        <v>0</v>
      </c>
      <c r="H118" s="13" t="n">
        <v>5.5</v>
      </c>
      <c r="I118" s="14" t="s">
        <v>212</v>
      </c>
      <c r="J118" s="15" t="s">
        <v>213</v>
      </c>
      <c r="K118" s="12" t="s">
        <v>214</v>
      </c>
    </row>
    <row r="119" customFormat="false" ht="15" hidden="false" customHeight="true" outlineLevel="0" collapsed="false">
      <c r="A119" s="12" t="s">
        <v>97</v>
      </c>
      <c r="B119" s="13" t="n">
        <v>8.2</v>
      </c>
      <c r="C119" s="13" t="n">
        <v>13.1</v>
      </c>
      <c r="D119" s="14" t="n">
        <v>0</v>
      </c>
      <c r="E119" s="14" t="n">
        <v>0</v>
      </c>
      <c r="F119" s="14" t="n">
        <v>0</v>
      </c>
      <c r="G119" s="14" t="n">
        <v>0</v>
      </c>
      <c r="H119" s="13" t="n">
        <v>5.5</v>
      </c>
      <c r="I119" s="14" t="s">
        <v>212</v>
      </c>
      <c r="J119" s="15" t="s">
        <v>213</v>
      </c>
      <c r="K119" s="12" t="s">
        <v>214</v>
      </c>
    </row>
    <row r="120" customFormat="false" ht="15" hidden="false" customHeight="true" outlineLevel="0" collapsed="false">
      <c r="A120" s="12" t="s">
        <v>99</v>
      </c>
      <c r="B120" s="13" t="n">
        <v>8.2</v>
      </c>
      <c r="C120" s="13" t="n">
        <v>13</v>
      </c>
      <c r="D120" s="14" t="n">
        <v>0</v>
      </c>
      <c r="E120" s="14" t="n">
        <v>0</v>
      </c>
      <c r="F120" s="14" t="n">
        <v>0</v>
      </c>
      <c r="G120" s="14" t="n">
        <v>0</v>
      </c>
      <c r="H120" s="13" t="n">
        <v>5.5</v>
      </c>
      <c r="I120" s="14" t="s">
        <v>212</v>
      </c>
      <c r="J120" s="15" t="s">
        <v>213</v>
      </c>
      <c r="K120" s="12" t="s">
        <v>214</v>
      </c>
    </row>
    <row r="121" customFormat="false" ht="15" hidden="false" customHeight="true" outlineLevel="0" collapsed="false">
      <c r="A121" s="12" t="s">
        <v>102</v>
      </c>
      <c r="B121" s="13" t="n">
        <v>8.2</v>
      </c>
      <c r="C121" s="13" t="n">
        <v>13.1</v>
      </c>
      <c r="D121" s="14" t="n">
        <v>0</v>
      </c>
      <c r="E121" s="14" t="n">
        <v>0</v>
      </c>
      <c r="F121" s="14" t="n">
        <v>0</v>
      </c>
      <c r="G121" s="14" t="n">
        <v>0</v>
      </c>
      <c r="H121" s="13" t="n">
        <v>5.5</v>
      </c>
      <c r="I121" s="14" t="s">
        <v>212</v>
      </c>
      <c r="J121" s="15" t="s">
        <v>213</v>
      </c>
      <c r="K121" s="12" t="s">
        <v>214</v>
      </c>
    </row>
    <row r="122" customFormat="false" ht="15" hidden="false" customHeight="true" outlineLevel="0" collapsed="false">
      <c r="A122" s="12" t="s">
        <v>105</v>
      </c>
      <c r="B122" s="13" t="n">
        <v>8.2</v>
      </c>
      <c r="C122" s="13" t="n">
        <v>13</v>
      </c>
      <c r="D122" s="14" t="n">
        <v>0</v>
      </c>
      <c r="E122" s="14" t="n">
        <v>0</v>
      </c>
      <c r="F122" s="14" t="n">
        <v>0</v>
      </c>
      <c r="G122" s="14" t="n">
        <v>0</v>
      </c>
      <c r="H122" s="13" t="n">
        <v>5.4</v>
      </c>
      <c r="I122" s="14" t="s">
        <v>212</v>
      </c>
      <c r="J122" s="15" t="s">
        <v>213</v>
      </c>
      <c r="K122" s="12" t="s">
        <v>214</v>
      </c>
    </row>
    <row r="123" customFormat="false" ht="15" hidden="false" customHeight="true" outlineLevel="0" collapsed="false">
      <c r="A123" s="12" t="s">
        <v>108</v>
      </c>
      <c r="B123" s="13" t="n">
        <v>8.2</v>
      </c>
      <c r="C123" s="13" t="n">
        <v>13.1</v>
      </c>
      <c r="D123" s="14" t="n">
        <v>0</v>
      </c>
      <c r="E123" s="14" t="n">
        <v>0</v>
      </c>
      <c r="F123" s="14" t="n">
        <v>0</v>
      </c>
      <c r="G123" s="14" t="n">
        <v>0</v>
      </c>
      <c r="H123" s="13" t="n">
        <v>5.4</v>
      </c>
      <c r="I123" s="14" t="s">
        <v>212</v>
      </c>
      <c r="J123" s="15" t="s">
        <v>213</v>
      </c>
      <c r="K123" s="12" t="s">
        <v>214</v>
      </c>
    </row>
    <row r="124" customFormat="false" ht="15" hidden="false" customHeight="true" outlineLevel="0" collapsed="false">
      <c r="A124" s="12" t="s">
        <v>110</v>
      </c>
      <c r="B124" s="13" t="n">
        <v>8.4</v>
      </c>
      <c r="C124" s="13" t="n">
        <v>13.1</v>
      </c>
      <c r="D124" s="14" t="n">
        <v>0</v>
      </c>
      <c r="E124" s="14" t="n">
        <v>0</v>
      </c>
      <c r="F124" s="14" t="n">
        <v>0</v>
      </c>
      <c r="G124" s="14" t="n">
        <v>0</v>
      </c>
      <c r="H124" s="13" t="n">
        <v>5.4</v>
      </c>
      <c r="I124" s="14" t="s">
        <v>212</v>
      </c>
      <c r="J124" s="15" t="s">
        <v>213</v>
      </c>
      <c r="K124" s="12" t="s">
        <v>214</v>
      </c>
    </row>
    <row r="125" customFormat="false" ht="15" hidden="false" customHeight="true" outlineLevel="0" collapsed="false">
      <c r="A125" s="12" t="s">
        <v>112</v>
      </c>
      <c r="B125" s="13" t="n">
        <v>8.2</v>
      </c>
      <c r="C125" s="13" t="n">
        <v>13.1</v>
      </c>
      <c r="D125" s="14" t="n">
        <v>0</v>
      </c>
      <c r="E125" s="14" t="n">
        <v>0</v>
      </c>
      <c r="F125" s="14" t="n">
        <v>0</v>
      </c>
      <c r="G125" s="14" t="n">
        <v>0</v>
      </c>
      <c r="H125" s="13" t="n">
        <v>5.4</v>
      </c>
      <c r="I125" s="14" t="s">
        <v>212</v>
      </c>
      <c r="J125" s="15" t="s">
        <v>213</v>
      </c>
      <c r="K125" s="12" t="s">
        <v>214</v>
      </c>
    </row>
    <row r="126" customFormat="false" ht="15" hidden="false" customHeight="true" outlineLevel="0" collapsed="false">
      <c r="A126" s="12" t="s">
        <v>114</v>
      </c>
      <c r="B126" s="13" t="n">
        <v>8.2</v>
      </c>
      <c r="C126" s="13" t="n">
        <v>13</v>
      </c>
      <c r="D126" s="14" t="n">
        <v>0</v>
      </c>
      <c r="E126" s="14" t="n">
        <v>0</v>
      </c>
      <c r="F126" s="14" t="n">
        <v>0</v>
      </c>
      <c r="G126" s="14" t="n">
        <v>0</v>
      </c>
      <c r="H126" s="13" t="n">
        <v>5.4</v>
      </c>
      <c r="I126" s="14" t="s">
        <v>212</v>
      </c>
      <c r="J126" s="15" t="s">
        <v>213</v>
      </c>
      <c r="K126" s="12" t="s">
        <v>214</v>
      </c>
    </row>
    <row r="127" customFormat="false" ht="15" hidden="false" customHeight="true" outlineLevel="0" collapsed="false">
      <c r="A127" s="12" t="s">
        <v>117</v>
      </c>
      <c r="B127" s="13" t="n">
        <v>8.2</v>
      </c>
      <c r="C127" s="13" t="n">
        <v>13</v>
      </c>
      <c r="D127" s="14" t="n">
        <v>0</v>
      </c>
      <c r="E127" s="14" t="n">
        <v>0</v>
      </c>
      <c r="F127" s="14" t="n">
        <v>0</v>
      </c>
      <c r="G127" s="14" t="n">
        <v>0</v>
      </c>
      <c r="H127" s="13" t="n">
        <v>5.4</v>
      </c>
      <c r="I127" s="14" t="s">
        <v>212</v>
      </c>
      <c r="J127" s="15" t="s">
        <v>213</v>
      </c>
      <c r="K127" s="12" t="s">
        <v>214</v>
      </c>
    </row>
    <row r="128" customFormat="false" ht="15" hidden="false" customHeight="true" outlineLevel="0" collapsed="false">
      <c r="A128" s="12" t="s">
        <v>120</v>
      </c>
      <c r="B128" s="13" t="n">
        <v>8.2</v>
      </c>
      <c r="C128" s="13" t="n">
        <v>13</v>
      </c>
      <c r="D128" s="14" t="n">
        <v>0</v>
      </c>
      <c r="E128" s="14" t="n">
        <v>0</v>
      </c>
      <c r="F128" s="14" t="n">
        <v>0</v>
      </c>
      <c r="G128" s="14" t="n">
        <v>0</v>
      </c>
      <c r="H128" s="13" t="n">
        <v>5.4</v>
      </c>
      <c r="I128" s="14" t="s">
        <v>212</v>
      </c>
      <c r="J128" s="15" t="s">
        <v>213</v>
      </c>
      <c r="K128" s="12" t="s">
        <v>214</v>
      </c>
    </row>
    <row r="129" customFormat="false" ht="15" hidden="false" customHeight="true" outlineLevel="0" collapsed="false">
      <c r="A129" s="12" t="s">
        <v>123</v>
      </c>
      <c r="B129" s="13" t="n">
        <v>8.2</v>
      </c>
      <c r="C129" s="13" t="n">
        <v>13</v>
      </c>
      <c r="D129" s="14" t="n">
        <v>0</v>
      </c>
      <c r="E129" s="14" t="n">
        <v>0</v>
      </c>
      <c r="F129" s="14" t="n">
        <v>0</v>
      </c>
      <c r="G129" s="14" t="n">
        <v>0</v>
      </c>
      <c r="H129" s="13" t="n">
        <v>5.4</v>
      </c>
      <c r="I129" s="14" t="s">
        <v>212</v>
      </c>
      <c r="J129" s="15" t="s">
        <v>213</v>
      </c>
      <c r="K129" s="12" t="s">
        <v>214</v>
      </c>
    </row>
    <row r="130" customFormat="false" ht="15" hidden="false" customHeight="true" outlineLevel="0" collapsed="false">
      <c r="A130" s="12" t="s">
        <v>125</v>
      </c>
      <c r="B130" s="13" t="n">
        <v>8.2</v>
      </c>
      <c r="C130" s="13" t="n">
        <v>13</v>
      </c>
      <c r="D130" s="14" t="n">
        <v>0</v>
      </c>
      <c r="E130" s="14" t="n">
        <v>0</v>
      </c>
      <c r="F130" s="14" t="n">
        <v>0</v>
      </c>
      <c r="G130" s="14" t="n">
        <v>0</v>
      </c>
      <c r="H130" s="13" t="n">
        <v>5.4</v>
      </c>
      <c r="I130" s="14" t="s">
        <v>212</v>
      </c>
      <c r="J130" s="15" t="s">
        <v>213</v>
      </c>
      <c r="K130" s="12" t="s">
        <v>214</v>
      </c>
    </row>
    <row r="131" customFormat="false" ht="15" hidden="false" customHeight="true" outlineLevel="0" collapsed="false">
      <c r="A131" s="12" t="s">
        <v>128</v>
      </c>
      <c r="B131" s="13" t="n">
        <v>8.2</v>
      </c>
      <c r="C131" s="13" t="n">
        <v>13</v>
      </c>
      <c r="D131" s="14" t="n">
        <v>0</v>
      </c>
      <c r="E131" s="14" t="n">
        <v>0</v>
      </c>
      <c r="F131" s="14" t="n">
        <v>0</v>
      </c>
      <c r="G131" s="14" t="n">
        <v>0</v>
      </c>
      <c r="H131" s="13" t="n">
        <v>5.4</v>
      </c>
      <c r="I131" s="14" t="s">
        <v>212</v>
      </c>
      <c r="J131" s="15" t="s">
        <v>213</v>
      </c>
      <c r="K131" s="12" t="s">
        <v>214</v>
      </c>
    </row>
    <row r="132" customFormat="false" ht="15" hidden="false" customHeight="true" outlineLevel="0" collapsed="false">
      <c r="A132" s="12" t="s">
        <v>131</v>
      </c>
      <c r="B132" s="13" t="n">
        <v>8.2</v>
      </c>
      <c r="C132" s="13" t="n">
        <v>13</v>
      </c>
      <c r="D132" s="14" t="n">
        <v>0</v>
      </c>
      <c r="E132" s="14" t="n">
        <v>0</v>
      </c>
      <c r="F132" s="14" t="n">
        <v>0</v>
      </c>
      <c r="G132" s="14" t="n">
        <v>0</v>
      </c>
      <c r="H132" s="13" t="n">
        <v>5.4</v>
      </c>
      <c r="I132" s="14" t="s">
        <v>212</v>
      </c>
      <c r="J132" s="15" t="s">
        <v>213</v>
      </c>
      <c r="K132" s="12" t="s">
        <v>214</v>
      </c>
    </row>
    <row r="133" customFormat="false" ht="15" hidden="false" customHeight="true" outlineLevel="0" collapsed="false">
      <c r="A133" s="12" t="s">
        <v>134</v>
      </c>
      <c r="B133" s="13" t="n">
        <v>8.2</v>
      </c>
      <c r="C133" s="13" t="n">
        <v>13</v>
      </c>
      <c r="D133" s="14" t="n">
        <v>0</v>
      </c>
      <c r="E133" s="14" t="n">
        <v>0</v>
      </c>
      <c r="F133" s="14" t="n">
        <v>0</v>
      </c>
      <c r="G133" s="14" t="n">
        <v>0</v>
      </c>
      <c r="H133" s="13" t="n">
        <v>5.4</v>
      </c>
      <c r="I133" s="14" t="s">
        <v>212</v>
      </c>
      <c r="J133" s="15" t="s">
        <v>213</v>
      </c>
      <c r="K133" s="12" t="s">
        <v>214</v>
      </c>
    </row>
    <row r="134" customFormat="false" ht="15" hidden="false" customHeight="true" outlineLevel="0" collapsed="false">
      <c r="A134" s="12" t="s">
        <v>136</v>
      </c>
      <c r="B134" s="13" t="n">
        <v>8.2</v>
      </c>
      <c r="C134" s="13" t="n">
        <v>13</v>
      </c>
      <c r="D134" s="14" t="n">
        <v>0</v>
      </c>
      <c r="E134" s="14" t="n">
        <v>0</v>
      </c>
      <c r="F134" s="14" t="n">
        <v>0</v>
      </c>
      <c r="G134" s="14" t="n">
        <v>0</v>
      </c>
      <c r="H134" s="13" t="n">
        <v>5.4</v>
      </c>
      <c r="I134" s="14" t="s">
        <v>212</v>
      </c>
      <c r="J134" s="15" t="s">
        <v>213</v>
      </c>
      <c r="K134" s="12" t="s">
        <v>214</v>
      </c>
    </row>
    <row r="135" customFormat="false" ht="15" hidden="false" customHeight="true" outlineLevel="0" collapsed="false">
      <c r="A135" s="12" t="s">
        <v>138</v>
      </c>
      <c r="B135" s="13" t="n">
        <v>8.2</v>
      </c>
      <c r="C135" s="13" t="n">
        <v>13</v>
      </c>
      <c r="D135" s="14" t="n">
        <v>0</v>
      </c>
      <c r="E135" s="14" t="n">
        <v>0</v>
      </c>
      <c r="F135" s="14" t="n">
        <v>0</v>
      </c>
      <c r="G135" s="14" t="n">
        <v>0</v>
      </c>
      <c r="H135" s="13" t="n">
        <v>5.4</v>
      </c>
      <c r="I135" s="14" t="s">
        <v>212</v>
      </c>
      <c r="J135" s="15" t="s">
        <v>213</v>
      </c>
      <c r="K135" s="12" t="s">
        <v>214</v>
      </c>
    </row>
    <row r="136" customFormat="false" ht="15" hidden="false" customHeight="true" outlineLevel="0" collapsed="false">
      <c r="A136" s="12" t="s">
        <v>141</v>
      </c>
      <c r="B136" s="13" t="n">
        <v>8.2</v>
      </c>
      <c r="C136" s="13" t="n">
        <v>13</v>
      </c>
      <c r="D136" s="14" t="n">
        <v>0</v>
      </c>
      <c r="E136" s="14" t="n">
        <v>0</v>
      </c>
      <c r="F136" s="14" t="n">
        <v>0</v>
      </c>
      <c r="G136" s="14" t="n">
        <v>0</v>
      </c>
      <c r="H136" s="13" t="n">
        <v>5.4</v>
      </c>
      <c r="I136" s="14" t="s">
        <v>212</v>
      </c>
      <c r="J136" s="15" t="s">
        <v>213</v>
      </c>
      <c r="K136" s="12" t="s">
        <v>214</v>
      </c>
    </row>
    <row r="137" customFormat="false" ht="15" hidden="false" customHeight="true" outlineLevel="0" collapsed="false">
      <c r="A137" s="12" t="s">
        <v>145</v>
      </c>
      <c r="B137" s="13" t="n">
        <v>8.2</v>
      </c>
      <c r="C137" s="13" t="n">
        <v>13</v>
      </c>
      <c r="D137" s="14" t="n">
        <v>0</v>
      </c>
      <c r="E137" s="14" t="n">
        <v>0</v>
      </c>
      <c r="F137" s="14" t="n">
        <v>0</v>
      </c>
      <c r="G137" s="14" t="n">
        <v>0</v>
      </c>
      <c r="H137" s="13" t="n">
        <v>5.4</v>
      </c>
      <c r="I137" s="14" t="s">
        <v>212</v>
      </c>
      <c r="J137" s="15" t="s">
        <v>213</v>
      </c>
      <c r="K137" s="12" t="s">
        <v>214</v>
      </c>
    </row>
    <row r="138" customFormat="false" ht="15" hidden="false" customHeight="true" outlineLevel="0" collapsed="false">
      <c r="A138" s="12" t="s">
        <v>148</v>
      </c>
      <c r="B138" s="13" t="n">
        <v>8.2</v>
      </c>
      <c r="C138" s="13" t="n">
        <v>13</v>
      </c>
      <c r="D138" s="14" t="n">
        <v>0</v>
      </c>
      <c r="E138" s="14" t="n">
        <v>0</v>
      </c>
      <c r="F138" s="14" t="n">
        <v>0</v>
      </c>
      <c r="G138" s="14" t="n">
        <v>0</v>
      </c>
      <c r="H138" s="13" t="n">
        <v>5.4</v>
      </c>
      <c r="I138" s="14" t="s">
        <v>212</v>
      </c>
      <c r="J138" s="15" t="s">
        <v>213</v>
      </c>
      <c r="K138" s="12" t="s">
        <v>214</v>
      </c>
    </row>
    <row r="139" customFormat="false" ht="15" hidden="false" customHeight="true" outlineLevel="0" collapsed="false">
      <c r="A139" s="12" t="s">
        <v>150</v>
      </c>
      <c r="B139" s="13" t="n">
        <v>8.2</v>
      </c>
      <c r="C139" s="13" t="n">
        <v>13</v>
      </c>
      <c r="D139" s="14" t="n">
        <v>0</v>
      </c>
      <c r="E139" s="14" t="n">
        <v>0</v>
      </c>
      <c r="F139" s="14" t="n">
        <v>0</v>
      </c>
      <c r="G139" s="14" t="n">
        <v>0</v>
      </c>
      <c r="H139" s="13" t="n">
        <v>5.4</v>
      </c>
      <c r="I139" s="14" t="s">
        <v>212</v>
      </c>
      <c r="J139" s="15" t="s">
        <v>213</v>
      </c>
      <c r="K139" s="12" t="s">
        <v>214</v>
      </c>
    </row>
    <row r="140" customFormat="false" ht="15" hidden="false" customHeight="true" outlineLevel="0" collapsed="false">
      <c r="A140" s="12" t="s">
        <v>153</v>
      </c>
      <c r="B140" s="13" t="n">
        <v>8.2</v>
      </c>
      <c r="C140" s="13" t="n">
        <v>13</v>
      </c>
      <c r="D140" s="14" t="n">
        <v>0</v>
      </c>
      <c r="E140" s="14" t="n">
        <v>0</v>
      </c>
      <c r="F140" s="14" t="n">
        <v>0</v>
      </c>
      <c r="G140" s="14" t="n">
        <v>0</v>
      </c>
      <c r="H140" s="13" t="n">
        <v>5.4</v>
      </c>
      <c r="I140" s="14" t="s">
        <v>212</v>
      </c>
      <c r="J140" s="15" t="s">
        <v>213</v>
      </c>
      <c r="K140" s="12" t="s">
        <v>214</v>
      </c>
    </row>
    <row r="141" customFormat="false" ht="15" hidden="false" customHeight="true" outlineLevel="0" collapsed="false">
      <c r="A141" s="12" t="s">
        <v>155</v>
      </c>
      <c r="B141" s="13" t="n">
        <v>8.2</v>
      </c>
      <c r="C141" s="13" t="n">
        <v>13</v>
      </c>
      <c r="D141" s="14" t="n">
        <v>0</v>
      </c>
      <c r="E141" s="14" t="n">
        <v>0</v>
      </c>
      <c r="F141" s="14" t="n">
        <v>0</v>
      </c>
      <c r="G141" s="14" t="n">
        <v>0</v>
      </c>
      <c r="H141" s="13" t="n">
        <v>5.4</v>
      </c>
      <c r="I141" s="14" t="s">
        <v>212</v>
      </c>
      <c r="J141" s="15" t="s">
        <v>213</v>
      </c>
      <c r="K141" s="12" t="s">
        <v>214</v>
      </c>
    </row>
    <row r="142" customFormat="false" ht="15" hidden="false" customHeight="true" outlineLevel="0" collapsed="false">
      <c r="A142" s="12" t="s">
        <v>158</v>
      </c>
      <c r="B142" s="13" t="n">
        <v>8.2</v>
      </c>
      <c r="C142" s="13" t="n">
        <v>13</v>
      </c>
      <c r="D142" s="14" t="n">
        <v>0</v>
      </c>
      <c r="E142" s="14" t="n">
        <v>0</v>
      </c>
      <c r="F142" s="14" t="n">
        <v>0</v>
      </c>
      <c r="G142" s="14" t="n">
        <v>0</v>
      </c>
      <c r="H142" s="13" t="n">
        <v>5.4</v>
      </c>
      <c r="I142" s="14" t="s">
        <v>212</v>
      </c>
      <c r="J142" s="15" t="s">
        <v>213</v>
      </c>
      <c r="K142" s="12" t="s">
        <v>214</v>
      </c>
    </row>
    <row r="143" customFormat="false" ht="15" hidden="false" customHeight="true" outlineLevel="0" collapsed="false">
      <c r="A143" s="12" t="s">
        <v>161</v>
      </c>
      <c r="B143" s="13" t="n">
        <v>8.2</v>
      </c>
      <c r="C143" s="13" t="n">
        <v>13</v>
      </c>
      <c r="D143" s="14" t="n">
        <v>0</v>
      </c>
      <c r="E143" s="14" t="n">
        <v>0</v>
      </c>
      <c r="F143" s="14" t="n">
        <v>0</v>
      </c>
      <c r="G143" s="14" t="n">
        <v>0</v>
      </c>
      <c r="H143" s="13" t="n">
        <v>5.4</v>
      </c>
      <c r="I143" s="14" t="s">
        <v>212</v>
      </c>
      <c r="J143" s="15" t="s">
        <v>213</v>
      </c>
      <c r="K143" s="12" t="s">
        <v>214</v>
      </c>
    </row>
    <row r="144" customFormat="false" ht="15" hidden="false" customHeight="true" outlineLevel="0" collapsed="false">
      <c r="A144" s="12" t="s">
        <v>164</v>
      </c>
      <c r="B144" s="13" t="n">
        <v>8.2</v>
      </c>
      <c r="C144" s="13" t="n">
        <v>13</v>
      </c>
      <c r="D144" s="14" t="n">
        <v>0</v>
      </c>
      <c r="E144" s="14" t="n">
        <v>0</v>
      </c>
      <c r="F144" s="14" t="n">
        <v>0</v>
      </c>
      <c r="G144" s="14" t="n">
        <v>0</v>
      </c>
      <c r="H144" s="13" t="n">
        <v>5.4</v>
      </c>
      <c r="I144" s="14" t="s">
        <v>212</v>
      </c>
      <c r="J144" s="15" t="s">
        <v>213</v>
      </c>
      <c r="K144" s="12" t="s">
        <v>214</v>
      </c>
    </row>
    <row r="145" customFormat="false" ht="15" hidden="false" customHeight="true" outlineLevel="0" collapsed="false">
      <c r="A145" s="12" t="s">
        <v>167</v>
      </c>
      <c r="B145" s="13" t="n">
        <v>8.2</v>
      </c>
      <c r="C145" s="13" t="n">
        <v>13</v>
      </c>
      <c r="D145" s="14" t="n">
        <v>0</v>
      </c>
      <c r="E145" s="14" t="n">
        <v>0</v>
      </c>
      <c r="F145" s="14" t="n">
        <v>0</v>
      </c>
      <c r="G145" s="14" t="n">
        <v>0</v>
      </c>
      <c r="H145" s="13" t="n">
        <v>5.4</v>
      </c>
      <c r="I145" s="14" t="s">
        <v>212</v>
      </c>
      <c r="J145" s="15" t="s">
        <v>213</v>
      </c>
      <c r="K145" s="12" t="s">
        <v>214</v>
      </c>
    </row>
    <row r="146" customFormat="false" ht="15" hidden="false" customHeight="true" outlineLevel="0" collapsed="false">
      <c r="A146" s="12" t="s">
        <v>170</v>
      </c>
      <c r="B146" s="13" t="n">
        <v>8.2</v>
      </c>
      <c r="C146" s="13" t="n">
        <v>13</v>
      </c>
      <c r="D146" s="14" t="n">
        <v>0</v>
      </c>
      <c r="E146" s="14" t="n">
        <v>0</v>
      </c>
      <c r="F146" s="14" t="n">
        <v>0</v>
      </c>
      <c r="G146" s="14" t="n">
        <v>0</v>
      </c>
      <c r="H146" s="13" t="n">
        <v>5.4</v>
      </c>
      <c r="I146" s="14" t="s">
        <v>212</v>
      </c>
      <c r="J146" s="15" t="s">
        <v>213</v>
      </c>
      <c r="K146" s="12" t="s">
        <v>214</v>
      </c>
    </row>
    <row r="147" customFormat="false" ht="15" hidden="false" customHeight="true" outlineLevel="0" collapsed="false">
      <c r="A147" s="12" t="s">
        <v>172</v>
      </c>
      <c r="B147" s="13" t="n">
        <v>8.2</v>
      </c>
      <c r="C147" s="13" t="n">
        <v>13</v>
      </c>
      <c r="D147" s="14" t="n">
        <v>0</v>
      </c>
      <c r="E147" s="14" t="n">
        <v>0</v>
      </c>
      <c r="F147" s="14" t="n">
        <v>0</v>
      </c>
      <c r="G147" s="14" t="n">
        <v>0</v>
      </c>
      <c r="H147" s="13" t="n">
        <v>5.4</v>
      </c>
      <c r="I147" s="14" t="s">
        <v>212</v>
      </c>
      <c r="J147" s="15" t="s">
        <v>213</v>
      </c>
      <c r="K147" s="12" t="s">
        <v>214</v>
      </c>
    </row>
    <row r="148" customFormat="false" ht="15" hidden="false" customHeight="true" outlineLevel="0" collapsed="false">
      <c r="A148" s="12" t="s">
        <v>175</v>
      </c>
      <c r="B148" s="13" t="n">
        <v>8.2</v>
      </c>
      <c r="C148" s="13" t="n">
        <v>13</v>
      </c>
      <c r="D148" s="14" t="n">
        <v>0</v>
      </c>
      <c r="E148" s="14" t="n">
        <v>0</v>
      </c>
      <c r="F148" s="14" t="n">
        <v>0</v>
      </c>
      <c r="G148" s="14" t="n">
        <v>0</v>
      </c>
      <c r="H148" s="13" t="n">
        <v>5.4</v>
      </c>
      <c r="I148" s="14" t="s">
        <v>212</v>
      </c>
      <c r="J148" s="15" t="s">
        <v>213</v>
      </c>
      <c r="K148" s="12" t="s">
        <v>214</v>
      </c>
    </row>
    <row r="149" customFormat="false" ht="15" hidden="false" customHeight="true" outlineLevel="0" collapsed="false">
      <c r="A149" s="12" t="s">
        <v>177</v>
      </c>
      <c r="B149" s="13" t="n">
        <v>8.2</v>
      </c>
      <c r="C149" s="13" t="n">
        <v>13</v>
      </c>
      <c r="D149" s="14" t="n">
        <v>0</v>
      </c>
      <c r="E149" s="14" t="n">
        <v>0</v>
      </c>
      <c r="F149" s="14" t="n">
        <v>0</v>
      </c>
      <c r="G149" s="14" t="n">
        <v>0</v>
      </c>
      <c r="H149" s="13" t="n">
        <v>5.4</v>
      </c>
      <c r="I149" s="14" t="s">
        <v>212</v>
      </c>
      <c r="J149" s="15" t="s">
        <v>213</v>
      </c>
      <c r="K149" s="12" t="s">
        <v>214</v>
      </c>
    </row>
    <row r="150" customFormat="false" ht="15" hidden="false" customHeight="true" outlineLevel="0" collapsed="false">
      <c r="A150" s="12" t="s">
        <v>180</v>
      </c>
      <c r="B150" s="13" t="n">
        <v>8.2</v>
      </c>
      <c r="C150" s="13" t="n">
        <v>13</v>
      </c>
      <c r="D150" s="14" t="n">
        <v>0</v>
      </c>
      <c r="E150" s="14" t="n">
        <v>0</v>
      </c>
      <c r="F150" s="14" t="n">
        <v>0</v>
      </c>
      <c r="G150" s="14" t="n">
        <v>0</v>
      </c>
      <c r="H150" s="13" t="n">
        <v>5.4</v>
      </c>
      <c r="I150" s="14" t="s">
        <v>212</v>
      </c>
      <c r="J150" s="15" t="s">
        <v>213</v>
      </c>
      <c r="K150" s="12" t="s">
        <v>214</v>
      </c>
    </row>
    <row r="151" customFormat="false" ht="15" hidden="false" customHeight="true" outlineLevel="0" collapsed="false">
      <c r="A151" s="12" t="s">
        <v>182</v>
      </c>
      <c r="B151" s="13" t="n">
        <v>8.2</v>
      </c>
      <c r="C151" s="13" t="n">
        <v>13</v>
      </c>
      <c r="D151" s="14" t="n">
        <v>0</v>
      </c>
      <c r="E151" s="14" t="n">
        <v>0</v>
      </c>
      <c r="F151" s="14" t="n">
        <v>0</v>
      </c>
      <c r="G151" s="14" t="n">
        <v>0</v>
      </c>
      <c r="H151" s="13" t="n">
        <v>5.4</v>
      </c>
      <c r="I151" s="14" t="s">
        <v>212</v>
      </c>
      <c r="J151" s="15" t="s">
        <v>213</v>
      </c>
      <c r="K151" s="12" t="s">
        <v>214</v>
      </c>
    </row>
    <row r="152" customFormat="false" ht="15" hidden="false" customHeight="true" outlineLevel="0" collapsed="false">
      <c r="A152" s="12" t="s">
        <v>185</v>
      </c>
      <c r="B152" s="13" t="n">
        <v>8.2</v>
      </c>
      <c r="C152" s="13" t="n">
        <v>13</v>
      </c>
      <c r="D152" s="14" t="n">
        <v>0</v>
      </c>
      <c r="E152" s="14" t="n">
        <v>0</v>
      </c>
      <c r="F152" s="14" t="n">
        <v>0</v>
      </c>
      <c r="G152" s="14" t="n">
        <v>0</v>
      </c>
      <c r="H152" s="13" t="n">
        <v>5.4</v>
      </c>
      <c r="I152" s="14" t="s">
        <v>212</v>
      </c>
      <c r="J152" s="15" t="s">
        <v>213</v>
      </c>
      <c r="K152" s="12" t="s">
        <v>214</v>
      </c>
    </row>
    <row r="153" customFormat="false" ht="15" hidden="false" customHeight="true" outlineLevel="0" collapsed="false">
      <c r="A153" s="12" t="s">
        <v>188</v>
      </c>
      <c r="B153" s="13" t="n">
        <v>8.2</v>
      </c>
      <c r="C153" s="13" t="n">
        <v>13</v>
      </c>
      <c r="D153" s="14" t="n">
        <v>0</v>
      </c>
      <c r="E153" s="14" t="n">
        <v>0</v>
      </c>
      <c r="F153" s="14" t="n">
        <v>0</v>
      </c>
      <c r="G153" s="14" t="n">
        <v>0</v>
      </c>
      <c r="H153" s="13" t="n">
        <v>5.4</v>
      </c>
      <c r="I153" s="14" t="s">
        <v>212</v>
      </c>
      <c r="J153" s="15" t="s">
        <v>213</v>
      </c>
      <c r="K153" s="12" t="s">
        <v>214</v>
      </c>
    </row>
    <row r="154" customFormat="false" ht="15" hidden="false" customHeight="true" outlineLevel="0" collapsed="false">
      <c r="A154" s="12" t="s">
        <v>191</v>
      </c>
      <c r="B154" s="13" t="n">
        <v>8.2</v>
      </c>
      <c r="C154" s="13" t="n">
        <v>13</v>
      </c>
      <c r="D154" s="14" t="n">
        <v>0</v>
      </c>
      <c r="E154" s="14" t="n">
        <v>0</v>
      </c>
      <c r="F154" s="14" t="n">
        <v>0</v>
      </c>
      <c r="G154" s="14" t="n">
        <v>0</v>
      </c>
      <c r="H154" s="13" t="n">
        <v>5.4</v>
      </c>
      <c r="I154" s="14" t="s">
        <v>212</v>
      </c>
      <c r="J154" s="15" t="s">
        <v>213</v>
      </c>
      <c r="K154" s="12" t="s">
        <v>214</v>
      </c>
    </row>
    <row r="155" customFormat="false" ht="15" hidden="false" customHeight="true" outlineLevel="0" collapsed="false">
      <c r="A155" s="12" t="s">
        <v>194</v>
      </c>
      <c r="B155" s="13" t="n">
        <v>8.2</v>
      </c>
      <c r="C155" s="13" t="n">
        <v>13</v>
      </c>
      <c r="D155" s="14" t="n">
        <v>0</v>
      </c>
      <c r="E155" s="14" t="n">
        <v>0</v>
      </c>
      <c r="F155" s="14" t="n">
        <v>0</v>
      </c>
      <c r="G155" s="14" t="n">
        <v>0</v>
      </c>
      <c r="H155" s="13" t="n">
        <v>5.4</v>
      </c>
      <c r="I155" s="14" t="s">
        <v>212</v>
      </c>
      <c r="J155" s="15" t="s">
        <v>213</v>
      </c>
      <c r="K155" s="12" t="s">
        <v>214</v>
      </c>
    </row>
    <row r="156" customFormat="false" ht="15" hidden="false" customHeight="true" outlineLevel="0" collapsed="false">
      <c r="A156" s="12" t="s">
        <v>198</v>
      </c>
      <c r="B156" s="13" t="n">
        <v>8.2</v>
      </c>
      <c r="C156" s="13" t="n">
        <v>13</v>
      </c>
      <c r="D156" s="14" t="n">
        <v>0</v>
      </c>
      <c r="E156" s="14" t="n">
        <v>0</v>
      </c>
      <c r="F156" s="14" t="n">
        <v>0</v>
      </c>
      <c r="G156" s="14" t="n">
        <v>0</v>
      </c>
      <c r="H156" s="13" t="n">
        <v>5.4</v>
      </c>
      <c r="I156" s="14" t="s">
        <v>212</v>
      </c>
      <c r="J156" s="15" t="s">
        <v>213</v>
      </c>
      <c r="K156" s="12" t="s">
        <v>214</v>
      </c>
    </row>
    <row r="157" customFormat="false" ht="15" hidden="false" customHeight="true" outlineLevel="0" collapsed="false">
      <c r="A157" s="12" t="s">
        <v>298</v>
      </c>
      <c r="B157" s="13" t="n">
        <v>0</v>
      </c>
      <c r="C157" s="13" t="n">
        <v>13.3</v>
      </c>
      <c r="D157" s="14" t="n">
        <v>0</v>
      </c>
      <c r="E157" s="14" t="n">
        <v>0</v>
      </c>
      <c r="F157" s="14" t="n">
        <v>0</v>
      </c>
      <c r="G157" s="14" t="n">
        <v>0</v>
      </c>
      <c r="H157" s="13" t="n">
        <v>4.8</v>
      </c>
      <c r="I157" s="14" t="s">
        <v>212</v>
      </c>
      <c r="J157" s="15" t="s">
        <v>213</v>
      </c>
      <c r="K157" s="12" t="s">
        <v>214</v>
      </c>
    </row>
    <row r="158" customFormat="false" ht="15" hidden="false" customHeight="true" outlineLevel="0" collapsed="false">
      <c r="A158" s="12" t="s">
        <v>299</v>
      </c>
      <c r="B158" s="13" t="n">
        <v>0</v>
      </c>
      <c r="C158" s="13" t="n">
        <v>13</v>
      </c>
      <c r="D158" s="14" t="n">
        <v>0</v>
      </c>
      <c r="E158" s="14" t="n">
        <v>0</v>
      </c>
      <c r="F158" s="14" t="n">
        <v>0</v>
      </c>
      <c r="G158" s="14" t="n">
        <v>0</v>
      </c>
      <c r="H158" s="13" t="n">
        <v>3</v>
      </c>
      <c r="I158" s="14" t="s">
        <v>212</v>
      </c>
      <c r="J158" s="14" t="s">
        <v>212</v>
      </c>
      <c r="K158" s="12" t="s">
        <v>300</v>
      </c>
    </row>
    <row r="159" customFormat="false" ht="15" hidden="false" customHeight="true" outlineLevel="0" collapsed="false">
      <c r="A159" s="12" t="s">
        <v>301</v>
      </c>
      <c r="B159" s="13" t="n">
        <v>25.4</v>
      </c>
      <c r="C159" s="13" t="n">
        <v>13.1</v>
      </c>
      <c r="D159" s="14" t="n">
        <v>58</v>
      </c>
      <c r="E159" s="14" t="n">
        <v>0</v>
      </c>
      <c r="F159" s="14" t="n">
        <v>0</v>
      </c>
      <c r="G159" s="14" t="n">
        <v>0</v>
      </c>
      <c r="H159" s="13" t="n">
        <v>5.2</v>
      </c>
      <c r="I159" s="14" t="s">
        <v>212</v>
      </c>
      <c r="J159" s="15" t="s">
        <v>213</v>
      </c>
      <c r="K159" s="12" t="s">
        <v>214</v>
      </c>
    </row>
    <row r="160" customFormat="false" ht="15" hidden="false" customHeight="true" outlineLevel="0" collapsed="false">
      <c r="A160" s="12" t="s">
        <v>302</v>
      </c>
      <c r="B160" s="13" t="n">
        <v>25.4</v>
      </c>
      <c r="C160" s="13" t="n">
        <v>13.1</v>
      </c>
      <c r="D160" s="14" t="n">
        <v>59</v>
      </c>
      <c r="E160" s="14" t="n">
        <v>0</v>
      </c>
      <c r="F160" s="14" t="n">
        <v>0</v>
      </c>
      <c r="G160" s="14" t="n">
        <v>0</v>
      </c>
      <c r="H160" s="13" t="n">
        <v>5.2</v>
      </c>
      <c r="I160" s="14" t="s">
        <v>212</v>
      </c>
      <c r="J160" s="15" t="s">
        <v>213</v>
      </c>
      <c r="K160" s="12" t="s">
        <v>214</v>
      </c>
    </row>
    <row r="161" customFormat="false" ht="15" hidden="false" customHeight="true" outlineLevel="0" collapsed="false">
      <c r="A161" s="12" t="s">
        <v>303</v>
      </c>
      <c r="B161" s="13" t="n">
        <v>25.4</v>
      </c>
      <c r="C161" s="13" t="n">
        <v>13</v>
      </c>
      <c r="D161" s="14" t="n">
        <v>59</v>
      </c>
      <c r="E161" s="14" t="n">
        <v>0</v>
      </c>
      <c r="F161" s="14" t="n">
        <v>0</v>
      </c>
      <c r="G161" s="14" t="n">
        <v>0</v>
      </c>
      <c r="H161" s="13" t="n">
        <v>5.2</v>
      </c>
      <c r="I161" s="14" t="s">
        <v>212</v>
      </c>
      <c r="J161" s="15" t="s">
        <v>213</v>
      </c>
      <c r="K161" s="12" t="s">
        <v>214</v>
      </c>
    </row>
    <row r="162" customFormat="false" ht="15" hidden="false" customHeight="true" outlineLevel="0" collapsed="false">
      <c r="A162" s="12" t="s">
        <v>304</v>
      </c>
      <c r="B162" s="13" t="n">
        <v>25.4</v>
      </c>
      <c r="C162" s="13" t="n">
        <v>13</v>
      </c>
      <c r="D162" s="14" t="n">
        <v>59</v>
      </c>
      <c r="E162" s="14" t="n">
        <v>0</v>
      </c>
      <c r="F162" s="14" t="n">
        <v>0</v>
      </c>
      <c r="G162" s="14" t="n">
        <v>0</v>
      </c>
      <c r="H162" s="13" t="n">
        <v>5.2</v>
      </c>
      <c r="I162" s="14" t="s">
        <v>212</v>
      </c>
      <c r="J162" s="15" t="s">
        <v>213</v>
      </c>
      <c r="K162" s="12" t="s">
        <v>214</v>
      </c>
    </row>
    <row r="163" customFormat="false" ht="15" hidden="false" customHeight="true" outlineLevel="0" collapsed="false">
      <c r="A163" s="12" t="s">
        <v>305</v>
      </c>
      <c r="B163" s="13" t="n">
        <v>25.4</v>
      </c>
      <c r="C163" s="13" t="n">
        <v>13</v>
      </c>
      <c r="D163" s="14" t="n">
        <v>59</v>
      </c>
      <c r="E163" s="14" t="n">
        <v>0</v>
      </c>
      <c r="F163" s="14" t="n">
        <v>0</v>
      </c>
      <c r="G163" s="14" t="n">
        <v>0</v>
      </c>
      <c r="H163" s="13" t="n">
        <v>5.1</v>
      </c>
      <c r="I163" s="14" t="s">
        <v>212</v>
      </c>
      <c r="J163" s="15" t="s">
        <v>213</v>
      </c>
      <c r="K163" s="12" t="s">
        <v>214</v>
      </c>
    </row>
    <row r="164" customFormat="false" ht="15" hidden="false" customHeight="true" outlineLevel="0" collapsed="false">
      <c r="A164" s="12" t="s">
        <v>306</v>
      </c>
      <c r="B164" s="13" t="n">
        <v>25.4</v>
      </c>
      <c r="C164" s="13" t="n">
        <v>13</v>
      </c>
      <c r="D164" s="14" t="n">
        <v>59</v>
      </c>
      <c r="E164" s="14" t="n">
        <v>0</v>
      </c>
      <c r="F164" s="14" t="n">
        <v>0</v>
      </c>
      <c r="G164" s="14" t="n">
        <v>0</v>
      </c>
      <c r="H164" s="13" t="n">
        <v>5.1</v>
      </c>
      <c r="I164" s="14" t="s">
        <v>212</v>
      </c>
      <c r="J164" s="15" t="s">
        <v>213</v>
      </c>
      <c r="K164" s="12" t="s">
        <v>214</v>
      </c>
    </row>
    <row r="165" customFormat="false" ht="15" hidden="false" customHeight="true" outlineLevel="0" collapsed="false">
      <c r="A165" s="12" t="s">
        <v>307</v>
      </c>
      <c r="B165" s="13" t="n">
        <v>25.4</v>
      </c>
      <c r="C165" s="13" t="n">
        <v>13</v>
      </c>
      <c r="D165" s="14" t="n">
        <v>59</v>
      </c>
      <c r="E165" s="14" t="n">
        <v>0</v>
      </c>
      <c r="F165" s="14" t="n">
        <v>0</v>
      </c>
      <c r="G165" s="14" t="n">
        <v>0</v>
      </c>
      <c r="H165" s="13" t="n">
        <v>5.2</v>
      </c>
      <c r="I165" s="14" t="s">
        <v>212</v>
      </c>
      <c r="J165" s="15" t="s">
        <v>213</v>
      </c>
      <c r="K165" s="12" t="s">
        <v>214</v>
      </c>
    </row>
    <row r="166" customFormat="false" ht="15" hidden="false" customHeight="true" outlineLevel="0" collapsed="false">
      <c r="A166" s="12" t="s">
        <v>308</v>
      </c>
      <c r="B166" s="13" t="n">
        <v>0</v>
      </c>
      <c r="C166" s="13" t="n">
        <v>12.7</v>
      </c>
      <c r="D166" s="14" t="n">
        <v>0</v>
      </c>
      <c r="E166" s="14" t="n">
        <v>0</v>
      </c>
      <c r="F166" s="14" t="n">
        <v>0</v>
      </c>
      <c r="G166" s="14" t="n">
        <v>0</v>
      </c>
      <c r="H166" s="13" t="n">
        <v>5.1</v>
      </c>
      <c r="I166" s="14" t="s">
        <v>212</v>
      </c>
      <c r="J166" s="15" t="s">
        <v>213</v>
      </c>
      <c r="K166" s="12" t="s">
        <v>214</v>
      </c>
    </row>
    <row r="167" customFormat="false" ht="15" hidden="false" customHeight="true" outlineLevel="0" collapsed="false">
      <c r="A167" s="12" t="s">
        <v>309</v>
      </c>
      <c r="B167" s="13" t="n">
        <v>0</v>
      </c>
      <c r="C167" s="13" t="n">
        <v>12.1</v>
      </c>
      <c r="D167" s="14" t="n">
        <v>0</v>
      </c>
      <c r="E167" s="14" t="n">
        <v>0</v>
      </c>
      <c r="F167" s="14" t="n">
        <v>0</v>
      </c>
      <c r="G167" s="14" t="n">
        <v>0</v>
      </c>
      <c r="H167" s="13" t="n">
        <v>3</v>
      </c>
      <c r="I167" s="14" t="s">
        <v>212</v>
      </c>
      <c r="J167" s="14" t="s">
        <v>212</v>
      </c>
      <c r="K167" s="12" t="s">
        <v>300</v>
      </c>
    </row>
    <row r="168" customFormat="false" ht="15" hidden="false" customHeight="true" outlineLevel="0" collapsed="false">
      <c r="A168" s="12" t="s">
        <v>310</v>
      </c>
      <c r="B168" s="13" t="n">
        <v>0</v>
      </c>
      <c r="C168" s="13" t="n">
        <v>13</v>
      </c>
      <c r="D168" s="14" t="n">
        <v>0</v>
      </c>
      <c r="E168" s="14" t="n">
        <v>0</v>
      </c>
      <c r="F168" s="14" t="n">
        <v>0</v>
      </c>
      <c r="G168" s="14" t="n">
        <v>0</v>
      </c>
      <c r="H168" s="13" t="n">
        <v>9</v>
      </c>
      <c r="I168" s="14" t="s">
        <v>212</v>
      </c>
      <c r="J168" s="14" t="s">
        <v>212</v>
      </c>
      <c r="K168" s="12" t="s">
        <v>287</v>
      </c>
    </row>
    <row r="169" customFormat="false" ht="15" hidden="false" customHeight="true" outlineLevel="0" collapsed="false">
      <c r="A169" s="6" t="s">
        <v>311</v>
      </c>
      <c r="B169" s="7" t="n">
        <v>100</v>
      </c>
      <c r="C169" s="7" t="n">
        <v>14.4</v>
      </c>
      <c r="D169" s="16" t="n">
        <v>444</v>
      </c>
      <c r="E169" s="16" t="n">
        <v>54</v>
      </c>
      <c r="F169" s="16" t="n">
        <v>171</v>
      </c>
      <c r="G169" s="16" t="n">
        <v>164</v>
      </c>
      <c r="H169" s="7" t="n">
        <v>5.5</v>
      </c>
      <c r="I169" s="15" t="s">
        <v>213</v>
      </c>
      <c r="J169" s="15" t="s">
        <v>213</v>
      </c>
      <c r="K169" s="6"/>
    </row>
    <row r="170" customFormat="false" ht="15" hidden="false" customHeight="true" outlineLevel="0" collapsed="false">
      <c r="A170" s="8" t="s">
        <v>312</v>
      </c>
      <c r="B170" s="9" t="n">
        <v>100</v>
      </c>
      <c r="C170" s="9" t="n">
        <v>14.8</v>
      </c>
      <c r="D170" s="17" t="n">
        <v>445</v>
      </c>
      <c r="E170" s="17" t="n">
        <v>54</v>
      </c>
      <c r="F170" s="17" t="n">
        <v>171</v>
      </c>
      <c r="G170" s="17" t="n">
        <v>165</v>
      </c>
      <c r="H170" s="9" t="n">
        <v>5.3</v>
      </c>
      <c r="I170" s="15" t="s">
        <v>213</v>
      </c>
      <c r="J170" s="15" t="s">
        <v>213</v>
      </c>
      <c r="K170" s="8"/>
    </row>
    <row r="171" customFormat="false" ht="15" hidden="false" customHeight="true" outlineLevel="0" collapsed="false">
      <c r="A171" s="6" t="s">
        <v>313</v>
      </c>
      <c r="B171" s="7" t="n">
        <v>100</v>
      </c>
      <c r="C171" s="7" t="n">
        <v>14.8</v>
      </c>
      <c r="D171" s="16" t="n">
        <v>445</v>
      </c>
      <c r="E171" s="16" t="n">
        <v>54</v>
      </c>
      <c r="F171" s="16" t="n">
        <v>171</v>
      </c>
      <c r="G171" s="16" t="n">
        <v>165</v>
      </c>
      <c r="H171" s="7" t="n">
        <v>5.2</v>
      </c>
      <c r="I171" s="15" t="s">
        <v>213</v>
      </c>
      <c r="J171" s="15" t="s">
        <v>213</v>
      </c>
      <c r="K171" s="6"/>
    </row>
    <row r="172" customFormat="false" ht="15" hidden="false" customHeight="true" outlineLevel="0" collapsed="false">
      <c r="A172" s="8" t="s">
        <v>314</v>
      </c>
      <c r="B172" s="9" t="n">
        <v>100</v>
      </c>
      <c r="C172" s="9" t="n">
        <v>14.8</v>
      </c>
      <c r="D172" s="17" t="n">
        <v>445</v>
      </c>
      <c r="E172" s="17" t="n">
        <v>54</v>
      </c>
      <c r="F172" s="17" t="n">
        <v>171</v>
      </c>
      <c r="G172" s="17" t="n">
        <v>165</v>
      </c>
      <c r="H172" s="9" t="n">
        <v>5.2</v>
      </c>
      <c r="I172" s="15" t="s">
        <v>213</v>
      </c>
      <c r="J172" s="15" t="s">
        <v>213</v>
      </c>
      <c r="K172" s="8"/>
    </row>
    <row r="173" customFormat="false" ht="15" hidden="false" customHeight="true" outlineLevel="0" collapsed="false">
      <c r="A173" s="12" t="s">
        <v>315</v>
      </c>
      <c r="B173" s="13" t="n">
        <v>0</v>
      </c>
      <c r="C173" s="13" t="n">
        <v>13</v>
      </c>
      <c r="D173" s="14" t="n">
        <v>0</v>
      </c>
      <c r="E173" s="14" t="n">
        <v>0</v>
      </c>
      <c r="F173" s="14" t="n">
        <v>0</v>
      </c>
      <c r="G173" s="14" t="n">
        <v>0</v>
      </c>
      <c r="H173" s="13" t="n">
        <v>5.7</v>
      </c>
      <c r="I173" s="14" t="s">
        <v>212</v>
      </c>
      <c r="J173" s="15" t="s">
        <v>213</v>
      </c>
      <c r="K173" s="12" t="s">
        <v>214</v>
      </c>
    </row>
    <row r="174" customFormat="false" ht="15" hidden="false" customHeight="true" outlineLevel="0" collapsed="false">
      <c r="A174" s="12" t="s">
        <v>316</v>
      </c>
      <c r="B174" s="13" t="n">
        <v>0</v>
      </c>
      <c r="C174" s="13" t="n">
        <v>11.9</v>
      </c>
      <c r="D174" s="14" t="n">
        <v>0</v>
      </c>
      <c r="E174" s="14" t="n">
        <v>0</v>
      </c>
      <c r="F174" s="14" t="n">
        <v>0</v>
      </c>
      <c r="G174" s="14" t="n">
        <v>0</v>
      </c>
      <c r="H174" s="13" t="n">
        <v>5</v>
      </c>
      <c r="I174" s="14" t="s">
        <v>212</v>
      </c>
      <c r="J174" s="15" t="s">
        <v>213</v>
      </c>
      <c r="K174" s="12" t="s">
        <v>214</v>
      </c>
    </row>
    <row r="175" customFormat="false" ht="15" hidden="false" customHeight="true" outlineLevel="0" collapsed="false">
      <c r="A175" s="6" t="s">
        <v>317</v>
      </c>
      <c r="B175" s="7" t="n">
        <v>66.5</v>
      </c>
      <c r="C175" s="7" t="n">
        <v>13.1</v>
      </c>
      <c r="D175" s="16" t="n">
        <v>249</v>
      </c>
      <c r="E175" s="16" t="n">
        <v>13</v>
      </c>
      <c r="F175" s="16" t="n">
        <v>77</v>
      </c>
      <c r="G175" s="16" t="n">
        <v>69</v>
      </c>
      <c r="H175" s="7" t="n">
        <v>5.4</v>
      </c>
      <c r="I175" s="15" t="s">
        <v>213</v>
      </c>
      <c r="J175" s="15" t="s">
        <v>213</v>
      </c>
      <c r="K175" s="6"/>
    </row>
    <row r="176" customFormat="false" ht="15" hidden="false" customHeight="true" outlineLevel="0" collapsed="false">
      <c r="A176" s="8" t="s">
        <v>318</v>
      </c>
      <c r="B176" s="9" t="n">
        <v>66.3</v>
      </c>
      <c r="C176" s="9" t="n">
        <v>13.9</v>
      </c>
      <c r="D176" s="17" t="n">
        <v>250</v>
      </c>
      <c r="E176" s="17" t="n">
        <v>13</v>
      </c>
      <c r="F176" s="17" t="n">
        <v>77</v>
      </c>
      <c r="G176" s="17" t="n">
        <v>70</v>
      </c>
      <c r="H176" s="9" t="n">
        <v>5.1</v>
      </c>
      <c r="I176" s="15" t="s">
        <v>213</v>
      </c>
      <c r="J176" s="15" t="s">
        <v>213</v>
      </c>
      <c r="K176" s="8"/>
    </row>
    <row r="177" customFormat="false" ht="15" hidden="false" customHeight="true" outlineLevel="0" collapsed="false">
      <c r="A177" s="6" t="s">
        <v>319</v>
      </c>
      <c r="B177" s="7" t="n">
        <v>66.1</v>
      </c>
      <c r="C177" s="7" t="n">
        <v>14</v>
      </c>
      <c r="D177" s="16" t="n">
        <v>250</v>
      </c>
      <c r="E177" s="16" t="n">
        <v>13</v>
      </c>
      <c r="F177" s="16" t="n">
        <v>77</v>
      </c>
      <c r="G177" s="16" t="n">
        <v>70</v>
      </c>
      <c r="H177" s="7" t="n">
        <v>5</v>
      </c>
      <c r="I177" s="15" t="s">
        <v>213</v>
      </c>
      <c r="J177" s="15" t="s">
        <v>213</v>
      </c>
      <c r="K177" s="6"/>
    </row>
    <row r="178" customFormat="false" ht="15" hidden="false" customHeight="true" outlineLevel="0" collapsed="false">
      <c r="A178" s="8" t="s">
        <v>320</v>
      </c>
      <c r="B178" s="9" t="n">
        <v>66.1</v>
      </c>
      <c r="C178" s="9" t="n">
        <v>14.1</v>
      </c>
      <c r="D178" s="17" t="n">
        <v>249</v>
      </c>
      <c r="E178" s="17" t="n">
        <v>13</v>
      </c>
      <c r="F178" s="17" t="n">
        <v>77</v>
      </c>
      <c r="G178" s="17" t="n">
        <v>69</v>
      </c>
      <c r="H178" s="9" t="n">
        <v>5</v>
      </c>
      <c r="I178" s="15" t="s">
        <v>213</v>
      </c>
      <c r="J178" s="15" t="s">
        <v>213</v>
      </c>
      <c r="K178" s="8"/>
    </row>
    <row r="179" customFormat="false" ht="15" hidden="false" customHeight="true" outlineLevel="0" collapsed="false">
      <c r="A179" s="6" t="s">
        <v>321</v>
      </c>
      <c r="B179" s="7" t="n">
        <v>66.1</v>
      </c>
      <c r="C179" s="7" t="n">
        <v>14.1</v>
      </c>
      <c r="D179" s="16" t="n">
        <v>250</v>
      </c>
      <c r="E179" s="16" t="n">
        <v>13</v>
      </c>
      <c r="F179" s="16" t="n">
        <v>77</v>
      </c>
      <c r="G179" s="16" t="n">
        <v>70</v>
      </c>
      <c r="H179" s="7" t="n">
        <v>5</v>
      </c>
      <c r="I179" s="15" t="s">
        <v>213</v>
      </c>
      <c r="J179" s="15" t="s">
        <v>213</v>
      </c>
      <c r="K179" s="6"/>
    </row>
    <row r="180" customFormat="false" ht="15" hidden="false" customHeight="true" outlineLevel="0" collapsed="false">
      <c r="A180" s="8" t="s">
        <v>322</v>
      </c>
      <c r="B180" s="9" t="n">
        <v>58.8</v>
      </c>
      <c r="C180" s="9" t="n">
        <v>14.1</v>
      </c>
      <c r="D180" s="17" t="n">
        <v>187</v>
      </c>
      <c r="E180" s="17" t="n">
        <v>0</v>
      </c>
      <c r="F180" s="17" t="n">
        <v>47</v>
      </c>
      <c r="G180" s="17" t="n">
        <v>39</v>
      </c>
      <c r="H180" s="9" t="n">
        <v>5.4</v>
      </c>
      <c r="I180" s="15" t="s">
        <v>213</v>
      </c>
      <c r="J180" s="15" t="s">
        <v>213</v>
      </c>
      <c r="K180" s="8"/>
    </row>
    <row r="181" customFormat="false" ht="15" hidden="false" customHeight="true" outlineLevel="0" collapsed="false">
      <c r="A181" s="6" t="s">
        <v>323</v>
      </c>
      <c r="B181" s="7" t="n">
        <v>58.6</v>
      </c>
      <c r="C181" s="7" t="n">
        <v>14.2</v>
      </c>
      <c r="D181" s="16" t="n">
        <v>187</v>
      </c>
      <c r="E181" s="16" t="n">
        <v>0</v>
      </c>
      <c r="F181" s="16" t="n">
        <v>47</v>
      </c>
      <c r="G181" s="16" t="n">
        <v>39</v>
      </c>
      <c r="H181" s="7" t="n">
        <v>5.2</v>
      </c>
      <c r="I181" s="15" t="s">
        <v>213</v>
      </c>
      <c r="J181" s="15" t="s">
        <v>213</v>
      </c>
      <c r="K181" s="6"/>
    </row>
    <row r="182" customFormat="false" ht="15" hidden="false" customHeight="true" outlineLevel="0" collapsed="false">
      <c r="A182" s="8" t="s">
        <v>324</v>
      </c>
      <c r="B182" s="9" t="n">
        <v>58.6</v>
      </c>
      <c r="C182" s="9" t="n">
        <v>14.1</v>
      </c>
      <c r="D182" s="17" t="n">
        <v>187</v>
      </c>
      <c r="E182" s="17" t="n">
        <v>0</v>
      </c>
      <c r="F182" s="17" t="n">
        <v>47</v>
      </c>
      <c r="G182" s="17" t="n">
        <v>39</v>
      </c>
      <c r="H182" s="9" t="n">
        <v>5.2</v>
      </c>
      <c r="I182" s="15" t="s">
        <v>213</v>
      </c>
      <c r="J182" s="15" t="s">
        <v>213</v>
      </c>
      <c r="K182" s="8"/>
    </row>
    <row r="183" customFormat="false" ht="15" hidden="false" customHeight="true" outlineLevel="0" collapsed="false">
      <c r="A183" s="6" t="s">
        <v>325</v>
      </c>
      <c r="B183" s="7" t="n">
        <v>58.6</v>
      </c>
      <c r="C183" s="7" t="n">
        <v>14.1</v>
      </c>
      <c r="D183" s="16" t="n">
        <v>187</v>
      </c>
      <c r="E183" s="16" t="n">
        <v>0</v>
      </c>
      <c r="F183" s="16" t="n">
        <v>47</v>
      </c>
      <c r="G183" s="16" t="n">
        <v>39</v>
      </c>
      <c r="H183" s="7" t="n">
        <v>5.1</v>
      </c>
      <c r="I183" s="15" t="s">
        <v>213</v>
      </c>
      <c r="J183" s="15" t="s">
        <v>213</v>
      </c>
      <c r="K183" s="6"/>
    </row>
    <row r="184" customFormat="false" ht="15" hidden="false" customHeight="true" outlineLevel="0" collapsed="false">
      <c r="A184" s="8" t="s">
        <v>326</v>
      </c>
      <c r="B184" s="9" t="n">
        <v>58.6</v>
      </c>
      <c r="C184" s="9" t="n">
        <v>14.1</v>
      </c>
      <c r="D184" s="17" t="n">
        <v>187</v>
      </c>
      <c r="E184" s="17" t="n">
        <v>0</v>
      </c>
      <c r="F184" s="17" t="n">
        <v>47</v>
      </c>
      <c r="G184" s="17" t="n">
        <v>39</v>
      </c>
      <c r="H184" s="9" t="n">
        <v>5.1</v>
      </c>
      <c r="I184" s="15" t="s">
        <v>213</v>
      </c>
      <c r="J184" s="15" t="s">
        <v>213</v>
      </c>
      <c r="K184" s="8"/>
    </row>
    <row r="185" customFormat="false" ht="15" hidden="false" customHeight="true" outlineLevel="0" collapsed="false">
      <c r="A185" s="6" t="s">
        <v>327</v>
      </c>
      <c r="B185" s="7" t="n">
        <v>58.6</v>
      </c>
      <c r="C185" s="7" t="n">
        <v>14.1</v>
      </c>
      <c r="D185" s="16" t="n">
        <v>187</v>
      </c>
      <c r="E185" s="16" t="n">
        <v>0</v>
      </c>
      <c r="F185" s="16" t="n">
        <v>47</v>
      </c>
      <c r="G185" s="16" t="n">
        <v>39</v>
      </c>
      <c r="H185" s="7" t="n">
        <v>5.1</v>
      </c>
      <c r="I185" s="15" t="s">
        <v>213</v>
      </c>
      <c r="J185" s="15" t="s">
        <v>213</v>
      </c>
      <c r="K185" s="6"/>
    </row>
    <row r="186" customFormat="false" ht="15" hidden="false" customHeight="true" outlineLevel="0" collapsed="false">
      <c r="A186" s="8" t="s">
        <v>328</v>
      </c>
      <c r="B186" s="9" t="n">
        <v>58.4</v>
      </c>
      <c r="C186" s="9" t="n">
        <v>14.1</v>
      </c>
      <c r="D186" s="17" t="n">
        <v>187</v>
      </c>
      <c r="E186" s="17" t="n">
        <v>0</v>
      </c>
      <c r="F186" s="17" t="n">
        <v>47</v>
      </c>
      <c r="G186" s="17" t="n">
        <v>39</v>
      </c>
      <c r="H186" s="9" t="n">
        <v>5.1</v>
      </c>
      <c r="I186" s="15" t="s">
        <v>213</v>
      </c>
      <c r="J186" s="15" t="s">
        <v>213</v>
      </c>
      <c r="K186" s="8"/>
    </row>
    <row r="187" customFormat="false" ht="15" hidden="false" customHeight="true" outlineLevel="0" collapsed="false">
      <c r="A187" s="6" t="s">
        <v>329</v>
      </c>
      <c r="B187" s="7" t="n">
        <v>58.4</v>
      </c>
      <c r="C187" s="7" t="n">
        <v>14.1</v>
      </c>
      <c r="D187" s="16" t="n">
        <v>187</v>
      </c>
      <c r="E187" s="16" t="n">
        <v>0</v>
      </c>
      <c r="F187" s="16" t="n">
        <v>47</v>
      </c>
      <c r="G187" s="16" t="n">
        <v>39</v>
      </c>
      <c r="H187" s="7" t="n">
        <v>5.1</v>
      </c>
      <c r="I187" s="15" t="s">
        <v>213</v>
      </c>
      <c r="J187" s="15" t="s">
        <v>213</v>
      </c>
      <c r="K187" s="6"/>
    </row>
    <row r="188" customFormat="false" ht="15" hidden="false" customHeight="true" outlineLevel="0" collapsed="false">
      <c r="A188" s="8" t="s">
        <v>330</v>
      </c>
      <c r="B188" s="9" t="n">
        <v>58.6</v>
      </c>
      <c r="C188" s="9" t="n">
        <v>14.1</v>
      </c>
      <c r="D188" s="17" t="n">
        <v>187</v>
      </c>
      <c r="E188" s="17" t="n">
        <v>0</v>
      </c>
      <c r="F188" s="17" t="n">
        <v>47</v>
      </c>
      <c r="G188" s="17" t="n">
        <v>39</v>
      </c>
      <c r="H188" s="9" t="n">
        <v>5.1</v>
      </c>
      <c r="I188" s="15" t="s">
        <v>213</v>
      </c>
      <c r="J188" s="15" t="s">
        <v>213</v>
      </c>
      <c r="K188" s="8"/>
    </row>
    <row r="189" customFormat="false" ht="15" hidden="false" customHeight="true" outlineLevel="0" collapsed="false">
      <c r="A189" s="6" t="s">
        <v>331</v>
      </c>
      <c r="B189" s="7" t="n">
        <v>58.4</v>
      </c>
      <c r="C189" s="7" t="n">
        <v>14</v>
      </c>
      <c r="D189" s="16" t="n">
        <v>187</v>
      </c>
      <c r="E189" s="16" t="n">
        <v>0</v>
      </c>
      <c r="F189" s="16" t="n">
        <v>47</v>
      </c>
      <c r="G189" s="16" t="n">
        <v>39</v>
      </c>
      <c r="H189" s="7" t="n">
        <v>5.1</v>
      </c>
      <c r="I189" s="15" t="s">
        <v>213</v>
      </c>
      <c r="J189" s="15" t="s">
        <v>213</v>
      </c>
      <c r="K189" s="6"/>
    </row>
    <row r="190" customFormat="false" ht="15" hidden="false" customHeight="true" outlineLevel="0" collapsed="false">
      <c r="A190" s="8" t="s">
        <v>332</v>
      </c>
      <c r="B190" s="9" t="n">
        <v>58.4</v>
      </c>
      <c r="C190" s="9" t="n">
        <v>14</v>
      </c>
      <c r="D190" s="17" t="n">
        <v>186</v>
      </c>
      <c r="E190" s="17" t="n">
        <v>0</v>
      </c>
      <c r="F190" s="17" t="n">
        <v>46</v>
      </c>
      <c r="G190" s="17" t="n">
        <v>39</v>
      </c>
      <c r="H190" s="9" t="n">
        <v>5.1</v>
      </c>
      <c r="I190" s="15" t="s">
        <v>213</v>
      </c>
      <c r="J190" s="15" t="s">
        <v>213</v>
      </c>
      <c r="K190" s="8"/>
    </row>
    <row r="191" customFormat="false" ht="15" hidden="false" customHeight="true" outlineLevel="0" collapsed="false">
      <c r="A191" s="6" t="s">
        <v>333</v>
      </c>
      <c r="B191" s="7" t="n">
        <v>58.4</v>
      </c>
      <c r="C191" s="7" t="n">
        <v>14</v>
      </c>
      <c r="D191" s="16" t="n">
        <v>186</v>
      </c>
      <c r="E191" s="16" t="n">
        <v>0</v>
      </c>
      <c r="F191" s="16" t="n">
        <v>46</v>
      </c>
      <c r="G191" s="16" t="n">
        <v>39</v>
      </c>
      <c r="H191" s="7" t="n">
        <v>5.1</v>
      </c>
      <c r="I191" s="15" t="s">
        <v>213</v>
      </c>
      <c r="J191" s="15" t="s">
        <v>213</v>
      </c>
      <c r="K191" s="6"/>
    </row>
    <row r="192" customFormat="false" ht="15" hidden="false" customHeight="true" outlineLevel="0" collapsed="false">
      <c r="A192" s="8" t="s">
        <v>334</v>
      </c>
      <c r="B192" s="9" t="n">
        <v>58.4</v>
      </c>
      <c r="C192" s="9" t="n">
        <v>14</v>
      </c>
      <c r="D192" s="17" t="n">
        <v>186</v>
      </c>
      <c r="E192" s="17" t="n">
        <v>0</v>
      </c>
      <c r="F192" s="17" t="n">
        <v>46</v>
      </c>
      <c r="G192" s="17" t="n">
        <v>39</v>
      </c>
      <c r="H192" s="9" t="n">
        <v>5.1</v>
      </c>
      <c r="I192" s="15" t="s">
        <v>213</v>
      </c>
      <c r="J192" s="15" t="s">
        <v>213</v>
      </c>
      <c r="K192" s="8"/>
    </row>
    <row r="193" customFormat="false" ht="15" hidden="false" customHeight="true" outlineLevel="0" collapsed="false">
      <c r="A193" s="6" t="s">
        <v>335</v>
      </c>
      <c r="B193" s="7" t="n">
        <v>58.4</v>
      </c>
      <c r="C193" s="7" t="n">
        <v>14</v>
      </c>
      <c r="D193" s="16" t="n">
        <v>186</v>
      </c>
      <c r="E193" s="16" t="n">
        <v>0</v>
      </c>
      <c r="F193" s="16" t="n">
        <v>46</v>
      </c>
      <c r="G193" s="16" t="n">
        <v>39</v>
      </c>
      <c r="H193" s="7" t="n">
        <v>5.1</v>
      </c>
      <c r="I193" s="15" t="s">
        <v>213</v>
      </c>
      <c r="J193" s="15" t="s">
        <v>213</v>
      </c>
      <c r="K193" s="6"/>
    </row>
    <row r="194" customFormat="false" ht="15" hidden="false" customHeight="true" outlineLevel="0" collapsed="false">
      <c r="A194" s="8" t="s">
        <v>336</v>
      </c>
      <c r="B194" s="9" t="n">
        <v>58.4</v>
      </c>
      <c r="C194" s="9" t="n">
        <v>14</v>
      </c>
      <c r="D194" s="17" t="n">
        <v>186</v>
      </c>
      <c r="E194" s="17" t="n">
        <v>0</v>
      </c>
      <c r="F194" s="17" t="n">
        <v>46</v>
      </c>
      <c r="G194" s="17" t="n">
        <v>39</v>
      </c>
      <c r="H194" s="9" t="n">
        <v>5.1</v>
      </c>
      <c r="I194" s="15" t="s">
        <v>213</v>
      </c>
      <c r="J194" s="15" t="s">
        <v>213</v>
      </c>
      <c r="K194" s="8"/>
    </row>
    <row r="195" customFormat="false" ht="15" hidden="false" customHeight="true" outlineLevel="0" collapsed="false">
      <c r="A195" s="6" t="s">
        <v>337</v>
      </c>
      <c r="B195" s="7" t="n">
        <v>58.4</v>
      </c>
      <c r="C195" s="7" t="n">
        <v>14</v>
      </c>
      <c r="D195" s="16" t="n">
        <v>186</v>
      </c>
      <c r="E195" s="16" t="n">
        <v>0</v>
      </c>
      <c r="F195" s="16" t="n">
        <v>46</v>
      </c>
      <c r="G195" s="16" t="n">
        <v>39</v>
      </c>
      <c r="H195" s="7" t="n">
        <v>5.1</v>
      </c>
      <c r="I195" s="15" t="s">
        <v>213</v>
      </c>
      <c r="J195" s="15" t="s">
        <v>213</v>
      </c>
      <c r="K195" s="6"/>
    </row>
    <row r="196" customFormat="false" ht="15" hidden="false" customHeight="true" outlineLevel="0" collapsed="false">
      <c r="A196" s="8" t="s">
        <v>338</v>
      </c>
      <c r="B196" s="9" t="n">
        <v>58.4</v>
      </c>
      <c r="C196" s="9" t="n">
        <v>13.9</v>
      </c>
      <c r="D196" s="17" t="n">
        <v>186</v>
      </c>
      <c r="E196" s="17" t="n">
        <v>0</v>
      </c>
      <c r="F196" s="17" t="n">
        <v>46</v>
      </c>
      <c r="G196" s="17" t="n">
        <v>39</v>
      </c>
      <c r="H196" s="9" t="n">
        <v>5.1</v>
      </c>
      <c r="I196" s="15" t="s">
        <v>213</v>
      </c>
      <c r="J196" s="15" t="s">
        <v>213</v>
      </c>
      <c r="K196" s="8"/>
    </row>
    <row r="197" customFormat="false" ht="15" hidden="false" customHeight="true" outlineLevel="0" collapsed="false">
      <c r="A197" s="6" t="s">
        <v>339</v>
      </c>
      <c r="B197" s="7" t="n">
        <v>58.4</v>
      </c>
      <c r="C197" s="7" t="n">
        <v>13.9</v>
      </c>
      <c r="D197" s="16" t="n">
        <v>186</v>
      </c>
      <c r="E197" s="16" t="n">
        <v>0</v>
      </c>
      <c r="F197" s="16" t="n">
        <v>46</v>
      </c>
      <c r="G197" s="16" t="n">
        <v>39</v>
      </c>
      <c r="H197" s="7" t="n">
        <v>5.1</v>
      </c>
      <c r="I197" s="15" t="s">
        <v>213</v>
      </c>
      <c r="J197" s="15" t="s">
        <v>213</v>
      </c>
      <c r="K197" s="6"/>
    </row>
    <row r="198" customFormat="false" ht="15" hidden="false" customHeight="true" outlineLevel="0" collapsed="false">
      <c r="A198" s="8" t="s">
        <v>340</v>
      </c>
      <c r="B198" s="9" t="n">
        <v>58.4</v>
      </c>
      <c r="C198" s="9" t="n">
        <v>13.9</v>
      </c>
      <c r="D198" s="17" t="n">
        <v>186</v>
      </c>
      <c r="E198" s="17" t="n">
        <v>0</v>
      </c>
      <c r="F198" s="17" t="n">
        <v>46</v>
      </c>
      <c r="G198" s="17" t="n">
        <v>39</v>
      </c>
      <c r="H198" s="9" t="n">
        <v>5.1</v>
      </c>
      <c r="I198" s="15" t="s">
        <v>213</v>
      </c>
      <c r="J198" s="15" t="s">
        <v>213</v>
      </c>
      <c r="K198" s="8"/>
    </row>
    <row r="199" customFormat="false" ht="15" hidden="false" customHeight="true" outlineLevel="0" collapsed="false">
      <c r="A199" s="6" t="s">
        <v>341</v>
      </c>
      <c r="B199" s="7" t="n">
        <v>58.4</v>
      </c>
      <c r="C199" s="7" t="n">
        <v>13.8</v>
      </c>
      <c r="D199" s="16" t="n">
        <v>186</v>
      </c>
      <c r="E199" s="16" t="n">
        <v>0</v>
      </c>
      <c r="F199" s="16" t="n">
        <v>46</v>
      </c>
      <c r="G199" s="16" t="n">
        <v>39</v>
      </c>
      <c r="H199" s="7" t="n">
        <v>5.1</v>
      </c>
      <c r="I199" s="15" t="s">
        <v>213</v>
      </c>
      <c r="J199" s="15" t="s">
        <v>213</v>
      </c>
      <c r="K199" s="6"/>
    </row>
    <row r="200" customFormat="false" ht="15" hidden="false" customHeight="true" outlineLevel="0" collapsed="false">
      <c r="A200" s="8" t="s">
        <v>342</v>
      </c>
      <c r="B200" s="9" t="n">
        <v>58.4</v>
      </c>
      <c r="C200" s="9" t="n">
        <v>13.8</v>
      </c>
      <c r="D200" s="17" t="n">
        <v>186</v>
      </c>
      <c r="E200" s="17" t="n">
        <v>0</v>
      </c>
      <c r="F200" s="17" t="n">
        <v>46</v>
      </c>
      <c r="G200" s="17" t="n">
        <v>39</v>
      </c>
      <c r="H200" s="9" t="n">
        <v>5.1</v>
      </c>
      <c r="I200" s="15" t="s">
        <v>213</v>
      </c>
      <c r="J200" s="15" t="s">
        <v>213</v>
      </c>
      <c r="K200" s="8"/>
    </row>
    <row r="201" customFormat="false" ht="15" hidden="false" customHeight="true" outlineLevel="0" collapsed="false">
      <c r="A201" s="6" t="s">
        <v>343</v>
      </c>
      <c r="B201" s="7" t="n">
        <v>58.4</v>
      </c>
      <c r="C201" s="7" t="n">
        <v>13.8</v>
      </c>
      <c r="D201" s="16" t="n">
        <v>186</v>
      </c>
      <c r="E201" s="16" t="n">
        <v>0</v>
      </c>
      <c r="F201" s="16" t="n">
        <v>46</v>
      </c>
      <c r="G201" s="16" t="n">
        <v>39</v>
      </c>
      <c r="H201" s="7" t="n">
        <v>5.1</v>
      </c>
      <c r="I201" s="15" t="s">
        <v>213</v>
      </c>
      <c r="J201" s="15" t="s">
        <v>213</v>
      </c>
      <c r="K201" s="6"/>
    </row>
    <row r="202" customFormat="false" ht="15" hidden="false" customHeight="true" outlineLevel="0" collapsed="false">
      <c r="A202" s="8" t="s">
        <v>344</v>
      </c>
      <c r="B202" s="9" t="n">
        <v>58.4</v>
      </c>
      <c r="C202" s="9" t="n">
        <v>13.8</v>
      </c>
      <c r="D202" s="17" t="n">
        <v>186</v>
      </c>
      <c r="E202" s="17" t="n">
        <v>0</v>
      </c>
      <c r="F202" s="17" t="n">
        <v>46</v>
      </c>
      <c r="G202" s="17" t="n">
        <v>39</v>
      </c>
      <c r="H202" s="9" t="n">
        <v>5.1</v>
      </c>
      <c r="I202" s="15" t="s">
        <v>213</v>
      </c>
      <c r="J202" s="15" t="s">
        <v>213</v>
      </c>
      <c r="K202" s="8"/>
    </row>
    <row r="203" customFormat="false" ht="15" hidden="false" customHeight="true" outlineLevel="0" collapsed="false">
      <c r="A203" s="6" t="s">
        <v>345</v>
      </c>
      <c r="B203" s="7" t="n">
        <v>58.4</v>
      </c>
      <c r="C203" s="7" t="n">
        <v>13.8</v>
      </c>
      <c r="D203" s="16" t="n">
        <v>186</v>
      </c>
      <c r="E203" s="16" t="n">
        <v>0</v>
      </c>
      <c r="F203" s="16" t="n">
        <v>46</v>
      </c>
      <c r="G203" s="16" t="n">
        <v>39</v>
      </c>
      <c r="H203" s="7" t="n">
        <v>5.1</v>
      </c>
      <c r="I203" s="15" t="s">
        <v>213</v>
      </c>
      <c r="J203" s="15" t="s">
        <v>213</v>
      </c>
      <c r="K203" s="6"/>
    </row>
    <row r="204" customFormat="false" ht="15" hidden="false" customHeight="true" outlineLevel="0" collapsed="false">
      <c r="A204" s="8" t="s">
        <v>346</v>
      </c>
      <c r="B204" s="9" t="n">
        <v>58.4</v>
      </c>
      <c r="C204" s="9" t="n">
        <v>13.8</v>
      </c>
      <c r="D204" s="17" t="n">
        <v>186</v>
      </c>
      <c r="E204" s="17" t="n">
        <v>0</v>
      </c>
      <c r="F204" s="17" t="n">
        <v>46</v>
      </c>
      <c r="G204" s="17" t="n">
        <v>39</v>
      </c>
      <c r="H204" s="9" t="n">
        <v>5.1</v>
      </c>
      <c r="I204" s="15" t="s">
        <v>213</v>
      </c>
      <c r="J204" s="15" t="s">
        <v>213</v>
      </c>
      <c r="K204" s="8"/>
    </row>
    <row r="205" customFormat="false" ht="15" hidden="false" customHeight="true" outlineLevel="0" collapsed="false">
      <c r="A205" s="6" t="s">
        <v>347</v>
      </c>
      <c r="B205" s="7" t="n">
        <v>58.4</v>
      </c>
      <c r="C205" s="7" t="n">
        <v>13.8</v>
      </c>
      <c r="D205" s="16" t="n">
        <v>186</v>
      </c>
      <c r="E205" s="16" t="n">
        <v>0</v>
      </c>
      <c r="F205" s="16" t="n">
        <v>46</v>
      </c>
      <c r="G205" s="16" t="n">
        <v>39</v>
      </c>
      <c r="H205" s="7" t="n">
        <v>5.1</v>
      </c>
      <c r="I205" s="15" t="s">
        <v>213</v>
      </c>
      <c r="J205" s="15" t="s">
        <v>213</v>
      </c>
      <c r="K205" s="6"/>
    </row>
    <row r="206" customFormat="false" ht="15" hidden="false" customHeight="true" outlineLevel="0" collapsed="false">
      <c r="A206" s="8" t="s">
        <v>348</v>
      </c>
      <c r="B206" s="9" t="n">
        <v>58.4</v>
      </c>
      <c r="C206" s="9" t="n">
        <v>13.7</v>
      </c>
      <c r="D206" s="17" t="n">
        <v>186</v>
      </c>
      <c r="E206" s="17" t="n">
        <v>0</v>
      </c>
      <c r="F206" s="17" t="n">
        <v>46</v>
      </c>
      <c r="G206" s="17" t="n">
        <v>39</v>
      </c>
      <c r="H206" s="9" t="n">
        <v>5.1</v>
      </c>
      <c r="I206" s="15" t="s">
        <v>213</v>
      </c>
      <c r="J206" s="15" t="s">
        <v>213</v>
      </c>
      <c r="K206" s="8"/>
    </row>
    <row r="207" customFormat="false" ht="15" hidden="false" customHeight="true" outlineLevel="0" collapsed="false">
      <c r="A207" s="6" t="s">
        <v>349</v>
      </c>
      <c r="B207" s="7" t="n">
        <v>58.4</v>
      </c>
      <c r="C207" s="7" t="n">
        <v>13.7</v>
      </c>
      <c r="D207" s="16" t="n">
        <v>185</v>
      </c>
      <c r="E207" s="16" t="n">
        <v>0</v>
      </c>
      <c r="F207" s="16" t="n">
        <v>46</v>
      </c>
      <c r="G207" s="16" t="n">
        <v>38</v>
      </c>
      <c r="H207" s="7" t="n">
        <v>5.1</v>
      </c>
      <c r="I207" s="15" t="s">
        <v>213</v>
      </c>
      <c r="J207" s="15" t="s">
        <v>213</v>
      </c>
      <c r="K207" s="6"/>
    </row>
    <row r="208" customFormat="false" ht="15" hidden="false" customHeight="true" outlineLevel="0" collapsed="false">
      <c r="A208" s="8" t="s">
        <v>350</v>
      </c>
      <c r="B208" s="9" t="n">
        <v>58.4</v>
      </c>
      <c r="C208" s="9" t="n">
        <v>13.7</v>
      </c>
      <c r="D208" s="17" t="n">
        <v>185</v>
      </c>
      <c r="E208" s="17" t="n">
        <v>0</v>
      </c>
      <c r="F208" s="17" t="n">
        <v>46</v>
      </c>
      <c r="G208" s="17" t="n">
        <v>38</v>
      </c>
      <c r="H208" s="9" t="n">
        <v>5.1</v>
      </c>
      <c r="I208" s="15" t="s">
        <v>213</v>
      </c>
      <c r="J208" s="15" t="s">
        <v>213</v>
      </c>
      <c r="K208" s="8"/>
    </row>
    <row r="209" customFormat="false" ht="15" hidden="false" customHeight="true" outlineLevel="0" collapsed="false">
      <c r="A209" s="6" t="s">
        <v>351</v>
      </c>
      <c r="B209" s="7" t="n">
        <v>58.4</v>
      </c>
      <c r="C209" s="7" t="n">
        <v>13.7</v>
      </c>
      <c r="D209" s="16" t="n">
        <v>185</v>
      </c>
      <c r="E209" s="16" t="n">
        <v>0</v>
      </c>
      <c r="F209" s="16" t="n">
        <v>46</v>
      </c>
      <c r="G209" s="16" t="n">
        <v>38</v>
      </c>
      <c r="H209" s="7" t="n">
        <v>5.1</v>
      </c>
      <c r="I209" s="15" t="s">
        <v>213</v>
      </c>
      <c r="J209" s="15" t="s">
        <v>213</v>
      </c>
      <c r="K209" s="6"/>
    </row>
    <row r="210" customFormat="false" ht="15" hidden="false" customHeight="true" outlineLevel="0" collapsed="false">
      <c r="A210" s="8" t="s">
        <v>352</v>
      </c>
      <c r="B210" s="9" t="n">
        <v>58.4</v>
      </c>
      <c r="C210" s="9" t="n">
        <v>13.7</v>
      </c>
      <c r="D210" s="17" t="n">
        <v>185</v>
      </c>
      <c r="E210" s="17" t="n">
        <v>0</v>
      </c>
      <c r="F210" s="17" t="n">
        <v>46</v>
      </c>
      <c r="G210" s="17" t="n">
        <v>38</v>
      </c>
      <c r="H210" s="9" t="n">
        <v>5.1</v>
      </c>
      <c r="I210" s="15" t="s">
        <v>213</v>
      </c>
      <c r="J210" s="15" t="s">
        <v>213</v>
      </c>
      <c r="K210" s="8"/>
    </row>
    <row r="211" customFormat="false" ht="15" hidden="false" customHeight="true" outlineLevel="0" collapsed="false">
      <c r="A211" s="6" t="s">
        <v>353</v>
      </c>
      <c r="B211" s="7" t="n">
        <v>58.4</v>
      </c>
      <c r="C211" s="7" t="n">
        <v>13.7</v>
      </c>
      <c r="D211" s="16" t="n">
        <v>185</v>
      </c>
      <c r="E211" s="16" t="n">
        <v>0</v>
      </c>
      <c r="F211" s="16" t="n">
        <v>46</v>
      </c>
      <c r="G211" s="16" t="n">
        <v>38</v>
      </c>
      <c r="H211" s="7" t="n">
        <v>5.1</v>
      </c>
      <c r="I211" s="15" t="s">
        <v>213</v>
      </c>
      <c r="J211" s="15" t="s">
        <v>213</v>
      </c>
      <c r="K211" s="6"/>
    </row>
    <row r="212" customFormat="false" ht="15" hidden="false" customHeight="true" outlineLevel="0" collapsed="false">
      <c r="A212" s="8" t="s">
        <v>354</v>
      </c>
      <c r="B212" s="9" t="n">
        <v>58.4</v>
      </c>
      <c r="C212" s="9" t="n">
        <v>13.7</v>
      </c>
      <c r="D212" s="17" t="n">
        <v>185</v>
      </c>
      <c r="E212" s="17" t="n">
        <v>0</v>
      </c>
      <c r="F212" s="17" t="n">
        <v>46</v>
      </c>
      <c r="G212" s="17" t="n">
        <v>38</v>
      </c>
      <c r="H212" s="9" t="n">
        <v>5.1</v>
      </c>
      <c r="I212" s="15" t="s">
        <v>213</v>
      </c>
      <c r="J212" s="15" t="s">
        <v>213</v>
      </c>
      <c r="K212" s="8"/>
    </row>
    <row r="213" customFormat="false" ht="15" hidden="false" customHeight="true" outlineLevel="0" collapsed="false">
      <c r="A213" s="6" t="s">
        <v>355</v>
      </c>
      <c r="B213" s="7" t="n">
        <v>58.4</v>
      </c>
      <c r="C213" s="7" t="n">
        <v>13.7</v>
      </c>
      <c r="D213" s="16" t="n">
        <v>185</v>
      </c>
      <c r="E213" s="16" t="n">
        <v>0</v>
      </c>
      <c r="F213" s="16" t="n">
        <v>46</v>
      </c>
      <c r="G213" s="16" t="n">
        <v>38</v>
      </c>
      <c r="H213" s="7" t="n">
        <v>5.1</v>
      </c>
      <c r="I213" s="15" t="s">
        <v>213</v>
      </c>
      <c r="J213" s="15" t="s">
        <v>213</v>
      </c>
      <c r="K213" s="6"/>
    </row>
    <row r="214" customFormat="false" ht="15" hidden="false" customHeight="true" outlineLevel="0" collapsed="false">
      <c r="A214" s="8" t="s">
        <v>356</v>
      </c>
      <c r="B214" s="9" t="n">
        <v>58.4</v>
      </c>
      <c r="C214" s="9" t="n">
        <v>13.6</v>
      </c>
      <c r="D214" s="17" t="n">
        <v>185</v>
      </c>
      <c r="E214" s="17" t="n">
        <v>0</v>
      </c>
      <c r="F214" s="17" t="n">
        <v>46</v>
      </c>
      <c r="G214" s="17" t="n">
        <v>38</v>
      </c>
      <c r="H214" s="9" t="n">
        <v>5.1</v>
      </c>
      <c r="I214" s="15" t="s">
        <v>213</v>
      </c>
      <c r="J214" s="15" t="s">
        <v>213</v>
      </c>
      <c r="K214" s="8"/>
    </row>
    <row r="215" customFormat="false" ht="15" hidden="false" customHeight="true" outlineLevel="0" collapsed="false">
      <c r="A215" s="6" t="s">
        <v>357</v>
      </c>
      <c r="B215" s="7" t="n">
        <v>58.4</v>
      </c>
      <c r="C215" s="7" t="n">
        <v>13.6</v>
      </c>
      <c r="D215" s="16" t="n">
        <v>185</v>
      </c>
      <c r="E215" s="16" t="n">
        <v>0</v>
      </c>
      <c r="F215" s="16" t="n">
        <v>46</v>
      </c>
      <c r="G215" s="16" t="n">
        <v>38</v>
      </c>
      <c r="H215" s="7" t="n">
        <v>5.1</v>
      </c>
      <c r="I215" s="15" t="s">
        <v>213</v>
      </c>
      <c r="J215" s="15" t="s">
        <v>213</v>
      </c>
      <c r="K215" s="6"/>
    </row>
    <row r="216" customFormat="false" ht="15" hidden="false" customHeight="true" outlineLevel="0" collapsed="false">
      <c r="A216" s="8" t="s">
        <v>358</v>
      </c>
      <c r="B216" s="9" t="n">
        <v>58.4</v>
      </c>
      <c r="C216" s="9" t="n">
        <v>13.6</v>
      </c>
      <c r="D216" s="17" t="n">
        <v>185</v>
      </c>
      <c r="E216" s="17" t="n">
        <v>0</v>
      </c>
      <c r="F216" s="17" t="n">
        <v>46</v>
      </c>
      <c r="G216" s="17" t="n">
        <v>38</v>
      </c>
      <c r="H216" s="9" t="n">
        <v>5.1</v>
      </c>
      <c r="I216" s="15" t="s">
        <v>213</v>
      </c>
      <c r="J216" s="15" t="s">
        <v>213</v>
      </c>
      <c r="K216" s="8"/>
    </row>
    <row r="217" customFormat="false" ht="15" hidden="false" customHeight="true" outlineLevel="0" collapsed="false">
      <c r="A217" s="6" t="s">
        <v>359</v>
      </c>
      <c r="B217" s="7" t="n">
        <v>58.4</v>
      </c>
      <c r="C217" s="7" t="n">
        <v>13.6</v>
      </c>
      <c r="D217" s="16" t="n">
        <v>185</v>
      </c>
      <c r="E217" s="16" t="n">
        <v>0</v>
      </c>
      <c r="F217" s="16" t="n">
        <v>46</v>
      </c>
      <c r="G217" s="16" t="n">
        <v>38</v>
      </c>
      <c r="H217" s="7" t="n">
        <v>5.1</v>
      </c>
      <c r="I217" s="15" t="s">
        <v>213</v>
      </c>
      <c r="J217" s="15" t="s">
        <v>213</v>
      </c>
      <c r="K217" s="6"/>
    </row>
    <row r="218" customFormat="false" ht="15" hidden="false" customHeight="true" outlineLevel="0" collapsed="false">
      <c r="A218" s="8" t="s">
        <v>360</v>
      </c>
      <c r="B218" s="9" t="n">
        <v>58.4</v>
      </c>
      <c r="C218" s="9" t="n">
        <v>13.6</v>
      </c>
      <c r="D218" s="17" t="n">
        <v>185</v>
      </c>
      <c r="E218" s="17" t="n">
        <v>0</v>
      </c>
      <c r="F218" s="17" t="n">
        <v>46</v>
      </c>
      <c r="G218" s="17" t="n">
        <v>38</v>
      </c>
      <c r="H218" s="9" t="n">
        <v>5.1</v>
      </c>
      <c r="I218" s="15" t="s">
        <v>213</v>
      </c>
      <c r="J218" s="15" t="s">
        <v>213</v>
      </c>
      <c r="K218" s="8"/>
    </row>
    <row r="219" customFormat="false" ht="15" hidden="false" customHeight="true" outlineLevel="0" collapsed="false">
      <c r="A219" s="6" t="s">
        <v>361</v>
      </c>
      <c r="B219" s="7" t="n">
        <v>58.4</v>
      </c>
      <c r="C219" s="7" t="n">
        <v>13.6</v>
      </c>
      <c r="D219" s="16" t="n">
        <v>185</v>
      </c>
      <c r="E219" s="16" t="n">
        <v>0</v>
      </c>
      <c r="F219" s="16" t="n">
        <v>46</v>
      </c>
      <c r="G219" s="16" t="n">
        <v>38</v>
      </c>
      <c r="H219" s="7" t="n">
        <v>5.1</v>
      </c>
      <c r="I219" s="15" t="s">
        <v>213</v>
      </c>
      <c r="J219" s="15" t="s">
        <v>213</v>
      </c>
      <c r="K219" s="6"/>
    </row>
    <row r="220" customFormat="false" ht="15" hidden="false" customHeight="true" outlineLevel="0" collapsed="false">
      <c r="A220" s="8" t="s">
        <v>362</v>
      </c>
      <c r="B220" s="9" t="n">
        <v>58.4</v>
      </c>
      <c r="C220" s="9" t="n">
        <v>13.6</v>
      </c>
      <c r="D220" s="17" t="n">
        <v>185</v>
      </c>
      <c r="E220" s="17" t="n">
        <v>0</v>
      </c>
      <c r="F220" s="17" t="n">
        <v>46</v>
      </c>
      <c r="G220" s="17" t="n">
        <v>38</v>
      </c>
      <c r="H220" s="9" t="n">
        <v>5.1</v>
      </c>
      <c r="I220" s="15" t="s">
        <v>213</v>
      </c>
      <c r="J220" s="15" t="s">
        <v>213</v>
      </c>
      <c r="K220" s="8"/>
    </row>
    <row r="221" customFormat="false" ht="15" hidden="false" customHeight="true" outlineLevel="0" collapsed="false">
      <c r="A221" s="6" t="s">
        <v>363</v>
      </c>
      <c r="B221" s="7" t="n">
        <v>58.4</v>
      </c>
      <c r="C221" s="7" t="n">
        <v>13.5</v>
      </c>
      <c r="D221" s="16" t="n">
        <v>185</v>
      </c>
      <c r="E221" s="16" t="n">
        <v>0</v>
      </c>
      <c r="F221" s="16" t="n">
        <v>46</v>
      </c>
      <c r="G221" s="16" t="n">
        <v>38</v>
      </c>
      <c r="H221" s="7" t="n">
        <v>5.1</v>
      </c>
      <c r="I221" s="15" t="s">
        <v>213</v>
      </c>
      <c r="J221" s="15" t="s">
        <v>213</v>
      </c>
      <c r="K221" s="6"/>
    </row>
    <row r="222" customFormat="false" ht="15" hidden="false" customHeight="true" outlineLevel="0" collapsed="false">
      <c r="A222" s="8" t="s">
        <v>364</v>
      </c>
      <c r="B222" s="9" t="n">
        <v>58.4</v>
      </c>
      <c r="C222" s="9" t="n">
        <v>13.5</v>
      </c>
      <c r="D222" s="17" t="n">
        <v>185</v>
      </c>
      <c r="E222" s="17" t="n">
        <v>0</v>
      </c>
      <c r="F222" s="17" t="n">
        <v>46</v>
      </c>
      <c r="G222" s="17" t="n">
        <v>38</v>
      </c>
      <c r="H222" s="9" t="n">
        <v>5.1</v>
      </c>
      <c r="I222" s="15" t="s">
        <v>213</v>
      </c>
      <c r="J222" s="15" t="s">
        <v>213</v>
      </c>
      <c r="K222" s="8"/>
    </row>
    <row r="223" customFormat="false" ht="15" hidden="false" customHeight="true" outlineLevel="0" collapsed="false">
      <c r="A223" s="6" t="s">
        <v>365</v>
      </c>
      <c r="B223" s="7" t="n">
        <v>58.2</v>
      </c>
      <c r="C223" s="7" t="n">
        <v>13.5</v>
      </c>
      <c r="D223" s="16" t="n">
        <v>185</v>
      </c>
      <c r="E223" s="16" t="n">
        <v>0</v>
      </c>
      <c r="F223" s="16" t="n">
        <v>46</v>
      </c>
      <c r="G223" s="16" t="n">
        <v>38</v>
      </c>
      <c r="H223" s="7" t="n">
        <v>5.1</v>
      </c>
      <c r="I223" s="15" t="s">
        <v>213</v>
      </c>
      <c r="J223" s="15" t="s">
        <v>213</v>
      </c>
      <c r="K223" s="6"/>
    </row>
    <row r="224" customFormat="false" ht="15" hidden="false" customHeight="true" outlineLevel="0" collapsed="false">
      <c r="A224" s="8" t="s">
        <v>366</v>
      </c>
      <c r="B224" s="9" t="n">
        <v>58.4</v>
      </c>
      <c r="C224" s="9" t="n">
        <v>13.5</v>
      </c>
      <c r="D224" s="17" t="n">
        <v>185</v>
      </c>
      <c r="E224" s="17" t="n">
        <v>0</v>
      </c>
      <c r="F224" s="17" t="n">
        <v>46</v>
      </c>
      <c r="G224" s="17" t="n">
        <v>38</v>
      </c>
      <c r="H224" s="9" t="n">
        <v>5.1</v>
      </c>
      <c r="I224" s="15" t="s">
        <v>213</v>
      </c>
      <c r="J224" s="15" t="s">
        <v>213</v>
      </c>
      <c r="K224" s="8"/>
    </row>
    <row r="225" customFormat="false" ht="15" hidden="false" customHeight="true" outlineLevel="0" collapsed="false">
      <c r="A225" s="6" t="s">
        <v>367</v>
      </c>
      <c r="B225" s="7" t="n">
        <v>58.4</v>
      </c>
      <c r="C225" s="7" t="n">
        <v>13.5</v>
      </c>
      <c r="D225" s="16" t="n">
        <v>185</v>
      </c>
      <c r="E225" s="16" t="n">
        <v>0</v>
      </c>
      <c r="F225" s="16" t="n">
        <v>46</v>
      </c>
      <c r="G225" s="16" t="n">
        <v>38</v>
      </c>
      <c r="H225" s="7" t="n">
        <v>5.1</v>
      </c>
      <c r="I225" s="15" t="s">
        <v>213</v>
      </c>
      <c r="J225" s="15" t="s">
        <v>213</v>
      </c>
      <c r="K225" s="6"/>
    </row>
    <row r="226" customFormat="false" ht="15" hidden="false" customHeight="true" outlineLevel="0" collapsed="false">
      <c r="A226" s="8" t="s">
        <v>368</v>
      </c>
      <c r="B226" s="9" t="n">
        <v>58.4</v>
      </c>
      <c r="C226" s="9" t="n">
        <v>13.5</v>
      </c>
      <c r="D226" s="17" t="n">
        <v>185</v>
      </c>
      <c r="E226" s="17" t="n">
        <v>0</v>
      </c>
      <c r="F226" s="17" t="n">
        <v>46</v>
      </c>
      <c r="G226" s="17" t="n">
        <v>38</v>
      </c>
      <c r="H226" s="9" t="n">
        <v>5.1</v>
      </c>
      <c r="I226" s="15" t="s">
        <v>213</v>
      </c>
      <c r="J226" s="15" t="s">
        <v>213</v>
      </c>
      <c r="K226" s="8"/>
    </row>
    <row r="227" customFormat="false" ht="15" hidden="false" customHeight="true" outlineLevel="0" collapsed="false">
      <c r="A227" s="6" t="s">
        <v>369</v>
      </c>
      <c r="B227" s="7" t="n">
        <v>58.4</v>
      </c>
      <c r="C227" s="7" t="n">
        <v>13.5</v>
      </c>
      <c r="D227" s="16" t="n">
        <v>185</v>
      </c>
      <c r="E227" s="16" t="n">
        <v>0</v>
      </c>
      <c r="F227" s="16" t="n">
        <v>46</v>
      </c>
      <c r="G227" s="16" t="n">
        <v>38</v>
      </c>
      <c r="H227" s="7" t="n">
        <v>5.1</v>
      </c>
      <c r="I227" s="15" t="s">
        <v>213</v>
      </c>
      <c r="J227" s="15" t="s">
        <v>213</v>
      </c>
      <c r="K227" s="6"/>
    </row>
    <row r="228" customFormat="false" ht="15" hidden="false" customHeight="true" outlineLevel="0" collapsed="false">
      <c r="A228" s="8" t="s">
        <v>370</v>
      </c>
      <c r="B228" s="9" t="n">
        <v>58.4</v>
      </c>
      <c r="C228" s="9" t="n">
        <v>13.5</v>
      </c>
      <c r="D228" s="17" t="n">
        <v>184</v>
      </c>
      <c r="E228" s="17" t="n">
        <v>0</v>
      </c>
      <c r="F228" s="17" t="n">
        <v>45</v>
      </c>
      <c r="G228" s="17" t="n">
        <v>38</v>
      </c>
      <c r="H228" s="9" t="n">
        <v>5.1</v>
      </c>
      <c r="I228" s="15" t="s">
        <v>213</v>
      </c>
      <c r="J228" s="15" t="s">
        <v>213</v>
      </c>
      <c r="K228" s="8"/>
    </row>
    <row r="229" customFormat="false" ht="15" hidden="false" customHeight="true" outlineLevel="0" collapsed="false">
      <c r="A229" s="6" t="s">
        <v>371</v>
      </c>
      <c r="B229" s="7" t="n">
        <v>58.4</v>
      </c>
      <c r="C229" s="7" t="n">
        <v>13.5</v>
      </c>
      <c r="D229" s="16" t="n">
        <v>184</v>
      </c>
      <c r="E229" s="16" t="n">
        <v>0</v>
      </c>
      <c r="F229" s="16" t="n">
        <v>45</v>
      </c>
      <c r="G229" s="16" t="n">
        <v>38</v>
      </c>
      <c r="H229" s="7" t="n">
        <v>5.1</v>
      </c>
      <c r="I229" s="15" t="s">
        <v>213</v>
      </c>
      <c r="J229" s="15" t="s">
        <v>213</v>
      </c>
      <c r="K229" s="6"/>
    </row>
    <row r="230" customFormat="false" ht="15" hidden="false" customHeight="true" outlineLevel="0" collapsed="false">
      <c r="A230" s="8" t="s">
        <v>372</v>
      </c>
      <c r="B230" s="9" t="n">
        <v>58.4</v>
      </c>
      <c r="C230" s="9" t="n">
        <v>13.4</v>
      </c>
      <c r="D230" s="17" t="n">
        <v>184</v>
      </c>
      <c r="E230" s="17" t="n">
        <v>0</v>
      </c>
      <c r="F230" s="17" t="n">
        <v>45</v>
      </c>
      <c r="G230" s="17" t="n">
        <v>38</v>
      </c>
      <c r="H230" s="9" t="n">
        <v>5.1</v>
      </c>
      <c r="I230" s="15" t="s">
        <v>213</v>
      </c>
      <c r="J230" s="15" t="s">
        <v>213</v>
      </c>
      <c r="K230" s="8"/>
    </row>
    <row r="231" customFormat="false" ht="15" hidden="false" customHeight="true" outlineLevel="0" collapsed="false">
      <c r="A231" s="6" t="s">
        <v>373</v>
      </c>
      <c r="B231" s="7" t="n">
        <v>58.4</v>
      </c>
      <c r="C231" s="7" t="n">
        <v>13.4</v>
      </c>
      <c r="D231" s="16" t="n">
        <v>184</v>
      </c>
      <c r="E231" s="16" t="n">
        <v>0</v>
      </c>
      <c r="F231" s="16" t="n">
        <v>45</v>
      </c>
      <c r="G231" s="16" t="n">
        <v>38</v>
      </c>
      <c r="H231" s="7" t="n">
        <v>5.1</v>
      </c>
      <c r="I231" s="15" t="s">
        <v>213</v>
      </c>
      <c r="J231" s="15" t="s">
        <v>213</v>
      </c>
      <c r="K231" s="6"/>
    </row>
    <row r="232" customFormat="false" ht="15" hidden="false" customHeight="true" outlineLevel="0" collapsed="false">
      <c r="A232" s="8" t="s">
        <v>374</v>
      </c>
      <c r="B232" s="9" t="n">
        <v>58.4</v>
      </c>
      <c r="C232" s="9" t="n">
        <v>13.4</v>
      </c>
      <c r="D232" s="17" t="n">
        <v>184</v>
      </c>
      <c r="E232" s="17" t="n">
        <v>0</v>
      </c>
      <c r="F232" s="17" t="n">
        <v>45</v>
      </c>
      <c r="G232" s="17" t="n">
        <v>38</v>
      </c>
      <c r="H232" s="9" t="n">
        <v>5.1</v>
      </c>
      <c r="I232" s="15" t="s">
        <v>213</v>
      </c>
      <c r="J232" s="15" t="s">
        <v>213</v>
      </c>
      <c r="K232" s="8"/>
    </row>
    <row r="233" customFormat="false" ht="15" hidden="false" customHeight="true" outlineLevel="0" collapsed="false">
      <c r="A233" s="6" t="s">
        <v>375</v>
      </c>
      <c r="B233" s="7" t="n">
        <v>58.4</v>
      </c>
      <c r="C233" s="7" t="n">
        <v>13.4</v>
      </c>
      <c r="D233" s="16" t="n">
        <v>184</v>
      </c>
      <c r="E233" s="16" t="n">
        <v>0</v>
      </c>
      <c r="F233" s="16" t="n">
        <v>45</v>
      </c>
      <c r="G233" s="16" t="n">
        <v>38</v>
      </c>
      <c r="H233" s="7" t="n">
        <v>5.1</v>
      </c>
      <c r="I233" s="15" t="s">
        <v>213</v>
      </c>
      <c r="J233" s="15" t="s">
        <v>213</v>
      </c>
      <c r="K233" s="6"/>
    </row>
    <row r="234" customFormat="false" ht="15" hidden="false" customHeight="true" outlineLevel="0" collapsed="false">
      <c r="A234" s="8" t="s">
        <v>376</v>
      </c>
      <c r="B234" s="9" t="n">
        <v>58.2</v>
      </c>
      <c r="C234" s="9" t="n">
        <v>13.4</v>
      </c>
      <c r="D234" s="17" t="n">
        <v>184</v>
      </c>
      <c r="E234" s="17" t="n">
        <v>0</v>
      </c>
      <c r="F234" s="17" t="n">
        <v>45</v>
      </c>
      <c r="G234" s="17" t="n">
        <v>38</v>
      </c>
      <c r="H234" s="9" t="n">
        <v>5.1</v>
      </c>
      <c r="I234" s="15" t="s">
        <v>213</v>
      </c>
      <c r="J234" s="15" t="s">
        <v>213</v>
      </c>
      <c r="K234" s="8"/>
    </row>
    <row r="235" customFormat="false" ht="15" hidden="false" customHeight="true" outlineLevel="0" collapsed="false">
      <c r="A235" s="6" t="s">
        <v>377</v>
      </c>
      <c r="B235" s="7" t="n">
        <v>58.4</v>
      </c>
      <c r="C235" s="7" t="n">
        <v>13.4</v>
      </c>
      <c r="D235" s="16" t="n">
        <v>184</v>
      </c>
      <c r="E235" s="16" t="n">
        <v>0</v>
      </c>
      <c r="F235" s="16" t="n">
        <v>45</v>
      </c>
      <c r="G235" s="16" t="n">
        <v>38</v>
      </c>
      <c r="H235" s="7" t="n">
        <v>5.1</v>
      </c>
      <c r="I235" s="15" t="s">
        <v>213</v>
      </c>
      <c r="J235" s="15" t="s">
        <v>213</v>
      </c>
      <c r="K235" s="6"/>
    </row>
    <row r="236" customFormat="false" ht="15" hidden="false" customHeight="true" outlineLevel="0" collapsed="false">
      <c r="A236" s="8" t="s">
        <v>378</v>
      </c>
      <c r="B236" s="9" t="n">
        <v>58.4</v>
      </c>
      <c r="C236" s="9" t="n">
        <v>13.4</v>
      </c>
      <c r="D236" s="17" t="n">
        <v>184</v>
      </c>
      <c r="E236" s="17" t="n">
        <v>0</v>
      </c>
      <c r="F236" s="17" t="n">
        <v>45</v>
      </c>
      <c r="G236" s="17" t="n">
        <v>38</v>
      </c>
      <c r="H236" s="9" t="n">
        <v>5.1</v>
      </c>
      <c r="I236" s="15" t="s">
        <v>213</v>
      </c>
      <c r="J236" s="15" t="s">
        <v>213</v>
      </c>
      <c r="K236" s="8"/>
    </row>
    <row r="237" customFormat="false" ht="15" hidden="false" customHeight="true" outlineLevel="0" collapsed="false">
      <c r="A237" s="6" t="s">
        <v>379</v>
      </c>
      <c r="B237" s="7" t="n">
        <v>58.4</v>
      </c>
      <c r="C237" s="7" t="n">
        <v>13.4</v>
      </c>
      <c r="D237" s="16" t="n">
        <v>184</v>
      </c>
      <c r="E237" s="16" t="n">
        <v>0</v>
      </c>
      <c r="F237" s="16" t="n">
        <v>45</v>
      </c>
      <c r="G237" s="16" t="n">
        <v>38</v>
      </c>
      <c r="H237" s="7" t="n">
        <v>5.1</v>
      </c>
      <c r="I237" s="15" t="s">
        <v>213</v>
      </c>
      <c r="J237" s="15" t="s">
        <v>213</v>
      </c>
      <c r="K237" s="6"/>
    </row>
    <row r="238" customFormat="false" ht="15" hidden="false" customHeight="true" outlineLevel="0" collapsed="false">
      <c r="A238" s="8" t="s">
        <v>380</v>
      </c>
      <c r="B238" s="9" t="n">
        <v>58.4</v>
      </c>
      <c r="C238" s="9" t="n">
        <v>13.4</v>
      </c>
      <c r="D238" s="17" t="n">
        <v>184</v>
      </c>
      <c r="E238" s="17" t="n">
        <v>0</v>
      </c>
      <c r="F238" s="17" t="n">
        <v>45</v>
      </c>
      <c r="G238" s="17" t="n">
        <v>38</v>
      </c>
      <c r="H238" s="9" t="n">
        <v>5.1</v>
      </c>
      <c r="I238" s="15" t="s">
        <v>213</v>
      </c>
      <c r="J238" s="15" t="s">
        <v>213</v>
      </c>
      <c r="K238" s="8"/>
    </row>
    <row r="239" customFormat="false" ht="15" hidden="false" customHeight="true" outlineLevel="0" collapsed="false">
      <c r="A239" s="6" t="s">
        <v>381</v>
      </c>
      <c r="B239" s="7" t="n">
        <v>58.4</v>
      </c>
      <c r="C239" s="7" t="n">
        <v>13.4</v>
      </c>
      <c r="D239" s="16" t="n">
        <v>184</v>
      </c>
      <c r="E239" s="16" t="n">
        <v>0</v>
      </c>
      <c r="F239" s="16" t="n">
        <v>45</v>
      </c>
      <c r="G239" s="16" t="n">
        <v>38</v>
      </c>
      <c r="H239" s="7" t="n">
        <v>5.1</v>
      </c>
      <c r="I239" s="15" t="s">
        <v>213</v>
      </c>
      <c r="J239" s="15" t="s">
        <v>213</v>
      </c>
      <c r="K239" s="6"/>
    </row>
    <row r="240" customFormat="false" ht="15" hidden="false" customHeight="true" outlineLevel="0" collapsed="false">
      <c r="A240" s="8" t="s">
        <v>382</v>
      </c>
      <c r="B240" s="9" t="n">
        <v>58.4</v>
      </c>
      <c r="C240" s="9" t="n">
        <v>13.4</v>
      </c>
      <c r="D240" s="17" t="n">
        <v>184</v>
      </c>
      <c r="E240" s="17" t="n">
        <v>0</v>
      </c>
      <c r="F240" s="17" t="n">
        <v>45</v>
      </c>
      <c r="G240" s="17" t="n">
        <v>38</v>
      </c>
      <c r="H240" s="9" t="n">
        <v>5.1</v>
      </c>
      <c r="I240" s="15" t="s">
        <v>213</v>
      </c>
      <c r="J240" s="15" t="s">
        <v>213</v>
      </c>
      <c r="K240" s="8"/>
    </row>
    <row r="241" customFormat="false" ht="15" hidden="false" customHeight="true" outlineLevel="0" collapsed="false">
      <c r="A241" s="6" t="s">
        <v>383</v>
      </c>
      <c r="B241" s="7" t="n">
        <v>58.4</v>
      </c>
      <c r="C241" s="7" t="n">
        <v>13.4</v>
      </c>
      <c r="D241" s="16" t="n">
        <v>184</v>
      </c>
      <c r="E241" s="16" t="n">
        <v>0</v>
      </c>
      <c r="F241" s="16" t="n">
        <v>45</v>
      </c>
      <c r="G241" s="16" t="n">
        <v>38</v>
      </c>
      <c r="H241" s="7" t="n">
        <v>5.1</v>
      </c>
      <c r="I241" s="15" t="s">
        <v>213</v>
      </c>
      <c r="J241" s="15" t="s">
        <v>213</v>
      </c>
      <c r="K241" s="6"/>
    </row>
    <row r="242" customFormat="false" ht="15" hidden="false" customHeight="true" outlineLevel="0" collapsed="false">
      <c r="A242" s="8" t="s">
        <v>384</v>
      </c>
      <c r="B242" s="9" t="n">
        <v>58.4</v>
      </c>
      <c r="C242" s="9" t="n">
        <v>13.3</v>
      </c>
      <c r="D242" s="17" t="n">
        <v>184</v>
      </c>
      <c r="E242" s="17" t="n">
        <v>0</v>
      </c>
      <c r="F242" s="17" t="n">
        <v>45</v>
      </c>
      <c r="G242" s="17" t="n">
        <v>38</v>
      </c>
      <c r="H242" s="9" t="n">
        <v>5.1</v>
      </c>
      <c r="I242" s="15" t="s">
        <v>213</v>
      </c>
      <c r="J242" s="15" t="s">
        <v>213</v>
      </c>
      <c r="K242" s="8"/>
    </row>
    <row r="243" customFormat="false" ht="15" hidden="false" customHeight="true" outlineLevel="0" collapsed="false">
      <c r="A243" s="6" t="s">
        <v>385</v>
      </c>
      <c r="B243" s="7" t="n">
        <v>58.4</v>
      </c>
      <c r="C243" s="7" t="n">
        <v>13.3</v>
      </c>
      <c r="D243" s="16" t="n">
        <v>184</v>
      </c>
      <c r="E243" s="16" t="n">
        <v>0</v>
      </c>
      <c r="F243" s="16" t="n">
        <v>45</v>
      </c>
      <c r="G243" s="16" t="n">
        <v>38</v>
      </c>
      <c r="H243" s="7" t="n">
        <v>5.1</v>
      </c>
      <c r="I243" s="15" t="s">
        <v>213</v>
      </c>
      <c r="J243" s="15" t="s">
        <v>213</v>
      </c>
      <c r="K243" s="6"/>
    </row>
    <row r="244" customFormat="false" ht="15" hidden="false" customHeight="true" outlineLevel="0" collapsed="false">
      <c r="A244" s="12" t="s">
        <v>386</v>
      </c>
      <c r="B244" s="13" t="n">
        <v>0</v>
      </c>
      <c r="C244" s="13" t="n">
        <v>13.4</v>
      </c>
      <c r="D244" s="14" t="n">
        <v>0</v>
      </c>
      <c r="E244" s="14" t="n">
        <v>0</v>
      </c>
      <c r="F244" s="14" t="n">
        <v>0</v>
      </c>
      <c r="G244" s="14" t="n">
        <v>0</v>
      </c>
      <c r="H244" s="13" t="n">
        <v>7.4</v>
      </c>
      <c r="I244" s="14" t="s">
        <v>212</v>
      </c>
      <c r="J244" s="15" t="s">
        <v>213</v>
      </c>
      <c r="K244" s="12" t="s">
        <v>214</v>
      </c>
    </row>
    <row r="245" customFormat="false" ht="15" hidden="false" customHeight="true" outlineLevel="0" collapsed="false">
      <c r="A245" s="12" t="s">
        <v>387</v>
      </c>
      <c r="B245" s="13" t="n">
        <v>0</v>
      </c>
      <c r="C245" s="13" t="n">
        <v>12.2</v>
      </c>
      <c r="D245" s="14" t="n">
        <v>0</v>
      </c>
      <c r="E245" s="14" t="n">
        <v>0</v>
      </c>
      <c r="F245" s="14" t="n">
        <v>0</v>
      </c>
      <c r="G245" s="14" t="n">
        <v>0</v>
      </c>
      <c r="H245" s="13" t="n">
        <v>3</v>
      </c>
      <c r="I245" s="14" t="s">
        <v>212</v>
      </c>
      <c r="J245" s="14" t="s">
        <v>212</v>
      </c>
      <c r="K245" s="12" t="s">
        <v>300</v>
      </c>
    </row>
    <row r="246" customFormat="false" ht="15" hidden="false" customHeight="true" outlineLevel="0" collapsed="false">
      <c r="A246" s="12" t="s">
        <v>388</v>
      </c>
      <c r="B246" s="13" t="n">
        <v>0</v>
      </c>
      <c r="C246" s="13" t="n">
        <v>11.6</v>
      </c>
      <c r="D246" s="14" t="n">
        <v>0</v>
      </c>
      <c r="E246" s="14" t="n">
        <v>0</v>
      </c>
      <c r="F246" s="14" t="n">
        <v>0</v>
      </c>
      <c r="G246" s="14" t="n">
        <v>0</v>
      </c>
      <c r="H246" s="13" t="n">
        <v>3</v>
      </c>
      <c r="I246" s="14" t="s">
        <v>212</v>
      </c>
      <c r="J246" s="14" t="s">
        <v>212</v>
      </c>
      <c r="K246" s="12" t="s">
        <v>300</v>
      </c>
    </row>
    <row r="247" customFormat="false" ht="15" hidden="false" customHeight="true" outlineLevel="0" collapsed="false">
      <c r="A247" s="12" t="s">
        <v>389</v>
      </c>
      <c r="B247" s="13" t="n">
        <v>0</v>
      </c>
      <c r="C247" s="13" t="n">
        <v>11.3</v>
      </c>
      <c r="D247" s="14" t="n">
        <v>0</v>
      </c>
      <c r="E247" s="14" t="n">
        <v>0</v>
      </c>
      <c r="F247" s="14" t="n">
        <v>0</v>
      </c>
      <c r="G247" s="14" t="n">
        <v>0</v>
      </c>
      <c r="H247" s="13" t="n">
        <v>3</v>
      </c>
      <c r="I247" s="14" t="s">
        <v>212</v>
      </c>
      <c r="J247" s="14" t="s">
        <v>212</v>
      </c>
      <c r="K247" s="12" t="s">
        <v>300</v>
      </c>
    </row>
    <row r="248" customFormat="false" ht="15" hidden="false" customHeight="true" outlineLevel="0" collapsed="false">
      <c r="A248" s="8" t="s">
        <v>390</v>
      </c>
      <c r="B248" s="9" t="n">
        <v>62.3</v>
      </c>
      <c r="C248" s="9" t="n">
        <v>12.7</v>
      </c>
      <c r="D248" s="17" t="n">
        <v>189</v>
      </c>
      <c r="E248" s="17" t="n">
        <v>1</v>
      </c>
      <c r="F248" s="17" t="n">
        <v>48</v>
      </c>
      <c r="G248" s="17" t="n">
        <v>40</v>
      </c>
      <c r="H248" s="9" t="n">
        <v>5.3</v>
      </c>
      <c r="I248" s="15" t="s">
        <v>213</v>
      </c>
      <c r="J248" s="15" t="s">
        <v>213</v>
      </c>
      <c r="K248" s="8"/>
    </row>
    <row r="249" customFormat="false" ht="15" hidden="false" customHeight="true" outlineLevel="0" collapsed="false">
      <c r="A249" s="6" t="s">
        <v>391</v>
      </c>
      <c r="B249" s="7" t="n">
        <v>62.1</v>
      </c>
      <c r="C249" s="7" t="n">
        <v>13.4</v>
      </c>
      <c r="D249" s="16" t="n">
        <v>188</v>
      </c>
      <c r="E249" s="16" t="n">
        <v>0</v>
      </c>
      <c r="F249" s="16" t="n">
        <v>47</v>
      </c>
      <c r="G249" s="16" t="n">
        <v>40</v>
      </c>
      <c r="H249" s="7" t="n">
        <v>5.1</v>
      </c>
      <c r="I249" s="15" t="s">
        <v>213</v>
      </c>
      <c r="J249" s="15" t="s">
        <v>213</v>
      </c>
      <c r="K249" s="6"/>
    </row>
    <row r="250" customFormat="false" ht="15" hidden="false" customHeight="true" outlineLevel="0" collapsed="false">
      <c r="A250" s="8" t="s">
        <v>392</v>
      </c>
      <c r="B250" s="9" t="n">
        <v>61.9</v>
      </c>
      <c r="C250" s="9" t="n">
        <v>13.6</v>
      </c>
      <c r="D250" s="17" t="n">
        <v>188</v>
      </c>
      <c r="E250" s="17" t="n">
        <v>0</v>
      </c>
      <c r="F250" s="17" t="n">
        <v>47</v>
      </c>
      <c r="G250" s="17" t="n">
        <v>40</v>
      </c>
      <c r="H250" s="9" t="n">
        <v>5.1</v>
      </c>
      <c r="I250" s="15" t="s">
        <v>213</v>
      </c>
      <c r="J250" s="15" t="s">
        <v>213</v>
      </c>
      <c r="K250" s="8"/>
    </row>
    <row r="251" customFormat="false" ht="15" hidden="false" customHeight="true" outlineLevel="0" collapsed="false">
      <c r="A251" s="12" t="s">
        <v>393</v>
      </c>
      <c r="B251" s="13" t="n">
        <v>0</v>
      </c>
      <c r="C251" s="13" t="n">
        <v>13.1</v>
      </c>
      <c r="D251" s="14" t="n">
        <v>0</v>
      </c>
      <c r="E251" s="14" t="n">
        <v>0</v>
      </c>
      <c r="F251" s="14" t="n">
        <v>0</v>
      </c>
      <c r="G251" s="14" t="n">
        <v>0</v>
      </c>
      <c r="H251" s="13" t="n">
        <v>6.7</v>
      </c>
      <c r="I251" s="14" t="s">
        <v>212</v>
      </c>
      <c r="J251" s="15" t="s">
        <v>213</v>
      </c>
      <c r="K251" s="12" t="s">
        <v>214</v>
      </c>
    </row>
    <row r="252" customFormat="false" ht="15" hidden="false" customHeight="true" outlineLevel="0" collapsed="false">
      <c r="A252" s="12" t="s">
        <v>394</v>
      </c>
      <c r="B252" s="13" t="n">
        <v>0</v>
      </c>
      <c r="C252" s="13" t="n">
        <v>12.3</v>
      </c>
      <c r="D252" s="14" t="n">
        <v>0</v>
      </c>
      <c r="E252" s="14" t="n">
        <v>0</v>
      </c>
      <c r="F252" s="14" t="n">
        <v>0</v>
      </c>
      <c r="G252" s="14" t="n">
        <v>0</v>
      </c>
      <c r="H252" s="13" t="n">
        <v>5.5</v>
      </c>
      <c r="I252" s="14" t="s">
        <v>212</v>
      </c>
      <c r="J252" s="15" t="s">
        <v>213</v>
      </c>
      <c r="K252" s="12" t="s">
        <v>214</v>
      </c>
    </row>
    <row r="253" customFormat="false" ht="15" hidden="false" customHeight="true" outlineLevel="0" collapsed="false">
      <c r="A253" s="6" t="s">
        <v>395</v>
      </c>
      <c r="B253" s="7" t="n">
        <v>88.1</v>
      </c>
      <c r="C253" s="7" t="n">
        <v>13.4</v>
      </c>
      <c r="D253" s="16" t="n">
        <v>274</v>
      </c>
      <c r="E253" s="16" t="n">
        <v>18</v>
      </c>
      <c r="F253" s="16" t="n">
        <v>89</v>
      </c>
      <c r="G253" s="16" t="n">
        <v>82</v>
      </c>
      <c r="H253" s="7" t="n">
        <v>5.1</v>
      </c>
      <c r="I253" s="15" t="s">
        <v>213</v>
      </c>
      <c r="J253" s="15" t="s">
        <v>213</v>
      </c>
      <c r="K253" s="6"/>
    </row>
    <row r="254" customFormat="false" ht="15" hidden="false" customHeight="true" outlineLevel="0" collapsed="false">
      <c r="A254" s="8" t="s">
        <v>396</v>
      </c>
      <c r="B254" s="9" t="n">
        <v>87.7</v>
      </c>
      <c r="C254" s="9" t="n">
        <v>13.6</v>
      </c>
      <c r="D254" s="17" t="n">
        <v>273</v>
      </c>
      <c r="E254" s="17" t="n">
        <v>18</v>
      </c>
      <c r="F254" s="17" t="n">
        <v>88</v>
      </c>
      <c r="G254" s="17" t="n">
        <v>81</v>
      </c>
      <c r="H254" s="9" t="n">
        <v>5.2</v>
      </c>
      <c r="I254" s="15" t="s">
        <v>213</v>
      </c>
      <c r="J254" s="15" t="s">
        <v>213</v>
      </c>
      <c r="K254" s="8"/>
    </row>
    <row r="255" customFormat="false" ht="15" hidden="false" customHeight="true" outlineLevel="0" collapsed="false">
      <c r="A255" s="6" t="s">
        <v>397</v>
      </c>
      <c r="B255" s="7" t="n">
        <v>87.7</v>
      </c>
      <c r="C255" s="7" t="n">
        <v>13.7</v>
      </c>
      <c r="D255" s="16" t="n">
        <v>273</v>
      </c>
      <c r="E255" s="16" t="n">
        <v>18</v>
      </c>
      <c r="F255" s="16" t="n">
        <v>88</v>
      </c>
      <c r="G255" s="16" t="n">
        <v>81</v>
      </c>
      <c r="H255" s="7" t="n">
        <v>5.1</v>
      </c>
      <c r="I255" s="15" t="s">
        <v>213</v>
      </c>
      <c r="J255" s="15" t="s">
        <v>213</v>
      </c>
      <c r="K255" s="6"/>
    </row>
    <row r="256" customFormat="false" ht="15" hidden="false" customHeight="true" outlineLevel="0" collapsed="false">
      <c r="A256" s="8" t="s">
        <v>398</v>
      </c>
      <c r="B256" s="9" t="n">
        <v>87.7</v>
      </c>
      <c r="C256" s="9" t="n">
        <v>13.7</v>
      </c>
      <c r="D256" s="17" t="n">
        <v>273</v>
      </c>
      <c r="E256" s="17" t="n">
        <v>18</v>
      </c>
      <c r="F256" s="17" t="n">
        <v>88</v>
      </c>
      <c r="G256" s="17" t="n">
        <v>81</v>
      </c>
      <c r="H256" s="9" t="n">
        <v>5.1</v>
      </c>
      <c r="I256" s="15" t="s">
        <v>213</v>
      </c>
      <c r="J256" s="15" t="s">
        <v>213</v>
      </c>
      <c r="K256" s="8"/>
    </row>
    <row r="257" customFormat="false" ht="15" hidden="false" customHeight="true" outlineLevel="0" collapsed="false">
      <c r="A257" s="6" t="s">
        <v>399</v>
      </c>
      <c r="B257" s="7" t="n">
        <v>87.7</v>
      </c>
      <c r="C257" s="7" t="n">
        <v>13.7</v>
      </c>
      <c r="D257" s="16" t="n">
        <v>272</v>
      </c>
      <c r="E257" s="16" t="n">
        <v>18</v>
      </c>
      <c r="F257" s="16" t="n">
        <v>88</v>
      </c>
      <c r="G257" s="16" t="n">
        <v>81</v>
      </c>
      <c r="H257" s="7" t="n">
        <v>4.8</v>
      </c>
      <c r="I257" s="15" t="s">
        <v>213</v>
      </c>
      <c r="J257" s="15" t="s">
        <v>213</v>
      </c>
      <c r="K257" s="6"/>
    </row>
    <row r="258" customFormat="false" ht="15" hidden="false" customHeight="true" outlineLevel="0" collapsed="false">
      <c r="A258" s="8" t="s">
        <v>400</v>
      </c>
      <c r="B258" s="9" t="n">
        <v>87.7</v>
      </c>
      <c r="C258" s="9" t="n">
        <v>13.8</v>
      </c>
      <c r="D258" s="17" t="n">
        <v>272</v>
      </c>
      <c r="E258" s="17" t="n">
        <v>18</v>
      </c>
      <c r="F258" s="17" t="n">
        <v>88</v>
      </c>
      <c r="G258" s="17" t="n">
        <v>81</v>
      </c>
      <c r="H258" s="9" t="n">
        <v>5</v>
      </c>
      <c r="I258" s="15" t="s">
        <v>213</v>
      </c>
      <c r="J258" s="15" t="s">
        <v>213</v>
      </c>
      <c r="K258" s="8"/>
    </row>
    <row r="259" customFormat="false" ht="15" hidden="false" customHeight="true" outlineLevel="0" collapsed="false">
      <c r="A259" s="6" t="s">
        <v>401</v>
      </c>
      <c r="B259" s="7" t="n">
        <v>87.7</v>
      </c>
      <c r="C259" s="7" t="n">
        <v>13.8</v>
      </c>
      <c r="D259" s="16" t="n">
        <v>272</v>
      </c>
      <c r="E259" s="16" t="n">
        <v>18</v>
      </c>
      <c r="F259" s="16" t="n">
        <v>88</v>
      </c>
      <c r="G259" s="16" t="n">
        <v>81</v>
      </c>
      <c r="H259" s="7" t="n">
        <v>5.1</v>
      </c>
      <c r="I259" s="15" t="s">
        <v>213</v>
      </c>
      <c r="J259" s="15" t="s">
        <v>213</v>
      </c>
      <c r="K259" s="6"/>
    </row>
    <row r="260" customFormat="false" ht="15" hidden="false" customHeight="true" outlineLevel="0" collapsed="false">
      <c r="A260" s="8" t="s">
        <v>402</v>
      </c>
      <c r="B260" s="9" t="n">
        <v>87.6</v>
      </c>
      <c r="C260" s="9" t="n">
        <v>13.8</v>
      </c>
      <c r="D260" s="17" t="n">
        <v>271</v>
      </c>
      <c r="E260" s="17" t="n">
        <v>18</v>
      </c>
      <c r="F260" s="17" t="n">
        <v>87</v>
      </c>
      <c r="G260" s="17" t="n">
        <v>80</v>
      </c>
      <c r="H260" s="9" t="n">
        <v>5.1</v>
      </c>
      <c r="I260" s="15" t="s">
        <v>213</v>
      </c>
      <c r="J260" s="15" t="s">
        <v>213</v>
      </c>
      <c r="K260" s="8"/>
    </row>
    <row r="261" customFormat="false" ht="15" hidden="false" customHeight="true" outlineLevel="0" collapsed="false">
      <c r="A261" s="6" t="s">
        <v>403</v>
      </c>
      <c r="B261" s="7" t="n">
        <v>87.6</v>
      </c>
      <c r="C261" s="7" t="n">
        <v>13.8</v>
      </c>
      <c r="D261" s="16" t="n">
        <v>271</v>
      </c>
      <c r="E261" s="16" t="n">
        <v>18</v>
      </c>
      <c r="F261" s="16" t="n">
        <v>87</v>
      </c>
      <c r="G261" s="16" t="n">
        <v>80</v>
      </c>
      <c r="H261" s="7" t="n">
        <v>5.1</v>
      </c>
      <c r="I261" s="15" t="s">
        <v>213</v>
      </c>
      <c r="J261" s="15" t="s">
        <v>213</v>
      </c>
      <c r="K261" s="6"/>
    </row>
    <row r="262" customFormat="false" ht="15" hidden="false" customHeight="true" outlineLevel="0" collapsed="false">
      <c r="A262" s="8" t="s">
        <v>404</v>
      </c>
      <c r="B262" s="9" t="n">
        <v>87.6</v>
      </c>
      <c r="C262" s="9" t="n">
        <v>13.8</v>
      </c>
      <c r="D262" s="17" t="n">
        <v>271</v>
      </c>
      <c r="E262" s="17" t="n">
        <v>18</v>
      </c>
      <c r="F262" s="17" t="n">
        <v>87</v>
      </c>
      <c r="G262" s="17" t="n">
        <v>80</v>
      </c>
      <c r="H262" s="9" t="n">
        <v>5.1</v>
      </c>
      <c r="I262" s="15" t="s">
        <v>213</v>
      </c>
      <c r="J262" s="15" t="s">
        <v>213</v>
      </c>
      <c r="K262" s="8"/>
    </row>
    <row r="263" customFormat="false" ht="15" hidden="false" customHeight="true" outlineLevel="0" collapsed="false">
      <c r="A263" s="6" t="s">
        <v>405</v>
      </c>
      <c r="B263" s="7" t="n">
        <v>87.6</v>
      </c>
      <c r="C263" s="7" t="n">
        <v>13.8</v>
      </c>
      <c r="D263" s="16" t="n">
        <v>271</v>
      </c>
      <c r="E263" s="16" t="n">
        <v>18</v>
      </c>
      <c r="F263" s="16" t="n">
        <v>87</v>
      </c>
      <c r="G263" s="16" t="n">
        <v>80</v>
      </c>
      <c r="H263" s="7" t="n">
        <v>5.1</v>
      </c>
      <c r="I263" s="15" t="s">
        <v>213</v>
      </c>
      <c r="J263" s="15" t="s">
        <v>213</v>
      </c>
      <c r="K263" s="6"/>
    </row>
    <row r="264" customFormat="false" ht="15" hidden="false" customHeight="true" outlineLevel="0" collapsed="false">
      <c r="A264" s="8" t="s">
        <v>406</v>
      </c>
      <c r="B264" s="9" t="n">
        <v>87.6</v>
      </c>
      <c r="C264" s="9" t="n">
        <v>13.8</v>
      </c>
      <c r="D264" s="17" t="n">
        <v>271</v>
      </c>
      <c r="E264" s="17" t="n">
        <v>18</v>
      </c>
      <c r="F264" s="17" t="n">
        <v>87</v>
      </c>
      <c r="G264" s="17" t="n">
        <v>80</v>
      </c>
      <c r="H264" s="9" t="n">
        <v>5.1</v>
      </c>
      <c r="I264" s="15" t="s">
        <v>213</v>
      </c>
      <c r="J264" s="15" t="s">
        <v>213</v>
      </c>
      <c r="K264" s="8"/>
    </row>
    <row r="265" customFormat="false" ht="15" hidden="false" customHeight="true" outlineLevel="0" collapsed="false">
      <c r="A265" s="6" t="s">
        <v>407</v>
      </c>
      <c r="B265" s="7" t="n">
        <v>87.6</v>
      </c>
      <c r="C265" s="7" t="n">
        <v>13.8</v>
      </c>
      <c r="D265" s="16" t="n">
        <v>271</v>
      </c>
      <c r="E265" s="16" t="n">
        <v>18</v>
      </c>
      <c r="F265" s="16" t="n">
        <v>87</v>
      </c>
      <c r="G265" s="16" t="n">
        <v>80</v>
      </c>
      <c r="H265" s="7" t="n">
        <v>5.1</v>
      </c>
      <c r="I265" s="15" t="s">
        <v>213</v>
      </c>
      <c r="J265" s="15" t="s">
        <v>213</v>
      </c>
      <c r="K265" s="6"/>
    </row>
    <row r="266" customFormat="false" ht="15" hidden="false" customHeight="true" outlineLevel="0" collapsed="false">
      <c r="A266" s="8" t="s">
        <v>408</v>
      </c>
      <c r="B266" s="9" t="n">
        <v>87.4</v>
      </c>
      <c r="C266" s="9" t="n">
        <v>13.8</v>
      </c>
      <c r="D266" s="17" t="n">
        <v>271</v>
      </c>
      <c r="E266" s="17" t="n">
        <v>18</v>
      </c>
      <c r="F266" s="17" t="n">
        <v>87</v>
      </c>
      <c r="G266" s="17" t="n">
        <v>80</v>
      </c>
      <c r="H266" s="9" t="n">
        <v>5.1</v>
      </c>
      <c r="I266" s="15" t="s">
        <v>213</v>
      </c>
      <c r="J266" s="15" t="s">
        <v>213</v>
      </c>
      <c r="K266" s="8"/>
    </row>
    <row r="267" customFormat="false" ht="15" hidden="false" customHeight="true" outlineLevel="0" collapsed="false">
      <c r="A267" s="6" t="s">
        <v>409</v>
      </c>
      <c r="B267" s="7" t="n">
        <v>87.6</v>
      </c>
      <c r="C267" s="7" t="n">
        <v>13.8</v>
      </c>
      <c r="D267" s="16" t="n">
        <v>271</v>
      </c>
      <c r="E267" s="16" t="n">
        <v>18</v>
      </c>
      <c r="F267" s="16" t="n">
        <v>87</v>
      </c>
      <c r="G267" s="16" t="n">
        <v>80</v>
      </c>
      <c r="H267" s="7" t="n">
        <v>5.1</v>
      </c>
      <c r="I267" s="15" t="s">
        <v>213</v>
      </c>
      <c r="J267" s="15" t="s">
        <v>213</v>
      </c>
      <c r="K267" s="6"/>
    </row>
    <row r="268" customFormat="false" ht="15" hidden="false" customHeight="true" outlineLevel="0" collapsed="false">
      <c r="A268" s="8" t="s">
        <v>410</v>
      </c>
      <c r="B268" s="9" t="n">
        <v>87.6</v>
      </c>
      <c r="C268" s="9" t="n">
        <v>13.8</v>
      </c>
      <c r="D268" s="17" t="n">
        <v>270</v>
      </c>
      <c r="E268" s="17" t="n">
        <v>17</v>
      </c>
      <c r="F268" s="17" t="n">
        <v>87</v>
      </c>
      <c r="G268" s="17" t="n">
        <v>80</v>
      </c>
      <c r="H268" s="9" t="n">
        <v>5.1</v>
      </c>
      <c r="I268" s="15" t="s">
        <v>213</v>
      </c>
      <c r="J268" s="15" t="s">
        <v>213</v>
      </c>
      <c r="K268" s="8"/>
    </row>
    <row r="269" customFormat="false" ht="15" hidden="false" customHeight="true" outlineLevel="0" collapsed="false">
      <c r="A269" s="6" t="s">
        <v>411</v>
      </c>
      <c r="B269" s="7" t="n">
        <v>87.6</v>
      </c>
      <c r="C269" s="7" t="n">
        <v>13.8</v>
      </c>
      <c r="D269" s="16" t="n">
        <v>270</v>
      </c>
      <c r="E269" s="16" t="n">
        <v>17</v>
      </c>
      <c r="F269" s="16" t="n">
        <v>87</v>
      </c>
      <c r="G269" s="16" t="n">
        <v>80</v>
      </c>
      <c r="H269" s="7" t="n">
        <v>4</v>
      </c>
      <c r="I269" s="15" t="s">
        <v>213</v>
      </c>
      <c r="J269" s="15" t="s">
        <v>213</v>
      </c>
      <c r="K269" s="6"/>
    </row>
    <row r="270" customFormat="false" ht="15" hidden="false" customHeight="true" outlineLevel="0" collapsed="false">
      <c r="A270" s="8" t="s">
        <v>412</v>
      </c>
      <c r="B270" s="9" t="n">
        <v>87.6</v>
      </c>
      <c r="C270" s="9" t="n">
        <v>13.8</v>
      </c>
      <c r="D270" s="17" t="n">
        <v>270</v>
      </c>
      <c r="E270" s="17" t="n">
        <v>17</v>
      </c>
      <c r="F270" s="17" t="n">
        <v>87</v>
      </c>
      <c r="G270" s="17" t="n">
        <v>80</v>
      </c>
      <c r="H270" s="9" t="n">
        <v>4.2</v>
      </c>
      <c r="I270" s="15" t="s">
        <v>213</v>
      </c>
      <c r="J270" s="15" t="s">
        <v>213</v>
      </c>
      <c r="K270" s="8"/>
    </row>
    <row r="271" customFormat="false" ht="15" hidden="false" customHeight="true" outlineLevel="0" collapsed="false">
      <c r="A271" s="6" t="s">
        <v>413</v>
      </c>
      <c r="B271" s="7" t="n">
        <v>87.6</v>
      </c>
      <c r="C271" s="7" t="n">
        <v>13.7</v>
      </c>
      <c r="D271" s="16" t="n">
        <v>270</v>
      </c>
      <c r="E271" s="16" t="n">
        <v>17</v>
      </c>
      <c r="F271" s="16" t="n">
        <v>87</v>
      </c>
      <c r="G271" s="16" t="n">
        <v>80</v>
      </c>
      <c r="H271" s="7" t="n">
        <v>4.7</v>
      </c>
      <c r="I271" s="15" t="s">
        <v>213</v>
      </c>
      <c r="J271" s="15" t="s">
        <v>213</v>
      </c>
      <c r="K271" s="6"/>
    </row>
    <row r="272" customFormat="false" ht="15" hidden="false" customHeight="true" outlineLevel="0" collapsed="false">
      <c r="A272" s="8" t="s">
        <v>414</v>
      </c>
      <c r="B272" s="9" t="n">
        <v>87.6</v>
      </c>
      <c r="C272" s="9" t="n">
        <v>13.7</v>
      </c>
      <c r="D272" s="17" t="n">
        <v>270</v>
      </c>
      <c r="E272" s="17" t="n">
        <v>17</v>
      </c>
      <c r="F272" s="17" t="n">
        <v>87</v>
      </c>
      <c r="G272" s="17" t="n">
        <v>80</v>
      </c>
      <c r="H272" s="9" t="n">
        <v>4.8</v>
      </c>
      <c r="I272" s="15" t="s">
        <v>213</v>
      </c>
      <c r="J272" s="15" t="s">
        <v>213</v>
      </c>
      <c r="K272" s="8"/>
    </row>
    <row r="273" customFormat="false" ht="15" hidden="false" customHeight="true" outlineLevel="0" collapsed="false">
      <c r="A273" s="6" t="s">
        <v>415</v>
      </c>
      <c r="B273" s="7" t="n">
        <v>87.4</v>
      </c>
      <c r="C273" s="7" t="n">
        <v>13.7</v>
      </c>
      <c r="D273" s="16" t="n">
        <v>270</v>
      </c>
      <c r="E273" s="16" t="n">
        <v>17</v>
      </c>
      <c r="F273" s="16" t="n">
        <v>87</v>
      </c>
      <c r="G273" s="16" t="n">
        <v>80</v>
      </c>
      <c r="H273" s="7" t="n">
        <v>4.4</v>
      </c>
      <c r="I273" s="15" t="s">
        <v>213</v>
      </c>
      <c r="J273" s="15" t="s">
        <v>213</v>
      </c>
      <c r="K273" s="6"/>
    </row>
    <row r="274" customFormat="false" ht="15" hidden="false" customHeight="true" outlineLevel="0" collapsed="false">
      <c r="A274" s="8" t="s">
        <v>416</v>
      </c>
      <c r="B274" s="9" t="n">
        <v>87.6</v>
      </c>
      <c r="C274" s="9" t="n">
        <v>13.7</v>
      </c>
      <c r="D274" s="17" t="n">
        <v>270</v>
      </c>
      <c r="E274" s="17" t="n">
        <v>17</v>
      </c>
      <c r="F274" s="17" t="n">
        <v>87</v>
      </c>
      <c r="G274" s="17" t="n">
        <v>80</v>
      </c>
      <c r="H274" s="9" t="n">
        <v>4.2</v>
      </c>
      <c r="I274" s="15" t="s">
        <v>213</v>
      </c>
      <c r="J274" s="15" t="s">
        <v>213</v>
      </c>
      <c r="K274" s="8"/>
    </row>
    <row r="275" customFormat="false" ht="15" hidden="false" customHeight="true" outlineLevel="0" collapsed="false">
      <c r="A275" s="6" t="s">
        <v>417</v>
      </c>
      <c r="B275" s="7" t="n">
        <v>87.4</v>
      </c>
      <c r="C275" s="7" t="n">
        <v>13.7</v>
      </c>
      <c r="D275" s="16" t="n">
        <v>270</v>
      </c>
      <c r="E275" s="16" t="n">
        <v>17</v>
      </c>
      <c r="F275" s="16" t="n">
        <v>87</v>
      </c>
      <c r="G275" s="16" t="n">
        <v>80</v>
      </c>
      <c r="H275" s="7" t="n">
        <v>4.2</v>
      </c>
      <c r="I275" s="15" t="s">
        <v>213</v>
      </c>
      <c r="J275" s="15" t="s">
        <v>213</v>
      </c>
      <c r="K275" s="6"/>
    </row>
    <row r="276" customFormat="false" ht="15" hidden="false" customHeight="true" outlineLevel="0" collapsed="false">
      <c r="A276" s="8" t="s">
        <v>418</v>
      </c>
      <c r="B276" s="9" t="n">
        <v>87.6</v>
      </c>
      <c r="C276" s="9" t="n">
        <v>13.7</v>
      </c>
      <c r="D276" s="17" t="n">
        <v>270</v>
      </c>
      <c r="E276" s="17" t="n">
        <v>17</v>
      </c>
      <c r="F276" s="17" t="n">
        <v>87</v>
      </c>
      <c r="G276" s="17" t="n">
        <v>80</v>
      </c>
      <c r="H276" s="9" t="n">
        <v>4.3</v>
      </c>
      <c r="I276" s="15" t="s">
        <v>213</v>
      </c>
      <c r="J276" s="15" t="s">
        <v>213</v>
      </c>
      <c r="K276" s="8"/>
    </row>
    <row r="277" customFormat="false" ht="15" hidden="false" customHeight="true" outlineLevel="0" collapsed="false">
      <c r="A277" s="6" t="s">
        <v>419</v>
      </c>
      <c r="B277" s="7" t="n">
        <v>87.6</v>
      </c>
      <c r="C277" s="7" t="n">
        <v>13.7</v>
      </c>
      <c r="D277" s="16" t="n">
        <v>270</v>
      </c>
      <c r="E277" s="16" t="n">
        <v>17</v>
      </c>
      <c r="F277" s="16" t="n">
        <v>87</v>
      </c>
      <c r="G277" s="16" t="n">
        <v>80</v>
      </c>
      <c r="H277" s="7" t="n">
        <v>4.3</v>
      </c>
      <c r="I277" s="15" t="s">
        <v>213</v>
      </c>
      <c r="J277" s="15" t="s">
        <v>213</v>
      </c>
      <c r="K277" s="6"/>
    </row>
    <row r="278" customFormat="false" ht="15" hidden="false" customHeight="true" outlineLevel="0" collapsed="false">
      <c r="A278" s="8" t="s">
        <v>420</v>
      </c>
      <c r="B278" s="9" t="n">
        <v>87.4</v>
      </c>
      <c r="C278" s="9" t="n">
        <v>13.7</v>
      </c>
      <c r="D278" s="17" t="n">
        <v>269</v>
      </c>
      <c r="E278" s="17" t="n">
        <v>17</v>
      </c>
      <c r="F278" s="17" t="n">
        <v>86</v>
      </c>
      <c r="G278" s="17" t="n">
        <v>79</v>
      </c>
      <c r="H278" s="9" t="n">
        <v>4.4</v>
      </c>
      <c r="I278" s="15" t="s">
        <v>213</v>
      </c>
      <c r="J278" s="15" t="s">
        <v>213</v>
      </c>
      <c r="K278" s="8"/>
    </row>
    <row r="279" customFormat="false" ht="15" hidden="false" customHeight="true" outlineLevel="0" collapsed="false">
      <c r="A279" s="6" t="s">
        <v>421</v>
      </c>
      <c r="B279" s="7" t="n">
        <v>87.6</v>
      </c>
      <c r="C279" s="7" t="n">
        <v>13.7</v>
      </c>
      <c r="D279" s="16" t="n">
        <v>269</v>
      </c>
      <c r="E279" s="16" t="n">
        <v>17</v>
      </c>
      <c r="F279" s="16" t="n">
        <v>86</v>
      </c>
      <c r="G279" s="16" t="n">
        <v>79</v>
      </c>
      <c r="H279" s="7" t="n">
        <v>4.8</v>
      </c>
      <c r="I279" s="15" t="s">
        <v>213</v>
      </c>
      <c r="J279" s="15" t="s">
        <v>213</v>
      </c>
      <c r="K279" s="6"/>
    </row>
    <row r="280" customFormat="false" ht="15" hidden="false" customHeight="true" outlineLevel="0" collapsed="false">
      <c r="A280" s="8" t="s">
        <v>422</v>
      </c>
      <c r="B280" s="9" t="n">
        <v>87.6</v>
      </c>
      <c r="C280" s="9" t="n">
        <v>13.7</v>
      </c>
      <c r="D280" s="17" t="n">
        <v>269</v>
      </c>
      <c r="E280" s="17" t="n">
        <v>17</v>
      </c>
      <c r="F280" s="17" t="n">
        <v>86</v>
      </c>
      <c r="G280" s="17" t="n">
        <v>79</v>
      </c>
      <c r="H280" s="9" t="n">
        <v>5</v>
      </c>
      <c r="I280" s="15" t="s">
        <v>213</v>
      </c>
      <c r="J280" s="15" t="s">
        <v>213</v>
      </c>
      <c r="K280" s="8"/>
    </row>
    <row r="281" customFormat="false" ht="15" hidden="false" customHeight="true" outlineLevel="0" collapsed="false">
      <c r="A281" s="6" t="s">
        <v>423</v>
      </c>
      <c r="B281" s="7" t="n">
        <v>87.4</v>
      </c>
      <c r="C281" s="7" t="n">
        <v>13.7</v>
      </c>
      <c r="D281" s="16" t="n">
        <v>269</v>
      </c>
      <c r="E281" s="16" t="n">
        <v>17</v>
      </c>
      <c r="F281" s="16" t="n">
        <v>86</v>
      </c>
      <c r="G281" s="16" t="n">
        <v>79</v>
      </c>
      <c r="H281" s="7" t="n">
        <v>5</v>
      </c>
      <c r="I281" s="15" t="s">
        <v>213</v>
      </c>
      <c r="J281" s="15" t="s">
        <v>213</v>
      </c>
      <c r="K281" s="6"/>
    </row>
    <row r="282" customFormat="false" ht="15" hidden="false" customHeight="true" outlineLevel="0" collapsed="false">
      <c r="A282" s="8" t="s">
        <v>424</v>
      </c>
      <c r="B282" s="9" t="n">
        <v>87.4</v>
      </c>
      <c r="C282" s="9" t="n">
        <v>13.7</v>
      </c>
      <c r="D282" s="17" t="n">
        <v>269</v>
      </c>
      <c r="E282" s="17" t="n">
        <v>17</v>
      </c>
      <c r="F282" s="17" t="n">
        <v>86</v>
      </c>
      <c r="G282" s="17" t="n">
        <v>79</v>
      </c>
      <c r="H282" s="9" t="n">
        <v>4.6</v>
      </c>
      <c r="I282" s="15" t="s">
        <v>213</v>
      </c>
      <c r="J282" s="15" t="s">
        <v>213</v>
      </c>
      <c r="K282" s="8"/>
    </row>
    <row r="283" customFormat="false" ht="15" hidden="false" customHeight="true" outlineLevel="0" collapsed="false">
      <c r="A283" s="6" t="s">
        <v>425</v>
      </c>
      <c r="B283" s="7" t="n">
        <v>87.4</v>
      </c>
      <c r="C283" s="7" t="n">
        <v>13.7</v>
      </c>
      <c r="D283" s="16" t="n">
        <v>269</v>
      </c>
      <c r="E283" s="16" t="n">
        <v>17</v>
      </c>
      <c r="F283" s="16" t="n">
        <v>86</v>
      </c>
      <c r="G283" s="16" t="n">
        <v>79</v>
      </c>
      <c r="H283" s="7" t="n">
        <v>4.5</v>
      </c>
      <c r="I283" s="15" t="s">
        <v>213</v>
      </c>
      <c r="J283" s="15" t="s">
        <v>213</v>
      </c>
      <c r="K283" s="6"/>
    </row>
    <row r="284" customFormat="false" ht="15" hidden="false" customHeight="true" outlineLevel="0" collapsed="false">
      <c r="A284" s="8" t="s">
        <v>426</v>
      </c>
      <c r="B284" s="9" t="n">
        <v>87.6</v>
      </c>
      <c r="C284" s="9" t="n">
        <v>13.7</v>
      </c>
      <c r="D284" s="17" t="n">
        <v>269</v>
      </c>
      <c r="E284" s="17" t="n">
        <v>17</v>
      </c>
      <c r="F284" s="17" t="n">
        <v>86</v>
      </c>
      <c r="G284" s="17" t="n">
        <v>79</v>
      </c>
      <c r="H284" s="9" t="n">
        <v>4.8</v>
      </c>
      <c r="I284" s="15" t="s">
        <v>213</v>
      </c>
      <c r="J284" s="15" t="s">
        <v>213</v>
      </c>
      <c r="K284" s="8"/>
    </row>
    <row r="285" customFormat="false" ht="15" hidden="false" customHeight="true" outlineLevel="0" collapsed="false">
      <c r="A285" s="6" t="s">
        <v>427</v>
      </c>
      <c r="B285" s="7" t="n">
        <v>87.6</v>
      </c>
      <c r="C285" s="7" t="n">
        <v>13.7</v>
      </c>
      <c r="D285" s="16" t="n">
        <v>269</v>
      </c>
      <c r="E285" s="16" t="n">
        <v>17</v>
      </c>
      <c r="F285" s="16" t="n">
        <v>86</v>
      </c>
      <c r="G285" s="16" t="n">
        <v>79</v>
      </c>
      <c r="H285" s="7" t="n">
        <v>4.6</v>
      </c>
      <c r="I285" s="15" t="s">
        <v>213</v>
      </c>
      <c r="J285" s="15" t="s">
        <v>213</v>
      </c>
      <c r="K285" s="6"/>
    </row>
    <row r="286" customFormat="false" ht="15" hidden="false" customHeight="true" outlineLevel="0" collapsed="false">
      <c r="A286" s="8" t="s">
        <v>428</v>
      </c>
      <c r="B286" s="9" t="n">
        <v>87.6</v>
      </c>
      <c r="C286" s="9" t="n">
        <v>13.7</v>
      </c>
      <c r="D286" s="17" t="n">
        <v>269</v>
      </c>
      <c r="E286" s="17" t="n">
        <v>17</v>
      </c>
      <c r="F286" s="17" t="n">
        <v>86</v>
      </c>
      <c r="G286" s="17" t="n">
        <v>79</v>
      </c>
      <c r="H286" s="9" t="n">
        <v>4.7</v>
      </c>
      <c r="I286" s="15" t="s">
        <v>213</v>
      </c>
      <c r="J286" s="15" t="s">
        <v>213</v>
      </c>
      <c r="K286" s="8"/>
    </row>
    <row r="287" customFormat="false" ht="15" hidden="false" customHeight="true" outlineLevel="0" collapsed="false">
      <c r="A287" s="6" t="s">
        <v>429</v>
      </c>
      <c r="B287" s="7" t="n">
        <v>87.4</v>
      </c>
      <c r="C287" s="7" t="n">
        <v>13.6</v>
      </c>
      <c r="D287" s="16" t="n">
        <v>269</v>
      </c>
      <c r="E287" s="16" t="n">
        <v>17</v>
      </c>
      <c r="F287" s="16" t="n">
        <v>86</v>
      </c>
      <c r="G287" s="16" t="n">
        <v>79</v>
      </c>
      <c r="H287" s="7" t="n">
        <v>4.7</v>
      </c>
      <c r="I287" s="15" t="s">
        <v>213</v>
      </c>
      <c r="J287" s="15" t="s">
        <v>213</v>
      </c>
      <c r="K287" s="6"/>
    </row>
    <row r="288" customFormat="false" ht="15" hidden="false" customHeight="true" outlineLevel="0" collapsed="false">
      <c r="A288" s="8" t="s">
        <v>430</v>
      </c>
      <c r="B288" s="9" t="n">
        <v>87.6</v>
      </c>
      <c r="C288" s="9" t="n">
        <v>13.6</v>
      </c>
      <c r="D288" s="17" t="n">
        <v>269</v>
      </c>
      <c r="E288" s="17" t="n">
        <v>17</v>
      </c>
      <c r="F288" s="17" t="n">
        <v>86</v>
      </c>
      <c r="G288" s="17" t="n">
        <v>79</v>
      </c>
      <c r="H288" s="9" t="n">
        <v>4.8</v>
      </c>
      <c r="I288" s="15" t="s">
        <v>213</v>
      </c>
      <c r="J288" s="15" t="s">
        <v>213</v>
      </c>
      <c r="K288" s="8"/>
    </row>
    <row r="289" customFormat="false" ht="15" hidden="false" customHeight="true" outlineLevel="0" collapsed="false">
      <c r="A289" s="6" t="s">
        <v>431</v>
      </c>
      <c r="B289" s="7" t="n">
        <v>87.6</v>
      </c>
      <c r="C289" s="7" t="n">
        <v>13.6</v>
      </c>
      <c r="D289" s="16" t="n">
        <v>269</v>
      </c>
      <c r="E289" s="16" t="n">
        <v>17</v>
      </c>
      <c r="F289" s="16" t="n">
        <v>86</v>
      </c>
      <c r="G289" s="16" t="n">
        <v>79</v>
      </c>
      <c r="H289" s="7" t="n">
        <v>4.9</v>
      </c>
      <c r="I289" s="15" t="s">
        <v>213</v>
      </c>
      <c r="J289" s="15" t="s">
        <v>213</v>
      </c>
      <c r="K289" s="6"/>
    </row>
    <row r="290" customFormat="false" ht="15" hidden="false" customHeight="true" outlineLevel="0" collapsed="false">
      <c r="A290" s="8" t="s">
        <v>432</v>
      </c>
      <c r="B290" s="9" t="n">
        <v>87.4</v>
      </c>
      <c r="C290" s="9" t="n">
        <v>13.6</v>
      </c>
      <c r="D290" s="17" t="n">
        <v>269</v>
      </c>
      <c r="E290" s="17" t="n">
        <v>17</v>
      </c>
      <c r="F290" s="17" t="n">
        <v>86</v>
      </c>
      <c r="G290" s="17" t="n">
        <v>79</v>
      </c>
      <c r="H290" s="9" t="n">
        <v>5</v>
      </c>
      <c r="I290" s="15" t="s">
        <v>213</v>
      </c>
      <c r="J290" s="15" t="s">
        <v>213</v>
      </c>
      <c r="K290" s="8"/>
    </row>
    <row r="291" customFormat="false" ht="15" hidden="false" customHeight="true" outlineLevel="0" collapsed="false">
      <c r="A291" s="6" t="s">
        <v>433</v>
      </c>
      <c r="B291" s="7" t="n">
        <v>87.4</v>
      </c>
      <c r="C291" s="7" t="n">
        <v>13.6</v>
      </c>
      <c r="D291" s="16" t="n">
        <v>269</v>
      </c>
      <c r="E291" s="16" t="n">
        <v>17</v>
      </c>
      <c r="F291" s="16" t="n">
        <v>86</v>
      </c>
      <c r="G291" s="16" t="n">
        <v>79</v>
      </c>
      <c r="H291" s="7" t="n">
        <v>5</v>
      </c>
      <c r="I291" s="15" t="s">
        <v>213</v>
      </c>
      <c r="J291" s="15" t="s">
        <v>213</v>
      </c>
      <c r="K291" s="6"/>
    </row>
    <row r="292" customFormat="false" ht="15" hidden="false" customHeight="true" outlineLevel="0" collapsed="false">
      <c r="A292" s="8" t="s">
        <v>434</v>
      </c>
      <c r="B292" s="9" t="n">
        <v>87.4</v>
      </c>
      <c r="C292" s="9" t="n">
        <v>13.6</v>
      </c>
      <c r="D292" s="17" t="n">
        <v>268</v>
      </c>
      <c r="E292" s="17" t="n">
        <v>17</v>
      </c>
      <c r="F292" s="17" t="n">
        <v>86</v>
      </c>
      <c r="G292" s="17" t="n">
        <v>79</v>
      </c>
      <c r="H292" s="9" t="n">
        <v>5</v>
      </c>
      <c r="I292" s="15" t="s">
        <v>213</v>
      </c>
      <c r="J292" s="15" t="s">
        <v>213</v>
      </c>
      <c r="K292" s="8"/>
    </row>
    <row r="293" customFormat="false" ht="15" hidden="false" customHeight="true" outlineLevel="0" collapsed="false">
      <c r="A293" s="6" t="s">
        <v>435</v>
      </c>
      <c r="B293" s="7" t="n">
        <v>87.4</v>
      </c>
      <c r="C293" s="7" t="n">
        <v>13.6</v>
      </c>
      <c r="D293" s="16" t="n">
        <v>268</v>
      </c>
      <c r="E293" s="16" t="n">
        <v>17</v>
      </c>
      <c r="F293" s="16" t="n">
        <v>86</v>
      </c>
      <c r="G293" s="16" t="n">
        <v>79</v>
      </c>
      <c r="H293" s="7" t="n">
        <v>5</v>
      </c>
      <c r="I293" s="15" t="s">
        <v>213</v>
      </c>
      <c r="J293" s="15" t="s">
        <v>213</v>
      </c>
      <c r="K293" s="6"/>
    </row>
    <row r="294" customFormat="false" ht="15" hidden="false" customHeight="true" outlineLevel="0" collapsed="false">
      <c r="A294" s="8" t="s">
        <v>436</v>
      </c>
      <c r="B294" s="9" t="n">
        <v>87.6</v>
      </c>
      <c r="C294" s="9" t="n">
        <v>13.6</v>
      </c>
      <c r="D294" s="17" t="n">
        <v>268</v>
      </c>
      <c r="E294" s="17" t="n">
        <v>17</v>
      </c>
      <c r="F294" s="17" t="n">
        <v>86</v>
      </c>
      <c r="G294" s="17" t="n">
        <v>79</v>
      </c>
      <c r="H294" s="9" t="n">
        <v>5</v>
      </c>
      <c r="I294" s="15" t="s">
        <v>213</v>
      </c>
      <c r="J294" s="15" t="s">
        <v>213</v>
      </c>
      <c r="K294" s="8"/>
    </row>
    <row r="295" customFormat="false" ht="15" hidden="false" customHeight="true" outlineLevel="0" collapsed="false">
      <c r="A295" s="6" t="s">
        <v>437</v>
      </c>
      <c r="B295" s="7" t="n">
        <v>87.6</v>
      </c>
      <c r="C295" s="7" t="n">
        <v>13.6</v>
      </c>
      <c r="D295" s="16" t="n">
        <v>268</v>
      </c>
      <c r="E295" s="16" t="n">
        <v>17</v>
      </c>
      <c r="F295" s="16" t="n">
        <v>86</v>
      </c>
      <c r="G295" s="16" t="n">
        <v>79</v>
      </c>
      <c r="H295" s="7" t="n">
        <v>5</v>
      </c>
      <c r="I295" s="15" t="s">
        <v>213</v>
      </c>
      <c r="J295" s="15" t="s">
        <v>213</v>
      </c>
      <c r="K295" s="6"/>
    </row>
    <row r="296" customFormat="false" ht="15" hidden="false" customHeight="true" outlineLevel="0" collapsed="false">
      <c r="A296" s="8" t="s">
        <v>438</v>
      </c>
      <c r="B296" s="9" t="n">
        <v>87.6</v>
      </c>
      <c r="C296" s="9" t="n">
        <v>13.6</v>
      </c>
      <c r="D296" s="17" t="n">
        <v>268</v>
      </c>
      <c r="E296" s="17" t="n">
        <v>17</v>
      </c>
      <c r="F296" s="17" t="n">
        <v>86</v>
      </c>
      <c r="G296" s="17" t="n">
        <v>79</v>
      </c>
      <c r="H296" s="9" t="n">
        <v>5</v>
      </c>
      <c r="I296" s="15" t="s">
        <v>213</v>
      </c>
      <c r="J296" s="15" t="s">
        <v>213</v>
      </c>
      <c r="K296" s="8"/>
    </row>
    <row r="297" customFormat="false" ht="15" hidden="false" customHeight="true" outlineLevel="0" collapsed="false">
      <c r="A297" s="6" t="s">
        <v>439</v>
      </c>
      <c r="B297" s="7" t="n">
        <v>87.6</v>
      </c>
      <c r="C297" s="7" t="n">
        <v>13.6</v>
      </c>
      <c r="D297" s="16" t="n">
        <v>268</v>
      </c>
      <c r="E297" s="16" t="n">
        <v>17</v>
      </c>
      <c r="F297" s="16" t="n">
        <v>86</v>
      </c>
      <c r="G297" s="16" t="n">
        <v>79</v>
      </c>
      <c r="H297" s="7" t="n">
        <v>5</v>
      </c>
      <c r="I297" s="15" t="s">
        <v>213</v>
      </c>
      <c r="J297" s="15" t="s">
        <v>213</v>
      </c>
      <c r="K297" s="6"/>
    </row>
    <row r="298" customFormat="false" ht="15" hidden="false" customHeight="true" outlineLevel="0" collapsed="false">
      <c r="A298" s="8" t="s">
        <v>440</v>
      </c>
      <c r="B298" s="9" t="n">
        <v>87.6</v>
      </c>
      <c r="C298" s="9" t="n">
        <v>13.5</v>
      </c>
      <c r="D298" s="17" t="n">
        <v>268</v>
      </c>
      <c r="E298" s="17" t="n">
        <v>17</v>
      </c>
      <c r="F298" s="17" t="n">
        <v>86</v>
      </c>
      <c r="G298" s="17" t="n">
        <v>79</v>
      </c>
      <c r="H298" s="9" t="n">
        <v>5</v>
      </c>
      <c r="I298" s="15" t="s">
        <v>213</v>
      </c>
      <c r="J298" s="15" t="s">
        <v>213</v>
      </c>
      <c r="K298" s="8"/>
    </row>
    <row r="299" customFormat="false" ht="15" hidden="false" customHeight="true" outlineLevel="0" collapsed="false">
      <c r="A299" s="6" t="s">
        <v>441</v>
      </c>
      <c r="B299" s="7" t="n">
        <v>87.4</v>
      </c>
      <c r="C299" s="7" t="n">
        <v>13.5</v>
      </c>
      <c r="D299" s="16" t="n">
        <v>268</v>
      </c>
      <c r="E299" s="16" t="n">
        <v>17</v>
      </c>
      <c r="F299" s="16" t="n">
        <v>86</v>
      </c>
      <c r="G299" s="16" t="n">
        <v>79</v>
      </c>
      <c r="H299" s="7" t="n">
        <v>5</v>
      </c>
      <c r="I299" s="15" t="s">
        <v>213</v>
      </c>
      <c r="J299" s="15" t="s">
        <v>213</v>
      </c>
      <c r="K299" s="6"/>
    </row>
    <row r="300" customFormat="false" ht="15" hidden="false" customHeight="true" outlineLevel="0" collapsed="false">
      <c r="A300" s="8" t="s">
        <v>442</v>
      </c>
      <c r="B300" s="9" t="n">
        <v>87.6</v>
      </c>
      <c r="C300" s="9" t="n">
        <v>13.5</v>
      </c>
      <c r="D300" s="17" t="n">
        <v>268</v>
      </c>
      <c r="E300" s="17" t="n">
        <v>17</v>
      </c>
      <c r="F300" s="17" t="n">
        <v>86</v>
      </c>
      <c r="G300" s="17" t="n">
        <v>79</v>
      </c>
      <c r="H300" s="9" t="n">
        <v>5</v>
      </c>
      <c r="I300" s="15" t="s">
        <v>213</v>
      </c>
      <c r="J300" s="15" t="s">
        <v>213</v>
      </c>
      <c r="K300" s="8"/>
    </row>
    <row r="301" customFormat="false" ht="15" hidden="false" customHeight="true" outlineLevel="0" collapsed="false">
      <c r="A301" s="6" t="s">
        <v>443</v>
      </c>
      <c r="B301" s="7" t="n">
        <v>87.4</v>
      </c>
      <c r="C301" s="7" t="n">
        <v>13.5</v>
      </c>
      <c r="D301" s="16" t="n">
        <v>268</v>
      </c>
      <c r="E301" s="16" t="n">
        <v>17</v>
      </c>
      <c r="F301" s="16" t="n">
        <v>86</v>
      </c>
      <c r="G301" s="16" t="n">
        <v>79</v>
      </c>
      <c r="H301" s="7" t="n">
        <v>5</v>
      </c>
      <c r="I301" s="15" t="s">
        <v>213</v>
      </c>
      <c r="J301" s="15" t="s">
        <v>213</v>
      </c>
      <c r="K301" s="6"/>
    </row>
    <row r="302" customFormat="false" ht="15" hidden="false" customHeight="true" outlineLevel="0" collapsed="false">
      <c r="A302" s="8" t="s">
        <v>444</v>
      </c>
      <c r="B302" s="9" t="n">
        <v>87.6</v>
      </c>
      <c r="C302" s="9" t="n">
        <v>13.5</v>
      </c>
      <c r="D302" s="17" t="n">
        <v>268</v>
      </c>
      <c r="E302" s="17" t="n">
        <v>17</v>
      </c>
      <c r="F302" s="17" t="n">
        <v>86</v>
      </c>
      <c r="G302" s="17" t="n">
        <v>79</v>
      </c>
      <c r="H302" s="9" t="n">
        <v>5</v>
      </c>
      <c r="I302" s="15" t="s">
        <v>213</v>
      </c>
      <c r="J302" s="15" t="s">
        <v>213</v>
      </c>
      <c r="K302" s="8"/>
    </row>
    <row r="303" customFormat="false" ht="15" hidden="false" customHeight="true" outlineLevel="0" collapsed="false">
      <c r="A303" s="6" t="s">
        <v>445</v>
      </c>
      <c r="B303" s="7" t="n">
        <v>87.4</v>
      </c>
      <c r="C303" s="7" t="n">
        <v>13.5</v>
      </c>
      <c r="D303" s="16" t="n">
        <v>268</v>
      </c>
      <c r="E303" s="16" t="n">
        <v>17</v>
      </c>
      <c r="F303" s="16" t="n">
        <v>86</v>
      </c>
      <c r="G303" s="16" t="n">
        <v>79</v>
      </c>
      <c r="H303" s="7" t="n">
        <v>5</v>
      </c>
      <c r="I303" s="15" t="s">
        <v>213</v>
      </c>
      <c r="J303" s="15" t="s">
        <v>213</v>
      </c>
      <c r="K303" s="6"/>
    </row>
    <row r="304" customFormat="false" ht="15" hidden="false" customHeight="true" outlineLevel="0" collapsed="false">
      <c r="A304" s="8" t="s">
        <v>446</v>
      </c>
      <c r="B304" s="9" t="n">
        <v>87.4</v>
      </c>
      <c r="C304" s="9" t="n">
        <v>13.5</v>
      </c>
      <c r="D304" s="17" t="n">
        <v>268</v>
      </c>
      <c r="E304" s="17" t="n">
        <v>17</v>
      </c>
      <c r="F304" s="17" t="n">
        <v>86</v>
      </c>
      <c r="G304" s="17" t="n">
        <v>79</v>
      </c>
      <c r="H304" s="9" t="n">
        <v>5</v>
      </c>
      <c r="I304" s="15" t="s">
        <v>213</v>
      </c>
      <c r="J304" s="15" t="s">
        <v>213</v>
      </c>
      <c r="K304" s="8"/>
    </row>
    <row r="305" customFormat="false" ht="15" hidden="false" customHeight="true" outlineLevel="0" collapsed="false">
      <c r="A305" s="6" t="s">
        <v>447</v>
      </c>
      <c r="B305" s="7" t="n">
        <v>87.6</v>
      </c>
      <c r="C305" s="7" t="n">
        <v>13.5</v>
      </c>
      <c r="D305" s="16" t="n">
        <v>267</v>
      </c>
      <c r="E305" s="16" t="n">
        <v>17</v>
      </c>
      <c r="F305" s="16" t="n">
        <v>86</v>
      </c>
      <c r="G305" s="16" t="n">
        <v>78</v>
      </c>
      <c r="H305" s="7" t="n">
        <v>5</v>
      </c>
      <c r="I305" s="15" t="s">
        <v>213</v>
      </c>
      <c r="J305" s="15" t="s">
        <v>213</v>
      </c>
      <c r="K305" s="6"/>
    </row>
    <row r="306" customFormat="false" ht="15" hidden="false" customHeight="true" outlineLevel="0" collapsed="false">
      <c r="A306" s="8" t="s">
        <v>448</v>
      </c>
      <c r="B306" s="9" t="n">
        <v>87.6</v>
      </c>
      <c r="C306" s="9" t="n">
        <v>13.5</v>
      </c>
      <c r="D306" s="17" t="n">
        <v>268</v>
      </c>
      <c r="E306" s="17" t="n">
        <v>17</v>
      </c>
      <c r="F306" s="17" t="n">
        <v>86</v>
      </c>
      <c r="G306" s="17" t="n">
        <v>79</v>
      </c>
      <c r="H306" s="9" t="n">
        <v>5</v>
      </c>
      <c r="I306" s="15" t="s">
        <v>213</v>
      </c>
      <c r="J306" s="15" t="s">
        <v>213</v>
      </c>
      <c r="K306" s="8"/>
    </row>
    <row r="307" customFormat="false" ht="15" hidden="false" customHeight="true" outlineLevel="0" collapsed="false">
      <c r="A307" s="6" t="s">
        <v>449</v>
      </c>
      <c r="B307" s="7" t="n">
        <v>87.4</v>
      </c>
      <c r="C307" s="7" t="n">
        <v>13.5</v>
      </c>
      <c r="D307" s="16" t="n">
        <v>267</v>
      </c>
      <c r="E307" s="16" t="n">
        <v>17</v>
      </c>
      <c r="F307" s="16" t="n">
        <v>86</v>
      </c>
      <c r="G307" s="16" t="n">
        <v>78</v>
      </c>
      <c r="H307" s="7" t="n">
        <v>5</v>
      </c>
      <c r="I307" s="15" t="s">
        <v>213</v>
      </c>
      <c r="J307" s="15" t="s">
        <v>213</v>
      </c>
      <c r="K307" s="6"/>
    </row>
    <row r="308" customFormat="false" ht="15" hidden="false" customHeight="true" outlineLevel="0" collapsed="false">
      <c r="A308" s="8" t="s">
        <v>450</v>
      </c>
      <c r="B308" s="9" t="n">
        <v>87.4</v>
      </c>
      <c r="C308" s="9" t="n">
        <v>13.5</v>
      </c>
      <c r="D308" s="17" t="n">
        <v>268</v>
      </c>
      <c r="E308" s="17" t="n">
        <v>17</v>
      </c>
      <c r="F308" s="17" t="n">
        <v>86</v>
      </c>
      <c r="G308" s="17" t="n">
        <v>79</v>
      </c>
      <c r="H308" s="9" t="n">
        <v>5</v>
      </c>
      <c r="I308" s="15" t="s">
        <v>213</v>
      </c>
      <c r="J308" s="15" t="s">
        <v>213</v>
      </c>
      <c r="K308" s="8"/>
    </row>
    <row r="309" customFormat="false" ht="15" hidden="false" customHeight="true" outlineLevel="0" collapsed="false">
      <c r="A309" s="12" t="s">
        <v>451</v>
      </c>
      <c r="B309" s="13" t="n">
        <v>2.1</v>
      </c>
      <c r="C309" s="13" t="n">
        <v>13.1</v>
      </c>
      <c r="D309" s="14" t="n">
        <v>0</v>
      </c>
      <c r="E309" s="14" t="n">
        <v>0</v>
      </c>
      <c r="F309" s="14" t="n">
        <v>0</v>
      </c>
      <c r="G309" s="14" t="n">
        <v>0</v>
      </c>
      <c r="H309" s="13" t="n">
        <v>5</v>
      </c>
      <c r="I309" s="14" t="s">
        <v>212</v>
      </c>
      <c r="J309" s="15" t="s">
        <v>213</v>
      </c>
      <c r="K309" s="12" t="s">
        <v>214</v>
      </c>
    </row>
    <row r="310" customFormat="false" ht="15" hidden="false" customHeight="true" outlineLevel="0" collapsed="false">
      <c r="A310" s="12" t="s">
        <v>452</v>
      </c>
      <c r="B310" s="13" t="n">
        <v>2.1</v>
      </c>
      <c r="C310" s="13" t="n">
        <v>12</v>
      </c>
      <c r="D310" s="14" t="n">
        <v>0</v>
      </c>
      <c r="E310" s="14" t="n">
        <v>0</v>
      </c>
      <c r="F310" s="14" t="n">
        <v>0</v>
      </c>
      <c r="G310" s="14" t="n">
        <v>0</v>
      </c>
      <c r="H310" s="13" t="n">
        <v>4.8</v>
      </c>
      <c r="I310" s="14" t="s">
        <v>212</v>
      </c>
      <c r="J310" s="15" t="s">
        <v>213</v>
      </c>
      <c r="K310" s="12" t="s">
        <v>214</v>
      </c>
    </row>
    <row r="311" customFormat="false" ht="15" hidden="false" customHeight="true" outlineLevel="0" collapsed="false">
      <c r="A311" s="12" t="s">
        <v>453</v>
      </c>
      <c r="B311" s="13" t="n">
        <v>2.1</v>
      </c>
      <c r="C311" s="13" t="n">
        <v>11.6</v>
      </c>
      <c r="D311" s="14" t="n">
        <v>0</v>
      </c>
      <c r="E311" s="14" t="n">
        <v>0</v>
      </c>
      <c r="F311" s="14" t="n">
        <v>0</v>
      </c>
      <c r="G311" s="14" t="n">
        <v>0</v>
      </c>
      <c r="H311" s="13" t="n">
        <v>4.6</v>
      </c>
      <c r="I311" s="14" t="s">
        <v>212</v>
      </c>
      <c r="J311" s="15" t="s">
        <v>213</v>
      </c>
      <c r="K311" s="12" t="s">
        <v>214</v>
      </c>
    </row>
    <row r="312" customFormat="false" ht="15" hidden="false" customHeight="true" outlineLevel="0" collapsed="false">
      <c r="A312" s="12" t="s">
        <v>454</v>
      </c>
      <c r="B312" s="13" t="n">
        <v>2.1</v>
      </c>
      <c r="C312" s="13" t="n">
        <v>11.3</v>
      </c>
      <c r="D312" s="14" t="n">
        <v>0</v>
      </c>
      <c r="E312" s="14" t="n">
        <v>0</v>
      </c>
      <c r="F312" s="14" t="n">
        <v>0</v>
      </c>
      <c r="G312" s="14" t="n">
        <v>0</v>
      </c>
      <c r="H312" s="13" t="n">
        <v>4.5</v>
      </c>
      <c r="I312" s="14" t="s">
        <v>212</v>
      </c>
      <c r="J312" s="15" t="s">
        <v>213</v>
      </c>
      <c r="K312" s="12" t="s">
        <v>214</v>
      </c>
    </row>
    <row r="313" customFormat="false" ht="15" hidden="false" customHeight="true" outlineLevel="0" collapsed="false">
      <c r="A313" s="12" t="s">
        <v>455</v>
      </c>
      <c r="B313" s="13" t="n">
        <v>2.1</v>
      </c>
      <c r="C313" s="13" t="n">
        <v>11.1</v>
      </c>
      <c r="D313" s="14" t="n">
        <v>0</v>
      </c>
      <c r="E313" s="14" t="n">
        <v>0</v>
      </c>
      <c r="F313" s="14" t="n">
        <v>0</v>
      </c>
      <c r="G313" s="14" t="n">
        <v>0</v>
      </c>
      <c r="H313" s="13" t="n">
        <v>4.3</v>
      </c>
      <c r="I313" s="14" t="s">
        <v>212</v>
      </c>
      <c r="J313" s="15" t="s">
        <v>213</v>
      </c>
      <c r="K313" s="12" t="s">
        <v>214</v>
      </c>
    </row>
    <row r="314" customFormat="false" ht="15" hidden="false" customHeight="true" outlineLevel="0" collapsed="false">
      <c r="A314" s="12" t="s">
        <v>456</v>
      </c>
      <c r="B314" s="13" t="n">
        <v>2.1</v>
      </c>
      <c r="C314" s="13" t="n">
        <v>11</v>
      </c>
      <c r="D314" s="14" t="n">
        <v>0</v>
      </c>
      <c r="E314" s="14" t="n">
        <v>0</v>
      </c>
      <c r="F314" s="14" t="n">
        <v>0</v>
      </c>
      <c r="G314" s="14" t="n">
        <v>0</v>
      </c>
      <c r="H314" s="13" t="n">
        <v>4.2</v>
      </c>
      <c r="I314" s="14" t="s">
        <v>212</v>
      </c>
      <c r="J314" s="15" t="s">
        <v>213</v>
      </c>
      <c r="K314" s="12" t="s">
        <v>214</v>
      </c>
    </row>
    <row r="315" customFormat="false" ht="15" hidden="false" customHeight="true" outlineLevel="0" collapsed="false">
      <c r="A315" s="6" t="s">
        <v>457</v>
      </c>
      <c r="B315" s="7" t="n">
        <v>100</v>
      </c>
      <c r="C315" s="7" t="n">
        <v>13</v>
      </c>
      <c r="D315" s="16" t="n">
        <v>413</v>
      </c>
      <c r="E315" s="16" t="n">
        <v>47</v>
      </c>
      <c r="F315" s="16" t="n">
        <v>156</v>
      </c>
      <c r="G315" s="16" t="n">
        <v>149</v>
      </c>
      <c r="H315" s="7" t="n">
        <v>5.2</v>
      </c>
      <c r="I315" s="15" t="s">
        <v>213</v>
      </c>
      <c r="J315" s="15" t="s">
        <v>213</v>
      </c>
      <c r="K315" s="6"/>
    </row>
    <row r="316" customFormat="false" ht="15" hidden="false" customHeight="true" outlineLevel="0" collapsed="false">
      <c r="A316" s="8" t="s">
        <v>458</v>
      </c>
      <c r="B316" s="9" t="n">
        <v>100</v>
      </c>
      <c r="C316" s="9" t="n">
        <v>13.3</v>
      </c>
      <c r="D316" s="17" t="n">
        <v>413</v>
      </c>
      <c r="E316" s="17" t="n">
        <v>47</v>
      </c>
      <c r="F316" s="17" t="n">
        <v>156</v>
      </c>
      <c r="G316" s="17" t="n">
        <v>149</v>
      </c>
      <c r="H316" s="9" t="n">
        <v>5.1</v>
      </c>
      <c r="I316" s="15" t="s">
        <v>213</v>
      </c>
      <c r="J316" s="15" t="s">
        <v>213</v>
      </c>
      <c r="K316" s="8"/>
    </row>
    <row r="317" customFormat="false" ht="15" hidden="false" customHeight="true" outlineLevel="0" collapsed="false">
      <c r="A317" s="6" t="s">
        <v>459</v>
      </c>
      <c r="B317" s="7" t="n">
        <v>100</v>
      </c>
      <c r="C317" s="7" t="n">
        <v>13.3</v>
      </c>
      <c r="D317" s="16" t="n">
        <v>414</v>
      </c>
      <c r="E317" s="16" t="n">
        <v>47</v>
      </c>
      <c r="F317" s="16" t="n">
        <v>156</v>
      </c>
      <c r="G317" s="16" t="n">
        <v>150</v>
      </c>
      <c r="H317" s="7" t="n">
        <v>5</v>
      </c>
      <c r="I317" s="15" t="s">
        <v>213</v>
      </c>
      <c r="J317" s="15" t="s">
        <v>213</v>
      </c>
      <c r="K317" s="6"/>
    </row>
    <row r="318" customFormat="false" ht="15" hidden="false" customHeight="true" outlineLevel="0" collapsed="false">
      <c r="A318" s="8" t="s">
        <v>460</v>
      </c>
      <c r="B318" s="9" t="n">
        <v>100</v>
      </c>
      <c r="C318" s="9" t="n">
        <v>13.3</v>
      </c>
      <c r="D318" s="17" t="n">
        <v>414</v>
      </c>
      <c r="E318" s="17" t="n">
        <v>47</v>
      </c>
      <c r="F318" s="17" t="n">
        <v>156</v>
      </c>
      <c r="G318" s="17" t="n">
        <v>150</v>
      </c>
      <c r="H318" s="9" t="n">
        <v>5</v>
      </c>
      <c r="I318" s="15" t="s">
        <v>213</v>
      </c>
      <c r="J318" s="15" t="s">
        <v>213</v>
      </c>
      <c r="K318" s="8"/>
    </row>
    <row r="319" customFormat="false" ht="15" hidden="false" customHeight="true" outlineLevel="0" collapsed="false">
      <c r="A319" s="6" t="s">
        <v>461</v>
      </c>
      <c r="B319" s="7" t="n">
        <v>100</v>
      </c>
      <c r="C319" s="7" t="n">
        <v>13.4</v>
      </c>
      <c r="D319" s="16" t="n">
        <v>414</v>
      </c>
      <c r="E319" s="16" t="n">
        <v>47</v>
      </c>
      <c r="F319" s="16" t="n">
        <v>156</v>
      </c>
      <c r="G319" s="16" t="n">
        <v>150</v>
      </c>
      <c r="H319" s="7" t="n">
        <v>5</v>
      </c>
      <c r="I319" s="15" t="s">
        <v>213</v>
      </c>
      <c r="J319" s="15" t="s">
        <v>213</v>
      </c>
      <c r="K319" s="6"/>
    </row>
    <row r="320" customFormat="false" ht="15" hidden="false" customHeight="true" outlineLevel="0" collapsed="false">
      <c r="A320" s="8" t="s">
        <v>462</v>
      </c>
      <c r="B320" s="9" t="n">
        <v>100</v>
      </c>
      <c r="C320" s="9" t="n">
        <v>13.4</v>
      </c>
      <c r="D320" s="17" t="n">
        <v>415</v>
      </c>
      <c r="E320" s="17" t="n">
        <v>48</v>
      </c>
      <c r="F320" s="17" t="n">
        <v>157</v>
      </c>
      <c r="G320" s="17" t="n">
        <v>150</v>
      </c>
      <c r="H320" s="9" t="n">
        <v>5</v>
      </c>
      <c r="I320" s="15" t="s">
        <v>213</v>
      </c>
      <c r="J320" s="15" t="s">
        <v>213</v>
      </c>
      <c r="K320" s="8"/>
    </row>
    <row r="321" customFormat="false" ht="15" hidden="false" customHeight="true" outlineLevel="0" collapsed="false">
      <c r="A321" s="6" t="s">
        <v>463</v>
      </c>
      <c r="B321" s="7" t="n">
        <v>100</v>
      </c>
      <c r="C321" s="7" t="n">
        <v>13.4</v>
      </c>
      <c r="D321" s="16" t="n">
        <v>415</v>
      </c>
      <c r="E321" s="16" t="n">
        <v>48</v>
      </c>
      <c r="F321" s="16" t="n">
        <v>157</v>
      </c>
      <c r="G321" s="16" t="n">
        <v>150</v>
      </c>
      <c r="H321" s="7" t="n">
        <v>5</v>
      </c>
      <c r="I321" s="15" t="s">
        <v>213</v>
      </c>
      <c r="J321" s="15" t="s">
        <v>213</v>
      </c>
      <c r="K321" s="6"/>
    </row>
    <row r="322" customFormat="false" ht="15" hidden="false" customHeight="true" outlineLevel="0" collapsed="false">
      <c r="A322" s="8" t="s">
        <v>464</v>
      </c>
      <c r="B322" s="9" t="n">
        <v>100</v>
      </c>
      <c r="C322" s="9" t="n">
        <v>13.4</v>
      </c>
      <c r="D322" s="17" t="n">
        <v>415</v>
      </c>
      <c r="E322" s="17" t="n">
        <v>48</v>
      </c>
      <c r="F322" s="17" t="n">
        <v>157</v>
      </c>
      <c r="G322" s="17" t="n">
        <v>150</v>
      </c>
      <c r="H322" s="9" t="n">
        <v>5</v>
      </c>
      <c r="I322" s="15" t="s">
        <v>213</v>
      </c>
      <c r="J322" s="15" t="s">
        <v>213</v>
      </c>
      <c r="K322" s="8"/>
    </row>
    <row r="323" customFormat="false" ht="15" hidden="false" customHeight="true" outlineLevel="0" collapsed="false">
      <c r="A323" s="6" t="s">
        <v>465</v>
      </c>
      <c r="B323" s="7" t="n">
        <v>100</v>
      </c>
      <c r="C323" s="7" t="n">
        <v>13.4</v>
      </c>
      <c r="D323" s="16" t="n">
        <v>414</v>
      </c>
      <c r="E323" s="16" t="n">
        <v>47</v>
      </c>
      <c r="F323" s="16" t="n">
        <v>156</v>
      </c>
      <c r="G323" s="16" t="n">
        <v>150</v>
      </c>
      <c r="H323" s="7" t="n">
        <v>5</v>
      </c>
      <c r="I323" s="15" t="s">
        <v>213</v>
      </c>
      <c r="J323" s="15" t="s">
        <v>213</v>
      </c>
      <c r="K323" s="6"/>
    </row>
    <row r="324" customFormat="false" ht="15" hidden="false" customHeight="true" outlineLevel="0" collapsed="false">
      <c r="A324" s="8" t="s">
        <v>466</v>
      </c>
      <c r="B324" s="9" t="n">
        <v>100</v>
      </c>
      <c r="C324" s="9" t="n">
        <v>13.4</v>
      </c>
      <c r="D324" s="17" t="n">
        <v>415</v>
      </c>
      <c r="E324" s="17" t="n">
        <v>48</v>
      </c>
      <c r="F324" s="17" t="n">
        <v>157</v>
      </c>
      <c r="G324" s="17" t="n">
        <v>150</v>
      </c>
      <c r="H324" s="9" t="n">
        <v>5</v>
      </c>
      <c r="I324" s="15" t="s">
        <v>213</v>
      </c>
      <c r="J324" s="15" t="s">
        <v>213</v>
      </c>
      <c r="K324" s="8"/>
    </row>
    <row r="325" customFormat="false" ht="15" hidden="false" customHeight="true" outlineLevel="0" collapsed="false">
      <c r="A325" s="6" t="s">
        <v>467</v>
      </c>
      <c r="B325" s="7" t="n">
        <v>100</v>
      </c>
      <c r="C325" s="7" t="n">
        <v>13.4</v>
      </c>
      <c r="D325" s="16" t="n">
        <v>415</v>
      </c>
      <c r="E325" s="16" t="n">
        <v>48</v>
      </c>
      <c r="F325" s="16" t="n">
        <v>157</v>
      </c>
      <c r="G325" s="16" t="n">
        <v>150</v>
      </c>
      <c r="H325" s="7" t="n">
        <v>5</v>
      </c>
      <c r="I325" s="15" t="s">
        <v>213</v>
      </c>
      <c r="J325" s="15" t="s">
        <v>213</v>
      </c>
      <c r="K325" s="6"/>
    </row>
    <row r="326" customFormat="false" ht="15" hidden="false" customHeight="true" outlineLevel="0" collapsed="false">
      <c r="A326" s="8" t="s">
        <v>468</v>
      </c>
      <c r="B326" s="9" t="n">
        <v>100</v>
      </c>
      <c r="C326" s="9" t="n">
        <v>13.4</v>
      </c>
      <c r="D326" s="17" t="n">
        <v>415</v>
      </c>
      <c r="E326" s="17" t="n">
        <v>48</v>
      </c>
      <c r="F326" s="17" t="n">
        <v>157</v>
      </c>
      <c r="G326" s="17" t="n">
        <v>150</v>
      </c>
      <c r="H326" s="9" t="n">
        <v>5</v>
      </c>
      <c r="I326" s="15" t="s">
        <v>213</v>
      </c>
      <c r="J326" s="15" t="s">
        <v>213</v>
      </c>
      <c r="K326" s="8"/>
    </row>
    <row r="327" customFormat="false" ht="15" hidden="false" customHeight="true" outlineLevel="0" collapsed="false">
      <c r="A327" s="6" t="s">
        <v>469</v>
      </c>
      <c r="B327" s="7" t="n">
        <v>100</v>
      </c>
      <c r="C327" s="7" t="n">
        <v>13.4</v>
      </c>
      <c r="D327" s="16" t="n">
        <v>415</v>
      </c>
      <c r="E327" s="16" t="n">
        <v>48</v>
      </c>
      <c r="F327" s="16" t="n">
        <v>157</v>
      </c>
      <c r="G327" s="16" t="n">
        <v>150</v>
      </c>
      <c r="H327" s="7" t="n">
        <v>5</v>
      </c>
      <c r="I327" s="15" t="s">
        <v>213</v>
      </c>
      <c r="J327" s="15" t="s">
        <v>213</v>
      </c>
      <c r="K327" s="6"/>
    </row>
    <row r="328" customFormat="false" ht="15" hidden="false" customHeight="true" outlineLevel="0" collapsed="false">
      <c r="A328" s="8" t="s">
        <v>470</v>
      </c>
      <c r="B328" s="9" t="n">
        <v>100</v>
      </c>
      <c r="C328" s="9" t="n">
        <v>13.4</v>
      </c>
      <c r="D328" s="17" t="n">
        <v>415</v>
      </c>
      <c r="E328" s="17" t="n">
        <v>48</v>
      </c>
      <c r="F328" s="17" t="n">
        <v>157</v>
      </c>
      <c r="G328" s="17" t="n">
        <v>150</v>
      </c>
      <c r="H328" s="9" t="n">
        <v>5</v>
      </c>
      <c r="I328" s="15" t="s">
        <v>213</v>
      </c>
      <c r="J328" s="15" t="s">
        <v>213</v>
      </c>
      <c r="K328" s="8"/>
    </row>
    <row r="329" customFormat="false" ht="15" hidden="false" customHeight="true" outlineLevel="0" collapsed="false">
      <c r="A329" s="6" t="s">
        <v>471</v>
      </c>
      <c r="B329" s="7" t="n">
        <v>100</v>
      </c>
      <c r="C329" s="7" t="n">
        <v>13.4</v>
      </c>
      <c r="D329" s="16" t="n">
        <v>415</v>
      </c>
      <c r="E329" s="16" t="n">
        <v>48</v>
      </c>
      <c r="F329" s="16" t="n">
        <v>157</v>
      </c>
      <c r="G329" s="16" t="n">
        <v>150</v>
      </c>
      <c r="H329" s="7" t="n">
        <v>5</v>
      </c>
      <c r="I329" s="15" t="s">
        <v>213</v>
      </c>
      <c r="J329" s="15" t="s">
        <v>213</v>
      </c>
      <c r="K329" s="6"/>
    </row>
    <row r="330" customFormat="false" ht="15" hidden="false" customHeight="true" outlineLevel="0" collapsed="false">
      <c r="A330" s="8" t="s">
        <v>472</v>
      </c>
      <c r="B330" s="9" t="n">
        <v>100</v>
      </c>
      <c r="C330" s="9" t="n">
        <v>13.4</v>
      </c>
      <c r="D330" s="17" t="n">
        <v>415</v>
      </c>
      <c r="E330" s="17" t="n">
        <v>48</v>
      </c>
      <c r="F330" s="17" t="n">
        <v>157</v>
      </c>
      <c r="G330" s="17" t="n">
        <v>150</v>
      </c>
      <c r="H330" s="9" t="n">
        <v>5</v>
      </c>
      <c r="I330" s="15" t="s">
        <v>213</v>
      </c>
      <c r="J330" s="15" t="s">
        <v>213</v>
      </c>
      <c r="K330" s="8"/>
    </row>
    <row r="331" customFormat="false" ht="15" hidden="false" customHeight="true" outlineLevel="0" collapsed="false">
      <c r="A331" s="6" t="s">
        <v>473</v>
      </c>
      <c r="B331" s="7" t="n">
        <v>100</v>
      </c>
      <c r="C331" s="7" t="n">
        <v>13.4</v>
      </c>
      <c r="D331" s="16" t="n">
        <v>415</v>
      </c>
      <c r="E331" s="16" t="n">
        <v>48</v>
      </c>
      <c r="F331" s="16" t="n">
        <v>157</v>
      </c>
      <c r="G331" s="16" t="n">
        <v>150</v>
      </c>
      <c r="H331" s="7" t="n">
        <v>5</v>
      </c>
      <c r="I331" s="15" t="s">
        <v>213</v>
      </c>
      <c r="J331" s="15" t="s">
        <v>213</v>
      </c>
      <c r="K331" s="6"/>
    </row>
    <row r="332" customFormat="false" ht="15" hidden="false" customHeight="true" outlineLevel="0" collapsed="false">
      <c r="A332" s="8" t="s">
        <v>474</v>
      </c>
      <c r="B332" s="9" t="n">
        <v>100</v>
      </c>
      <c r="C332" s="9" t="n">
        <v>13.4</v>
      </c>
      <c r="D332" s="17" t="n">
        <v>416</v>
      </c>
      <c r="E332" s="17" t="n">
        <v>48</v>
      </c>
      <c r="F332" s="17" t="n">
        <v>157</v>
      </c>
      <c r="G332" s="17" t="n">
        <v>151</v>
      </c>
      <c r="H332" s="9" t="n">
        <v>5</v>
      </c>
      <c r="I332" s="15" t="s">
        <v>213</v>
      </c>
      <c r="J332" s="15" t="s">
        <v>213</v>
      </c>
      <c r="K332" s="8"/>
    </row>
    <row r="333" customFormat="false" ht="15" hidden="false" customHeight="true" outlineLevel="0" collapsed="false">
      <c r="A333" s="6" t="s">
        <v>475</v>
      </c>
      <c r="B333" s="7" t="n">
        <v>100</v>
      </c>
      <c r="C333" s="7" t="n">
        <v>13.4</v>
      </c>
      <c r="D333" s="16" t="n">
        <v>415</v>
      </c>
      <c r="E333" s="16" t="n">
        <v>48</v>
      </c>
      <c r="F333" s="16" t="n">
        <v>157</v>
      </c>
      <c r="G333" s="16" t="n">
        <v>150</v>
      </c>
      <c r="H333" s="7" t="n">
        <v>5</v>
      </c>
      <c r="I333" s="15" t="s">
        <v>213</v>
      </c>
      <c r="J333" s="15" t="s">
        <v>213</v>
      </c>
      <c r="K333" s="6"/>
    </row>
    <row r="334" customFormat="false" ht="15" hidden="false" customHeight="true" outlineLevel="0" collapsed="false">
      <c r="A334" s="8" t="s">
        <v>476</v>
      </c>
      <c r="B334" s="9" t="n">
        <v>100</v>
      </c>
      <c r="C334" s="9" t="n">
        <v>13.4</v>
      </c>
      <c r="D334" s="17" t="n">
        <v>415</v>
      </c>
      <c r="E334" s="17" t="n">
        <v>48</v>
      </c>
      <c r="F334" s="17" t="n">
        <v>157</v>
      </c>
      <c r="G334" s="17" t="n">
        <v>150</v>
      </c>
      <c r="H334" s="9" t="n">
        <v>5</v>
      </c>
      <c r="I334" s="15" t="s">
        <v>213</v>
      </c>
      <c r="J334" s="15" t="s">
        <v>213</v>
      </c>
      <c r="K334" s="8"/>
    </row>
    <row r="335" customFormat="false" ht="15" hidden="false" customHeight="true" outlineLevel="0" collapsed="false">
      <c r="A335" s="6" t="s">
        <v>477</v>
      </c>
      <c r="B335" s="7" t="n">
        <v>100</v>
      </c>
      <c r="C335" s="7" t="n">
        <v>13.4</v>
      </c>
      <c r="D335" s="16" t="n">
        <v>415</v>
      </c>
      <c r="E335" s="16" t="n">
        <v>48</v>
      </c>
      <c r="F335" s="16" t="n">
        <v>157</v>
      </c>
      <c r="G335" s="16" t="n">
        <v>150</v>
      </c>
      <c r="H335" s="7" t="n">
        <v>5</v>
      </c>
      <c r="I335" s="15" t="s">
        <v>213</v>
      </c>
      <c r="J335" s="15" t="s">
        <v>213</v>
      </c>
      <c r="K335" s="6"/>
    </row>
    <row r="336" customFormat="false" ht="15" hidden="false" customHeight="true" outlineLevel="0" collapsed="false">
      <c r="A336" s="8" t="s">
        <v>478</v>
      </c>
      <c r="B336" s="9" t="n">
        <v>100</v>
      </c>
      <c r="C336" s="9" t="n">
        <v>13.4</v>
      </c>
      <c r="D336" s="17" t="n">
        <v>415</v>
      </c>
      <c r="E336" s="17" t="n">
        <v>48</v>
      </c>
      <c r="F336" s="17" t="n">
        <v>157</v>
      </c>
      <c r="G336" s="17" t="n">
        <v>150</v>
      </c>
      <c r="H336" s="9" t="n">
        <v>5</v>
      </c>
      <c r="I336" s="15" t="s">
        <v>213</v>
      </c>
      <c r="J336" s="15" t="s">
        <v>213</v>
      </c>
      <c r="K336" s="8"/>
    </row>
    <row r="337" customFormat="false" ht="15" hidden="false" customHeight="true" outlineLevel="0" collapsed="false">
      <c r="A337" s="6" t="s">
        <v>479</v>
      </c>
      <c r="B337" s="7" t="n">
        <v>100</v>
      </c>
      <c r="C337" s="7" t="n">
        <v>13.3</v>
      </c>
      <c r="D337" s="16" t="n">
        <v>415</v>
      </c>
      <c r="E337" s="16" t="n">
        <v>48</v>
      </c>
      <c r="F337" s="16" t="n">
        <v>157</v>
      </c>
      <c r="G337" s="16" t="n">
        <v>150</v>
      </c>
      <c r="H337" s="7" t="n">
        <v>5</v>
      </c>
      <c r="I337" s="15" t="s">
        <v>213</v>
      </c>
      <c r="J337" s="15" t="s">
        <v>213</v>
      </c>
      <c r="K337" s="6"/>
    </row>
    <row r="338" customFormat="false" ht="15" hidden="false" customHeight="true" outlineLevel="0" collapsed="false">
      <c r="A338" s="8" t="s">
        <v>480</v>
      </c>
      <c r="B338" s="9" t="n">
        <v>100</v>
      </c>
      <c r="C338" s="9" t="n">
        <v>13.3</v>
      </c>
      <c r="D338" s="17" t="n">
        <v>415</v>
      </c>
      <c r="E338" s="17" t="n">
        <v>48</v>
      </c>
      <c r="F338" s="17" t="n">
        <v>157</v>
      </c>
      <c r="G338" s="17" t="n">
        <v>150</v>
      </c>
      <c r="H338" s="9" t="n">
        <v>5</v>
      </c>
      <c r="I338" s="15" t="s">
        <v>213</v>
      </c>
      <c r="J338" s="15" t="s">
        <v>213</v>
      </c>
      <c r="K338" s="8"/>
    </row>
    <row r="339" customFormat="false" ht="15" hidden="false" customHeight="true" outlineLevel="0" collapsed="false">
      <c r="A339" s="6" t="s">
        <v>481</v>
      </c>
      <c r="B339" s="7" t="n">
        <v>100</v>
      </c>
      <c r="C339" s="7" t="n">
        <v>13.3</v>
      </c>
      <c r="D339" s="16" t="n">
        <v>415</v>
      </c>
      <c r="E339" s="16" t="n">
        <v>48</v>
      </c>
      <c r="F339" s="16" t="n">
        <v>157</v>
      </c>
      <c r="G339" s="16" t="n">
        <v>150</v>
      </c>
      <c r="H339" s="7" t="n">
        <v>5</v>
      </c>
      <c r="I339" s="15" t="s">
        <v>213</v>
      </c>
      <c r="J339" s="15" t="s">
        <v>213</v>
      </c>
      <c r="K339" s="6"/>
    </row>
    <row r="340" customFormat="false" ht="15" hidden="false" customHeight="true" outlineLevel="0" collapsed="false">
      <c r="A340" s="8" t="s">
        <v>482</v>
      </c>
      <c r="B340" s="9" t="n">
        <v>100</v>
      </c>
      <c r="C340" s="9" t="n">
        <v>13.3</v>
      </c>
      <c r="D340" s="17" t="n">
        <v>415</v>
      </c>
      <c r="E340" s="17" t="n">
        <v>48</v>
      </c>
      <c r="F340" s="17" t="n">
        <v>157</v>
      </c>
      <c r="G340" s="17" t="n">
        <v>150</v>
      </c>
      <c r="H340" s="9" t="n">
        <v>5</v>
      </c>
      <c r="I340" s="15" t="s">
        <v>213</v>
      </c>
      <c r="J340" s="15" t="s">
        <v>213</v>
      </c>
      <c r="K340" s="8"/>
    </row>
    <row r="341" customFormat="false" ht="15" hidden="false" customHeight="true" outlineLevel="0" collapsed="false">
      <c r="A341" s="6" t="s">
        <v>483</v>
      </c>
      <c r="B341" s="7" t="n">
        <v>100</v>
      </c>
      <c r="C341" s="7" t="n">
        <v>13.3</v>
      </c>
      <c r="D341" s="16" t="n">
        <v>415</v>
      </c>
      <c r="E341" s="16" t="n">
        <v>48</v>
      </c>
      <c r="F341" s="16" t="n">
        <v>157</v>
      </c>
      <c r="G341" s="16" t="n">
        <v>150</v>
      </c>
      <c r="H341" s="7" t="n">
        <v>5</v>
      </c>
      <c r="I341" s="15" t="s">
        <v>213</v>
      </c>
      <c r="J341" s="15" t="s">
        <v>213</v>
      </c>
      <c r="K341" s="6"/>
    </row>
    <row r="342" customFormat="false" ht="15" hidden="false" customHeight="true" outlineLevel="0" collapsed="false">
      <c r="A342" s="8" t="s">
        <v>484</v>
      </c>
      <c r="B342" s="9" t="n">
        <v>100</v>
      </c>
      <c r="C342" s="9" t="n">
        <v>13.3</v>
      </c>
      <c r="D342" s="17" t="n">
        <v>415</v>
      </c>
      <c r="E342" s="17" t="n">
        <v>48</v>
      </c>
      <c r="F342" s="17" t="n">
        <v>157</v>
      </c>
      <c r="G342" s="17" t="n">
        <v>150</v>
      </c>
      <c r="H342" s="9" t="n">
        <v>5</v>
      </c>
      <c r="I342" s="15" t="s">
        <v>213</v>
      </c>
      <c r="J342" s="15" t="s">
        <v>213</v>
      </c>
      <c r="K342" s="8"/>
    </row>
    <row r="343" customFormat="false" ht="15" hidden="false" customHeight="true" outlineLevel="0" collapsed="false">
      <c r="A343" s="6" t="s">
        <v>485</v>
      </c>
      <c r="B343" s="7" t="n">
        <v>100</v>
      </c>
      <c r="C343" s="7" t="n">
        <v>13.3</v>
      </c>
      <c r="D343" s="16" t="n">
        <v>415</v>
      </c>
      <c r="E343" s="16" t="n">
        <v>48</v>
      </c>
      <c r="F343" s="16" t="n">
        <v>157</v>
      </c>
      <c r="G343" s="16" t="n">
        <v>150</v>
      </c>
      <c r="H343" s="7" t="n">
        <v>5</v>
      </c>
      <c r="I343" s="15" t="s">
        <v>213</v>
      </c>
      <c r="J343" s="15" t="s">
        <v>213</v>
      </c>
      <c r="K343" s="6"/>
    </row>
    <row r="344" customFormat="false" ht="15" hidden="false" customHeight="true" outlineLevel="0" collapsed="false">
      <c r="A344" s="8" t="s">
        <v>486</v>
      </c>
      <c r="B344" s="9" t="n">
        <v>100</v>
      </c>
      <c r="C344" s="9" t="n">
        <v>13.3</v>
      </c>
      <c r="D344" s="17" t="n">
        <v>415</v>
      </c>
      <c r="E344" s="17" t="n">
        <v>48</v>
      </c>
      <c r="F344" s="17" t="n">
        <v>157</v>
      </c>
      <c r="G344" s="17" t="n">
        <v>150</v>
      </c>
      <c r="H344" s="9" t="n">
        <v>5</v>
      </c>
      <c r="I344" s="15" t="s">
        <v>213</v>
      </c>
      <c r="J344" s="15" t="s">
        <v>213</v>
      </c>
      <c r="K344" s="8"/>
    </row>
    <row r="345" customFormat="false" ht="15" hidden="false" customHeight="true" outlineLevel="0" collapsed="false">
      <c r="A345" s="6" t="s">
        <v>487</v>
      </c>
      <c r="B345" s="7" t="n">
        <v>100</v>
      </c>
      <c r="C345" s="7" t="n">
        <v>13.3</v>
      </c>
      <c r="D345" s="16" t="n">
        <v>415</v>
      </c>
      <c r="E345" s="16" t="n">
        <v>48</v>
      </c>
      <c r="F345" s="16" t="n">
        <v>157</v>
      </c>
      <c r="G345" s="16" t="n">
        <v>150</v>
      </c>
      <c r="H345" s="7" t="n">
        <v>5</v>
      </c>
      <c r="I345" s="15" t="s">
        <v>213</v>
      </c>
      <c r="J345" s="15" t="s">
        <v>213</v>
      </c>
      <c r="K345" s="6"/>
    </row>
    <row r="346" customFormat="false" ht="15" hidden="false" customHeight="true" outlineLevel="0" collapsed="false">
      <c r="A346" s="8" t="s">
        <v>488</v>
      </c>
      <c r="B346" s="9" t="n">
        <v>100</v>
      </c>
      <c r="C346" s="9" t="n">
        <v>13.3</v>
      </c>
      <c r="D346" s="17" t="n">
        <v>415</v>
      </c>
      <c r="E346" s="17" t="n">
        <v>48</v>
      </c>
      <c r="F346" s="17" t="n">
        <v>157</v>
      </c>
      <c r="G346" s="17" t="n">
        <v>150</v>
      </c>
      <c r="H346" s="9" t="n">
        <v>5</v>
      </c>
      <c r="I346" s="15" t="s">
        <v>213</v>
      </c>
      <c r="J346" s="15" t="s">
        <v>213</v>
      </c>
      <c r="K346" s="8"/>
    </row>
    <row r="347" customFormat="false" ht="15" hidden="false" customHeight="true" outlineLevel="0" collapsed="false">
      <c r="A347" s="6" t="s">
        <v>489</v>
      </c>
      <c r="B347" s="7" t="n">
        <v>100</v>
      </c>
      <c r="C347" s="7" t="n">
        <v>13.3</v>
      </c>
      <c r="D347" s="16" t="n">
        <v>414</v>
      </c>
      <c r="E347" s="16" t="n">
        <v>47</v>
      </c>
      <c r="F347" s="16" t="n">
        <v>156</v>
      </c>
      <c r="G347" s="16" t="n">
        <v>150</v>
      </c>
      <c r="H347" s="7" t="n">
        <v>5</v>
      </c>
      <c r="I347" s="15" t="s">
        <v>213</v>
      </c>
      <c r="J347" s="15" t="s">
        <v>213</v>
      </c>
      <c r="K347" s="6"/>
    </row>
    <row r="348" customFormat="false" ht="15" hidden="false" customHeight="true" outlineLevel="0" collapsed="false">
      <c r="A348" s="8" t="s">
        <v>490</v>
      </c>
      <c r="B348" s="9" t="n">
        <v>100</v>
      </c>
      <c r="C348" s="9" t="n">
        <v>13.3</v>
      </c>
      <c r="D348" s="17" t="n">
        <v>414</v>
      </c>
      <c r="E348" s="17" t="n">
        <v>47</v>
      </c>
      <c r="F348" s="17" t="n">
        <v>156</v>
      </c>
      <c r="G348" s="17" t="n">
        <v>150</v>
      </c>
      <c r="H348" s="9" t="n">
        <v>5</v>
      </c>
      <c r="I348" s="15" t="s">
        <v>213</v>
      </c>
      <c r="J348" s="15" t="s">
        <v>213</v>
      </c>
      <c r="K348" s="8"/>
    </row>
    <row r="349" customFormat="false" ht="15" hidden="false" customHeight="true" outlineLevel="0" collapsed="false">
      <c r="A349" s="6" t="s">
        <v>491</v>
      </c>
      <c r="B349" s="7" t="n">
        <v>100</v>
      </c>
      <c r="C349" s="7" t="n">
        <v>13.3</v>
      </c>
      <c r="D349" s="16" t="n">
        <v>414</v>
      </c>
      <c r="E349" s="16" t="n">
        <v>47</v>
      </c>
      <c r="F349" s="16" t="n">
        <v>156</v>
      </c>
      <c r="G349" s="16" t="n">
        <v>150</v>
      </c>
      <c r="H349" s="7" t="n">
        <v>5</v>
      </c>
      <c r="I349" s="15" t="s">
        <v>213</v>
      </c>
      <c r="J349" s="15" t="s">
        <v>213</v>
      </c>
      <c r="K349" s="6"/>
    </row>
    <row r="350" customFormat="false" ht="15" hidden="false" customHeight="true" outlineLevel="0" collapsed="false">
      <c r="A350" s="8" t="s">
        <v>492</v>
      </c>
      <c r="B350" s="9" t="n">
        <v>100</v>
      </c>
      <c r="C350" s="9" t="n">
        <v>13.3</v>
      </c>
      <c r="D350" s="17" t="n">
        <v>414</v>
      </c>
      <c r="E350" s="17" t="n">
        <v>47</v>
      </c>
      <c r="F350" s="17" t="n">
        <v>156</v>
      </c>
      <c r="G350" s="17" t="n">
        <v>150</v>
      </c>
      <c r="H350" s="9" t="n">
        <v>5</v>
      </c>
      <c r="I350" s="15" t="s">
        <v>213</v>
      </c>
      <c r="J350" s="15" t="s">
        <v>213</v>
      </c>
      <c r="K350" s="8"/>
    </row>
    <row r="351" customFormat="false" ht="15" hidden="false" customHeight="true" outlineLevel="0" collapsed="false">
      <c r="A351" s="6" t="s">
        <v>493</v>
      </c>
      <c r="B351" s="7" t="n">
        <v>100</v>
      </c>
      <c r="C351" s="7" t="n">
        <v>13.3</v>
      </c>
      <c r="D351" s="16" t="n">
        <v>415</v>
      </c>
      <c r="E351" s="16" t="n">
        <v>48</v>
      </c>
      <c r="F351" s="16" t="n">
        <v>157</v>
      </c>
      <c r="G351" s="16" t="n">
        <v>150</v>
      </c>
      <c r="H351" s="7" t="n">
        <v>5</v>
      </c>
      <c r="I351" s="15" t="s">
        <v>213</v>
      </c>
      <c r="J351" s="15" t="s">
        <v>213</v>
      </c>
      <c r="K351" s="6"/>
    </row>
    <row r="353" customFormat="false" ht="15" hidden="false" customHeight="true" outlineLevel="0" collapsed="false">
      <c r="A353" s="18" t="s">
        <v>494</v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</sheetData>
  <autoFilter ref="A2:K351"/>
  <mergeCells count="2">
    <mergeCell ref="A1:K1"/>
    <mergeCell ref="A353:K3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5" min="4" style="1" width="12"/>
  </cols>
  <sheetData>
    <row r="1" customFormat="false" ht="21.75" hidden="false" customHeight="true" outlineLevel="0" collapsed="false">
      <c r="A1" s="4" t="s">
        <v>495</v>
      </c>
      <c r="B1" s="4"/>
      <c r="C1" s="4"/>
      <c r="D1" s="4"/>
      <c r="E1" s="4"/>
    </row>
    <row r="2" customFormat="false" ht="1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11</v>
      </c>
    </row>
    <row r="3" customFormat="false" ht="15" hidden="false" customHeight="true" outlineLevel="0" collapsed="false">
      <c r="A3" s="6" t="s">
        <v>395</v>
      </c>
      <c r="B3" s="6" t="s">
        <v>4</v>
      </c>
      <c r="C3" s="7" t="n">
        <v>2612</v>
      </c>
      <c r="D3" s="7" t="n">
        <v>13</v>
      </c>
      <c r="E3" s="7" t="n">
        <v>88.1</v>
      </c>
    </row>
    <row r="4" customFormat="false" ht="15" hidden="false" customHeight="true" outlineLevel="0" collapsed="false">
      <c r="A4" s="8" t="s">
        <v>395</v>
      </c>
      <c r="B4" s="8" t="s">
        <v>5</v>
      </c>
      <c r="C4" s="9"/>
      <c r="D4" s="9" t="n">
        <v>88.1</v>
      </c>
      <c r="E4" s="9" t="n">
        <v>88.1</v>
      </c>
    </row>
    <row r="5" customFormat="false" ht="15" hidden="false" customHeight="true" outlineLevel="0" collapsed="false">
      <c r="A5" s="6" t="s">
        <v>396</v>
      </c>
      <c r="B5" s="6" t="s">
        <v>5</v>
      </c>
      <c r="C5" s="7"/>
      <c r="D5" s="7" t="n">
        <v>87.7</v>
      </c>
      <c r="E5" s="7" t="n">
        <v>87.7</v>
      </c>
    </row>
    <row r="6" customFormat="false" ht="15" hidden="false" customHeight="true" outlineLevel="0" collapsed="false">
      <c r="A6" s="8" t="s">
        <v>397</v>
      </c>
      <c r="B6" s="8" t="s">
        <v>5</v>
      </c>
      <c r="C6" s="9"/>
      <c r="D6" s="9" t="n">
        <v>87.7</v>
      </c>
      <c r="E6" s="9" t="n">
        <v>87.7</v>
      </c>
    </row>
    <row r="7" customFormat="false" ht="15" hidden="false" customHeight="true" outlineLevel="0" collapsed="false">
      <c r="A7" s="6" t="s">
        <v>398</v>
      </c>
      <c r="B7" s="6" t="s">
        <v>5</v>
      </c>
      <c r="C7" s="7"/>
      <c r="D7" s="7" t="n">
        <v>87.7</v>
      </c>
      <c r="E7" s="7" t="n">
        <v>87.7</v>
      </c>
    </row>
    <row r="8" customFormat="false" ht="15" hidden="false" customHeight="true" outlineLevel="0" collapsed="false">
      <c r="A8" s="8" t="s">
        <v>399</v>
      </c>
      <c r="B8" s="8" t="s">
        <v>5</v>
      </c>
      <c r="C8" s="9"/>
      <c r="D8" s="9" t="n">
        <v>87.7</v>
      </c>
      <c r="E8" s="9" t="n">
        <v>87.7</v>
      </c>
    </row>
    <row r="9" customFormat="false" ht="15" hidden="false" customHeight="true" outlineLevel="0" collapsed="false">
      <c r="A9" s="6" t="s">
        <v>496</v>
      </c>
      <c r="B9" s="6" t="s">
        <v>6</v>
      </c>
      <c r="C9" s="7" t="n">
        <v>2640</v>
      </c>
      <c r="D9" s="7" t="n">
        <v>5</v>
      </c>
      <c r="E9" s="7" t="n">
        <v>87.7</v>
      </c>
    </row>
    <row r="10" customFormat="false" ht="15" hidden="false" customHeight="true" outlineLevel="0" collapsed="false">
      <c r="A10" s="8" t="s">
        <v>496</v>
      </c>
      <c r="B10" s="8" t="s">
        <v>7</v>
      </c>
      <c r="C10" s="9" t="n">
        <v>1477</v>
      </c>
      <c r="D10" s="9" t="n">
        <v>100</v>
      </c>
      <c r="E10" s="9" t="n">
        <v>87.7</v>
      </c>
    </row>
    <row r="11" customFormat="false" ht="15" hidden="false" customHeight="true" outlineLevel="0" collapsed="false">
      <c r="A11" s="6" t="s">
        <v>496</v>
      </c>
      <c r="B11" s="6" t="s">
        <v>4</v>
      </c>
      <c r="C11" s="7" t="n">
        <v>2681</v>
      </c>
      <c r="D11" s="7" t="n">
        <v>8</v>
      </c>
      <c r="E11" s="7" t="n">
        <v>87.7</v>
      </c>
    </row>
    <row r="12" customFormat="false" ht="15" hidden="false" customHeight="true" outlineLevel="0" collapsed="false">
      <c r="A12" s="8" t="s">
        <v>496</v>
      </c>
      <c r="B12" s="8" t="s">
        <v>8</v>
      </c>
      <c r="C12" s="9" t="n">
        <v>1728</v>
      </c>
      <c r="D12" s="9" t="n">
        <v>100</v>
      </c>
      <c r="E12" s="9" t="n">
        <v>87.7</v>
      </c>
    </row>
    <row r="13" customFormat="false" ht="15" hidden="false" customHeight="true" outlineLevel="0" collapsed="false">
      <c r="A13" s="6" t="s">
        <v>497</v>
      </c>
      <c r="B13" s="6" t="s">
        <v>9</v>
      </c>
      <c r="C13" s="7" t="n">
        <v>1596</v>
      </c>
      <c r="D13" s="7" t="n">
        <v>100</v>
      </c>
      <c r="E13" s="7" t="n">
        <v>87.7</v>
      </c>
    </row>
    <row r="14" customFormat="false" ht="15" hidden="false" customHeight="true" outlineLevel="0" collapsed="false">
      <c r="A14" s="8" t="s">
        <v>400</v>
      </c>
      <c r="B14" s="8" t="s">
        <v>5</v>
      </c>
      <c r="C14" s="9"/>
      <c r="D14" s="9" t="n">
        <v>87.7</v>
      </c>
      <c r="E14" s="9" t="n">
        <v>87.7</v>
      </c>
    </row>
    <row r="15" customFormat="false" ht="15" hidden="false" customHeight="true" outlineLevel="0" collapsed="false">
      <c r="A15" s="6" t="s">
        <v>498</v>
      </c>
      <c r="B15" s="6" t="s">
        <v>8</v>
      </c>
      <c r="C15" s="7" t="n">
        <v>2000</v>
      </c>
      <c r="D15" s="7" t="n">
        <v>85</v>
      </c>
      <c r="E15" s="7" t="n">
        <v>87.7</v>
      </c>
    </row>
    <row r="16" customFormat="false" ht="15" hidden="false" customHeight="true" outlineLevel="0" collapsed="false">
      <c r="A16" s="8" t="s">
        <v>498</v>
      </c>
      <c r="B16" s="8" t="s">
        <v>4</v>
      </c>
      <c r="C16" s="9" t="n">
        <v>1319</v>
      </c>
      <c r="D16" s="9" t="n">
        <v>98</v>
      </c>
      <c r="E16" s="9" t="n">
        <v>87.7</v>
      </c>
    </row>
    <row r="17" customFormat="false" ht="15" hidden="false" customHeight="true" outlineLevel="0" collapsed="false">
      <c r="A17" s="6" t="s">
        <v>498</v>
      </c>
      <c r="B17" s="6" t="s">
        <v>6</v>
      </c>
      <c r="C17" s="7" t="n">
        <v>1199</v>
      </c>
      <c r="D17" s="7" t="n">
        <v>100</v>
      </c>
      <c r="E17" s="7" t="n">
        <v>87.7</v>
      </c>
    </row>
    <row r="18" customFormat="false" ht="15" hidden="false" customHeight="true" outlineLevel="0" collapsed="false">
      <c r="A18" s="8" t="s">
        <v>498</v>
      </c>
      <c r="B18" s="8" t="s">
        <v>7</v>
      </c>
      <c r="C18" s="9" t="n">
        <v>1826</v>
      </c>
      <c r="D18" s="9" t="n">
        <v>91</v>
      </c>
      <c r="E18" s="9" t="n">
        <v>87.7</v>
      </c>
    </row>
    <row r="19" customFormat="false" ht="15" hidden="false" customHeight="true" outlineLevel="0" collapsed="false">
      <c r="A19" s="6" t="s">
        <v>499</v>
      </c>
      <c r="B19" s="6" t="s">
        <v>9</v>
      </c>
      <c r="C19" s="7" t="n">
        <v>1859</v>
      </c>
      <c r="D19" s="7" t="n">
        <v>100</v>
      </c>
      <c r="E19" s="7" t="n">
        <v>87.7</v>
      </c>
    </row>
    <row r="20" customFormat="false" ht="15" hidden="false" customHeight="true" outlineLevel="0" collapsed="false">
      <c r="A20" s="8" t="s">
        <v>401</v>
      </c>
      <c r="B20" s="8" t="s">
        <v>5</v>
      </c>
      <c r="C20" s="9"/>
      <c r="D20" s="9" t="n">
        <v>87.7</v>
      </c>
      <c r="E20" s="9" t="n">
        <v>87.7</v>
      </c>
    </row>
    <row r="21" customFormat="false" ht="15" hidden="false" customHeight="true" outlineLevel="0" collapsed="false">
      <c r="A21" s="6" t="s">
        <v>401</v>
      </c>
      <c r="B21" s="6" t="s">
        <v>6</v>
      </c>
      <c r="C21" s="7" t="n">
        <v>1200</v>
      </c>
      <c r="D21" s="7" t="n">
        <v>100</v>
      </c>
      <c r="E21" s="7" t="n">
        <v>87.7</v>
      </c>
    </row>
    <row r="22" customFormat="false" ht="15" hidden="false" customHeight="true" outlineLevel="0" collapsed="false">
      <c r="A22" s="8" t="s">
        <v>401</v>
      </c>
      <c r="B22" s="8" t="s">
        <v>7</v>
      </c>
      <c r="C22" s="9" t="n">
        <v>1891</v>
      </c>
      <c r="D22" s="9" t="n">
        <v>85</v>
      </c>
      <c r="E22" s="9" t="n">
        <v>87.7</v>
      </c>
    </row>
    <row r="23" customFormat="false" ht="15" hidden="false" customHeight="true" outlineLevel="0" collapsed="false">
      <c r="A23" s="6" t="s">
        <v>401</v>
      </c>
      <c r="B23" s="6" t="s">
        <v>4</v>
      </c>
      <c r="C23" s="7" t="n">
        <v>1297</v>
      </c>
      <c r="D23" s="7" t="n">
        <v>100</v>
      </c>
      <c r="E23" s="7" t="n">
        <v>87.7</v>
      </c>
    </row>
    <row r="24" customFormat="false" ht="15" hidden="false" customHeight="true" outlineLevel="0" collapsed="false">
      <c r="A24" s="8" t="s">
        <v>500</v>
      </c>
      <c r="B24" s="8" t="s">
        <v>9</v>
      </c>
      <c r="C24" s="9" t="n">
        <v>1927</v>
      </c>
      <c r="D24" s="9" t="n">
        <v>100</v>
      </c>
      <c r="E24" s="9" t="n">
        <v>87.7</v>
      </c>
    </row>
    <row r="25" customFormat="false" ht="15" hidden="false" customHeight="true" outlineLevel="0" collapsed="false">
      <c r="A25" s="6" t="s">
        <v>500</v>
      </c>
      <c r="B25" s="6" t="s">
        <v>8</v>
      </c>
      <c r="C25" s="7" t="n">
        <v>2063</v>
      </c>
      <c r="D25" s="7" t="n">
        <v>77</v>
      </c>
      <c r="E25" s="7" t="n">
        <v>87.7</v>
      </c>
    </row>
    <row r="26" customFormat="false" ht="15" hidden="false" customHeight="true" outlineLevel="0" collapsed="false">
      <c r="A26" s="8" t="s">
        <v>402</v>
      </c>
      <c r="B26" s="8" t="s">
        <v>6</v>
      </c>
      <c r="C26" s="9" t="n">
        <v>1210</v>
      </c>
      <c r="D26" s="9" t="n">
        <v>100</v>
      </c>
      <c r="E26" s="9" t="n">
        <v>87.6</v>
      </c>
    </row>
    <row r="27" customFormat="false" ht="15" hidden="false" customHeight="true" outlineLevel="0" collapsed="false">
      <c r="A27" s="6" t="s">
        <v>402</v>
      </c>
      <c r="B27" s="6" t="s">
        <v>4</v>
      </c>
      <c r="C27" s="7" t="n">
        <v>1284</v>
      </c>
      <c r="D27" s="7" t="n">
        <v>100</v>
      </c>
      <c r="E27" s="7" t="n">
        <v>87.6</v>
      </c>
    </row>
    <row r="28" customFormat="false" ht="15" hidden="false" customHeight="true" outlineLevel="0" collapsed="false">
      <c r="A28" s="8" t="s">
        <v>402</v>
      </c>
      <c r="B28" s="8" t="s">
        <v>5</v>
      </c>
      <c r="C28" s="9"/>
      <c r="D28" s="9" t="n">
        <v>87.6</v>
      </c>
      <c r="E28" s="9" t="n">
        <v>87.6</v>
      </c>
    </row>
    <row r="29" customFormat="false" ht="15" hidden="false" customHeight="true" outlineLevel="0" collapsed="false">
      <c r="A29" s="6" t="s">
        <v>501</v>
      </c>
      <c r="B29" s="6" t="s">
        <v>7</v>
      </c>
      <c r="C29" s="7" t="n">
        <v>1930</v>
      </c>
      <c r="D29" s="7" t="n">
        <v>81</v>
      </c>
      <c r="E29" s="7" t="n">
        <v>87.6</v>
      </c>
    </row>
    <row r="30" customFormat="false" ht="15" hidden="false" customHeight="true" outlineLevel="0" collapsed="false">
      <c r="A30" s="8" t="s">
        <v>501</v>
      </c>
      <c r="B30" s="8" t="s">
        <v>8</v>
      </c>
      <c r="C30" s="9" t="n">
        <v>2086</v>
      </c>
      <c r="D30" s="9" t="n">
        <v>75</v>
      </c>
      <c r="E30" s="9" t="n">
        <v>87.6</v>
      </c>
    </row>
    <row r="31" customFormat="false" ht="15" hidden="false" customHeight="true" outlineLevel="0" collapsed="false">
      <c r="A31" s="6" t="s">
        <v>501</v>
      </c>
      <c r="B31" s="6" t="s">
        <v>9</v>
      </c>
      <c r="C31" s="7" t="n">
        <v>1968</v>
      </c>
      <c r="D31" s="7" t="n">
        <v>97</v>
      </c>
      <c r="E31" s="7" t="n">
        <v>87.6</v>
      </c>
    </row>
    <row r="32" customFormat="false" ht="15" hidden="false" customHeight="true" outlineLevel="0" collapsed="false">
      <c r="A32" s="8" t="s">
        <v>403</v>
      </c>
      <c r="B32" s="8" t="s">
        <v>4</v>
      </c>
      <c r="C32" s="9" t="n">
        <v>1286</v>
      </c>
      <c r="D32" s="9" t="n">
        <v>100</v>
      </c>
      <c r="E32" s="9" t="n">
        <v>87.6</v>
      </c>
    </row>
    <row r="33" customFormat="false" ht="15" hidden="false" customHeight="true" outlineLevel="0" collapsed="false">
      <c r="A33" s="6" t="s">
        <v>403</v>
      </c>
      <c r="B33" s="6" t="s">
        <v>5</v>
      </c>
      <c r="C33" s="7"/>
      <c r="D33" s="7" t="n">
        <v>87.6</v>
      </c>
      <c r="E33" s="7" t="n">
        <v>87.6</v>
      </c>
    </row>
    <row r="34" customFormat="false" ht="15" hidden="false" customHeight="true" outlineLevel="0" collapsed="false">
      <c r="A34" s="8" t="s">
        <v>502</v>
      </c>
      <c r="B34" s="8" t="s">
        <v>7</v>
      </c>
      <c r="C34" s="9" t="n">
        <v>1941</v>
      </c>
      <c r="D34" s="9" t="n">
        <v>80</v>
      </c>
      <c r="E34" s="9" t="n">
        <v>87.6</v>
      </c>
    </row>
    <row r="35" customFormat="false" ht="15" hidden="false" customHeight="true" outlineLevel="0" collapsed="false">
      <c r="A35" s="6" t="s">
        <v>502</v>
      </c>
      <c r="B35" s="6" t="s">
        <v>6</v>
      </c>
      <c r="C35" s="7" t="n">
        <v>1289</v>
      </c>
      <c r="D35" s="7" t="n">
        <v>94</v>
      </c>
      <c r="E35" s="7" t="n">
        <v>87.6</v>
      </c>
    </row>
    <row r="36" customFormat="false" ht="15" hidden="false" customHeight="true" outlineLevel="0" collapsed="false">
      <c r="A36" s="8" t="s">
        <v>503</v>
      </c>
      <c r="B36" s="8" t="s">
        <v>8</v>
      </c>
      <c r="C36" s="9" t="n">
        <v>2101</v>
      </c>
      <c r="D36" s="9" t="n">
        <v>73</v>
      </c>
      <c r="E36" s="9" t="n">
        <v>87.6</v>
      </c>
    </row>
    <row r="37" customFormat="false" ht="15" hidden="false" customHeight="true" outlineLevel="0" collapsed="false">
      <c r="A37" s="6" t="s">
        <v>503</v>
      </c>
      <c r="B37" s="6" t="s">
        <v>9</v>
      </c>
      <c r="C37" s="7" t="n">
        <v>1994</v>
      </c>
      <c r="D37" s="7" t="n">
        <v>93</v>
      </c>
      <c r="E37" s="7" t="n">
        <v>87.6</v>
      </c>
    </row>
    <row r="38" customFormat="false" ht="15" hidden="false" customHeight="true" outlineLevel="0" collapsed="false">
      <c r="A38" s="8" t="s">
        <v>404</v>
      </c>
      <c r="B38" s="8" t="s">
        <v>6</v>
      </c>
      <c r="C38" s="9" t="n">
        <v>1199</v>
      </c>
      <c r="D38" s="9" t="n">
        <v>100</v>
      </c>
      <c r="E38" s="9" t="n">
        <v>87.6</v>
      </c>
    </row>
    <row r="39" customFormat="false" ht="15" hidden="false" customHeight="true" outlineLevel="0" collapsed="false">
      <c r="A39" s="6" t="s">
        <v>404</v>
      </c>
      <c r="B39" s="6" t="s">
        <v>4</v>
      </c>
      <c r="C39" s="7" t="n">
        <v>1255</v>
      </c>
      <c r="D39" s="7" t="n">
        <v>100</v>
      </c>
      <c r="E39" s="7" t="n">
        <v>87.6</v>
      </c>
    </row>
    <row r="40" customFormat="false" ht="15" hidden="false" customHeight="true" outlineLevel="0" collapsed="false">
      <c r="A40" s="8" t="s">
        <v>404</v>
      </c>
      <c r="B40" s="8" t="s">
        <v>5</v>
      </c>
      <c r="C40" s="9"/>
      <c r="D40" s="9" t="n">
        <v>87.6</v>
      </c>
      <c r="E40" s="9" t="n">
        <v>87.6</v>
      </c>
    </row>
    <row r="41" customFormat="false" ht="15" hidden="false" customHeight="true" outlineLevel="0" collapsed="false">
      <c r="A41" s="6" t="s">
        <v>504</v>
      </c>
      <c r="B41" s="6" t="s">
        <v>7</v>
      </c>
      <c r="C41" s="7" t="n">
        <v>1967</v>
      </c>
      <c r="D41" s="7" t="n">
        <v>78</v>
      </c>
      <c r="E41" s="7" t="n">
        <v>87.6</v>
      </c>
    </row>
    <row r="42" customFormat="false" ht="15" hidden="false" customHeight="true" outlineLevel="0" collapsed="false">
      <c r="A42" s="8" t="s">
        <v>504</v>
      </c>
      <c r="B42" s="8" t="s">
        <v>8</v>
      </c>
      <c r="C42" s="9" t="n">
        <v>2108</v>
      </c>
      <c r="D42" s="9" t="n">
        <v>72</v>
      </c>
      <c r="E42" s="9" t="n">
        <v>87.6</v>
      </c>
    </row>
    <row r="43" customFormat="false" ht="15" hidden="false" customHeight="true" outlineLevel="0" collapsed="false">
      <c r="A43" s="6" t="s">
        <v>504</v>
      </c>
      <c r="B43" s="6" t="s">
        <v>9</v>
      </c>
      <c r="C43" s="7" t="n">
        <v>2016</v>
      </c>
      <c r="D43" s="7" t="n">
        <v>89</v>
      </c>
      <c r="E43" s="7" t="n">
        <v>87.6</v>
      </c>
    </row>
    <row r="44" customFormat="false" ht="15" hidden="false" customHeight="true" outlineLevel="0" collapsed="false">
      <c r="A44" s="8" t="s">
        <v>405</v>
      </c>
      <c r="B44" s="8" t="s">
        <v>5</v>
      </c>
      <c r="C44" s="9"/>
      <c r="D44" s="9" t="n">
        <v>87.6</v>
      </c>
      <c r="E44" s="9" t="n">
        <v>87.6</v>
      </c>
    </row>
    <row r="45" customFormat="false" ht="15" hidden="false" customHeight="true" outlineLevel="0" collapsed="false">
      <c r="A45" s="6" t="s">
        <v>405</v>
      </c>
      <c r="B45" s="6" t="s">
        <v>4</v>
      </c>
      <c r="C45" s="7" t="n">
        <v>1296</v>
      </c>
      <c r="D45" s="7" t="n">
        <v>100</v>
      </c>
      <c r="E45" s="7" t="n">
        <v>87.6</v>
      </c>
    </row>
    <row r="46" customFormat="false" ht="15" hidden="false" customHeight="true" outlineLevel="0" collapsed="false">
      <c r="A46" s="8" t="s">
        <v>505</v>
      </c>
      <c r="B46" s="8" t="s">
        <v>6</v>
      </c>
      <c r="C46" s="9" t="n">
        <v>1197</v>
      </c>
      <c r="D46" s="9" t="n">
        <v>100</v>
      </c>
      <c r="E46" s="9" t="n">
        <v>87.6</v>
      </c>
    </row>
    <row r="47" customFormat="false" ht="15" hidden="false" customHeight="true" outlineLevel="0" collapsed="false">
      <c r="A47" s="6" t="s">
        <v>505</v>
      </c>
      <c r="B47" s="6" t="s">
        <v>7</v>
      </c>
      <c r="C47" s="7" t="n">
        <v>1970</v>
      </c>
      <c r="D47" s="7" t="n">
        <v>78</v>
      </c>
      <c r="E47" s="7" t="n">
        <v>87.6</v>
      </c>
    </row>
    <row r="48" customFormat="false" ht="15" hidden="false" customHeight="true" outlineLevel="0" collapsed="false">
      <c r="A48" s="8" t="s">
        <v>505</v>
      </c>
      <c r="B48" s="8" t="s">
        <v>8</v>
      </c>
      <c r="C48" s="9" t="n">
        <v>2113</v>
      </c>
      <c r="D48" s="9" t="n">
        <v>71</v>
      </c>
      <c r="E48" s="9" t="n">
        <v>87.6</v>
      </c>
    </row>
    <row r="49" customFormat="false" ht="15" hidden="false" customHeight="true" outlineLevel="0" collapsed="false">
      <c r="A49" s="6" t="s">
        <v>505</v>
      </c>
      <c r="B49" s="6" t="s">
        <v>9</v>
      </c>
      <c r="C49" s="7" t="n">
        <v>2013</v>
      </c>
      <c r="D49" s="7" t="n">
        <v>89</v>
      </c>
      <c r="E49" s="7" t="n">
        <v>87.6</v>
      </c>
    </row>
    <row r="50" customFormat="false" ht="15" hidden="false" customHeight="true" outlineLevel="0" collapsed="false">
      <c r="A50" s="8" t="s">
        <v>406</v>
      </c>
      <c r="B50" s="8" t="s">
        <v>4</v>
      </c>
      <c r="C50" s="9" t="n">
        <v>1268</v>
      </c>
      <c r="D50" s="9" t="n">
        <v>100</v>
      </c>
      <c r="E50" s="9" t="n">
        <v>87.6</v>
      </c>
    </row>
    <row r="51" customFormat="false" ht="15" hidden="false" customHeight="true" outlineLevel="0" collapsed="false">
      <c r="A51" s="6" t="s">
        <v>406</v>
      </c>
      <c r="B51" s="6" t="s">
        <v>5</v>
      </c>
      <c r="C51" s="7"/>
      <c r="D51" s="7" t="n">
        <v>87.6</v>
      </c>
      <c r="E51" s="7" t="n">
        <v>87.6</v>
      </c>
    </row>
    <row r="52" customFormat="false" ht="15" hidden="false" customHeight="true" outlineLevel="0" collapsed="false">
      <c r="A52" s="8" t="s">
        <v>506</v>
      </c>
      <c r="B52" s="8" t="s">
        <v>8</v>
      </c>
      <c r="C52" s="9" t="n">
        <v>2123</v>
      </c>
      <c r="D52" s="9" t="n">
        <v>70</v>
      </c>
      <c r="E52" s="9" t="n">
        <v>87.6</v>
      </c>
    </row>
    <row r="53" customFormat="false" ht="15" hidden="false" customHeight="true" outlineLevel="0" collapsed="false">
      <c r="A53" s="6" t="s">
        <v>506</v>
      </c>
      <c r="B53" s="6" t="s">
        <v>6</v>
      </c>
      <c r="C53" s="7" t="n">
        <v>1312</v>
      </c>
      <c r="D53" s="7" t="n">
        <v>93</v>
      </c>
      <c r="E53" s="7" t="n">
        <v>87.6</v>
      </c>
    </row>
    <row r="54" customFormat="false" ht="15" hidden="false" customHeight="true" outlineLevel="0" collapsed="false">
      <c r="A54" s="8" t="s">
        <v>506</v>
      </c>
      <c r="B54" s="8" t="s">
        <v>7</v>
      </c>
      <c r="C54" s="9" t="n">
        <v>1983</v>
      </c>
      <c r="D54" s="9" t="n">
        <v>76</v>
      </c>
      <c r="E54" s="9" t="n">
        <v>87.6</v>
      </c>
    </row>
    <row r="55" customFormat="false" ht="15" hidden="false" customHeight="true" outlineLevel="0" collapsed="false">
      <c r="A55" s="6" t="s">
        <v>507</v>
      </c>
      <c r="B55" s="6" t="s">
        <v>9</v>
      </c>
      <c r="C55" s="7" t="n">
        <v>2023</v>
      </c>
      <c r="D55" s="7" t="n">
        <v>88</v>
      </c>
      <c r="E55" s="7" t="n">
        <v>87.6</v>
      </c>
    </row>
    <row r="56" customFormat="false" ht="15" hidden="false" customHeight="true" outlineLevel="0" collapsed="false">
      <c r="A56" s="8" t="s">
        <v>407</v>
      </c>
      <c r="B56" s="8" t="s">
        <v>5</v>
      </c>
      <c r="C56" s="9"/>
      <c r="D56" s="9" t="n">
        <v>87.6</v>
      </c>
      <c r="E56" s="9" t="n">
        <v>87.6</v>
      </c>
    </row>
    <row r="57" customFormat="false" ht="15" hidden="false" customHeight="true" outlineLevel="0" collapsed="false">
      <c r="A57" s="6" t="s">
        <v>508</v>
      </c>
      <c r="B57" s="6" t="s">
        <v>6</v>
      </c>
      <c r="C57" s="7" t="n">
        <v>1227</v>
      </c>
      <c r="D57" s="7" t="n">
        <v>99</v>
      </c>
      <c r="E57" s="7" t="n">
        <v>87.6</v>
      </c>
    </row>
    <row r="58" customFormat="false" ht="15" hidden="false" customHeight="true" outlineLevel="0" collapsed="false">
      <c r="A58" s="8" t="s">
        <v>508</v>
      </c>
      <c r="B58" s="8" t="s">
        <v>4</v>
      </c>
      <c r="C58" s="9" t="n">
        <v>1264</v>
      </c>
      <c r="D58" s="9" t="n">
        <v>100</v>
      </c>
      <c r="E58" s="9" t="n">
        <v>87.6</v>
      </c>
    </row>
    <row r="59" customFormat="false" ht="15" hidden="false" customHeight="true" outlineLevel="0" collapsed="false">
      <c r="A59" s="6" t="s">
        <v>509</v>
      </c>
      <c r="B59" s="6" t="s">
        <v>7</v>
      </c>
      <c r="C59" s="7" t="n">
        <v>1993</v>
      </c>
      <c r="D59" s="7" t="n">
        <v>75</v>
      </c>
      <c r="E59" s="7" t="n">
        <v>87.6</v>
      </c>
    </row>
    <row r="60" customFormat="false" ht="15" hidden="false" customHeight="true" outlineLevel="0" collapsed="false">
      <c r="A60" s="8" t="s">
        <v>509</v>
      </c>
      <c r="B60" s="8" t="s">
        <v>8</v>
      </c>
      <c r="C60" s="9" t="n">
        <v>2083</v>
      </c>
      <c r="D60" s="9" t="n">
        <v>75</v>
      </c>
      <c r="E60" s="9" t="n">
        <v>87.6</v>
      </c>
    </row>
    <row r="61" customFormat="false" ht="15" hidden="false" customHeight="true" outlineLevel="0" collapsed="false">
      <c r="A61" s="6" t="s">
        <v>510</v>
      </c>
      <c r="B61" s="6" t="s">
        <v>9</v>
      </c>
      <c r="C61" s="7" t="n">
        <v>2032</v>
      </c>
      <c r="D61" s="7" t="n">
        <v>86</v>
      </c>
      <c r="E61" s="7" t="n">
        <v>87.6</v>
      </c>
    </row>
    <row r="62" customFormat="false" ht="15" hidden="false" customHeight="true" outlineLevel="0" collapsed="false">
      <c r="A62" s="8" t="s">
        <v>408</v>
      </c>
      <c r="B62" s="8" t="s">
        <v>5</v>
      </c>
      <c r="C62" s="9"/>
      <c r="D62" s="9" t="n">
        <v>87.4</v>
      </c>
      <c r="E62" s="9" t="n">
        <v>87.4</v>
      </c>
    </row>
    <row r="63" customFormat="false" ht="15" hidden="false" customHeight="true" outlineLevel="0" collapsed="false">
      <c r="A63" s="6" t="s">
        <v>511</v>
      </c>
      <c r="B63" s="6" t="s">
        <v>4</v>
      </c>
      <c r="C63" s="7" t="n">
        <v>1270</v>
      </c>
      <c r="D63" s="7" t="n">
        <v>100</v>
      </c>
      <c r="E63" s="7" t="n">
        <v>87.4</v>
      </c>
    </row>
    <row r="64" customFormat="false" ht="15" hidden="false" customHeight="true" outlineLevel="0" collapsed="false">
      <c r="A64" s="8" t="s">
        <v>512</v>
      </c>
      <c r="B64" s="8" t="s">
        <v>6</v>
      </c>
      <c r="C64" s="9" t="n">
        <v>1253</v>
      </c>
      <c r="D64" s="9" t="n">
        <v>97</v>
      </c>
      <c r="E64" s="9" t="n">
        <v>87.4</v>
      </c>
    </row>
    <row r="65" customFormat="false" ht="15" hidden="false" customHeight="true" outlineLevel="0" collapsed="false">
      <c r="A65" s="6" t="s">
        <v>513</v>
      </c>
      <c r="B65" s="6" t="s">
        <v>8</v>
      </c>
      <c r="C65" s="7" t="n">
        <v>2125</v>
      </c>
      <c r="D65" s="7" t="n">
        <v>70</v>
      </c>
      <c r="E65" s="7" t="n">
        <v>87.4</v>
      </c>
    </row>
    <row r="66" customFormat="false" ht="15" hidden="false" customHeight="true" outlineLevel="0" collapsed="false">
      <c r="A66" s="8" t="s">
        <v>513</v>
      </c>
      <c r="B66" s="8" t="s">
        <v>9</v>
      </c>
      <c r="C66" s="9" t="n">
        <v>2033</v>
      </c>
      <c r="D66" s="9" t="n">
        <v>86</v>
      </c>
      <c r="E66" s="9" t="n">
        <v>87.4</v>
      </c>
    </row>
    <row r="67" customFormat="false" ht="15" hidden="false" customHeight="true" outlineLevel="0" collapsed="false">
      <c r="A67" s="6" t="s">
        <v>513</v>
      </c>
      <c r="B67" s="6" t="s">
        <v>7</v>
      </c>
      <c r="C67" s="7" t="n">
        <v>2000</v>
      </c>
      <c r="D67" s="7" t="n">
        <v>75</v>
      </c>
      <c r="E67" s="7" t="n">
        <v>87.4</v>
      </c>
    </row>
    <row r="68" customFormat="false" ht="15" hidden="false" customHeight="true" outlineLevel="0" collapsed="false">
      <c r="A68" s="8" t="s">
        <v>409</v>
      </c>
      <c r="B68" s="8" t="s">
        <v>5</v>
      </c>
      <c r="C68" s="9"/>
      <c r="D68" s="9" t="n">
        <v>87.6</v>
      </c>
      <c r="E68" s="9" t="n">
        <v>87.6</v>
      </c>
    </row>
    <row r="69" customFormat="false" ht="15" hidden="false" customHeight="true" outlineLevel="0" collapsed="false">
      <c r="A69" s="6" t="s">
        <v>514</v>
      </c>
      <c r="B69" s="6" t="s">
        <v>4</v>
      </c>
      <c r="C69" s="7" t="n">
        <v>1261</v>
      </c>
      <c r="D69" s="7" t="n">
        <v>100</v>
      </c>
      <c r="E69" s="7" t="n">
        <v>87.6</v>
      </c>
    </row>
    <row r="70" customFormat="false" ht="15" hidden="false" customHeight="true" outlineLevel="0" collapsed="false">
      <c r="A70" s="8" t="s">
        <v>515</v>
      </c>
      <c r="B70" s="8" t="s">
        <v>6</v>
      </c>
      <c r="C70" s="9" t="n">
        <v>1231</v>
      </c>
      <c r="D70" s="9" t="n">
        <v>98</v>
      </c>
      <c r="E70" s="9" t="n">
        <v>87.6</v>
      </c>
    </row>
    <row r="71" customFormat="false" ht="15" hidden="false" customHeight="true" outlineLevel="0" collapsed="false">
      <c r="A71" s="6" t="s">
        <v>516</v>
      </c>
      <c r="B71" s="6" t="s">
        <v>7</v>
      </c>
      <c r="C71" s="7" t="n">
        <v>2011</v>
      </c>
      <c r="D71" s="7" t="n">
        <v>74</v>
      </c>
      <c r="E71" s="7" t="n">
        <v>87.6</v>
      </c>
    </row>
    <row r="72" customFormat="false" ht="15" hidden="false" customHeight="true" outlineLevel="0" collapsed="false">
      <c r="A72" s="8" t="s">
        <v>516</v>
      </c>
      <c r="B72" s="8" t="s">
        <v>8</v>
      </c>
      <c r="C72" s="9" t="n">
        <v>2128</v>
      </c>
      <c r="D72" s="9" t="n">
        <v>70</v>
      </c>
      <c r="E72" s="9" t="n">
        <v>87.6</v>
      </c>
    </row>
    <row r="73" customFormat="false" ht="15" hidden="false" customHeight="true" outlineLevel="0" collapsed="false">
      <c r="A73" s="6" t="s">
        <v>516</v>
      </c>
      <c r="B73" s="6" t="s">
        <v>9</v>
      </c>
      <c r="C73" s="7" t="n">
        <v>2043</v>
      </c>
      <c r="D73" s="7" t="n">
        <v>84</v>
      </c>
      <c r="E73" s="7" t="n">
        <v>87.6</v>
      </c>
    </row>
    <row r="74" customFormat="false" ht="15" hidden="false" customHeight="true" outlineLevel="0" collapsed="false">
      <c r="A74" s="8" t="s">
        <v>410</v>
      </c>
      <c r="B74" s="8" t="s">
        <v>6</v>
      </c>
      <c r="C74" s="9" t="n">
        <v>1197</v>
      </c>
      <c r="D74" s="9" t="n">
        <v>100</v>
      </c>
      <c r="E74" s="9" t="n">
        <v>87.6</v>
      </c>
    </row>
    <row r="75" customFormat="false" ht="15" hidden="false" customHeight="true" outlineLevel="0" collapsed="false">
      <c r="A75" s="6" t="s">
        <v>410</v>
      </c>
      <c r="B75" s="6" t="s">
        <v>4</v>
      </c>
      <c r="C75" s="7" t="n">
        <v>1264</v>
      </c>
      <c r="D75" s="7" t="n">
        <v>100</v>
      </c>
      <c r="E75" s="7" t="n">
        <v>87.6</v>
      </c>
    </row>
    <row r="76" customFormat="false" ht="15" hidden="false" customHeight="true" outlineLevel="0" collapsed="false">
      <c r="A76" s="8" t="s">
        <v>410</v>
      </c>
      <c r="B76" s="8" t="s">
        <v>5</v>
      </c>
      <c r="C76" s="9"/>
      <c r="D76" s="9" t="n">
        <v>87.6</v>
      </c>
      <c r="E76" s="9" t="n">
        <v>87.6</v>
      </c>
    </row>
    <row r="77" customFormat="false" ht="15" hidden="false" customHeight="true" outlineLevel="0" collapsed="false">
      <c r="A77" s="6" t="s">
        <v>517</v>
      </c>
      <c r="B77" s="6" t="s">
        <v>7</v>
      </c>
      <c r="C77" s="7" t="n">
        <v>2015</v>
      </c>
      <c r="D77" s="7" t="n">
        <v>73</v>
      </c>
      <c r="E77" s="7" t="n">
        <v>87.6</v>
      </c>
    </row>
    <row r="78" customFormat="false" ht="15" hidden="false" customHeight="true" outlineLevel="0" collapsed="false">
      <c r="A78" s="8" t="s">
        <v>518</v>
      </c>
      <c r="B78" s="8" t="s">
        <v>8</v>
      </c>
      <c r="C78" s="9" t="n">
        <v>2128</v>
      </c>
      <c r="D78" s="9" t="n">
        <v>70</v>
      </c>
      <c r="E78" s="9" t="n">
        <v>87.6</v>
      </c>
    </row>
    <row r="79" customFormat="false" ht="15" hidden="false" customHeight="true" outlineLevel="0" collapsed="false">
      <c r="A79" s="6" t="s">
        <v>518</v>
      </c>
      <c r="B79" s="6" t="s">
        <v>9</v>
      </c>
      <c r="C79" s="7" t="n">
        <v>2047</v>
      </c>
      <c r="D79" s="7" t="n">
        <v>84</v>
      </c>
      <c r="E79" s="7" t="n">
        <v>87.6</v>
      </c>
    </row>
    <row r="80" customFormat="false" ht="15" hidden="false" customHeight="true" outlineLevel="0" collapsed="false">
      <c r="A80" s="8" t="s">
        <v>411</v>
      </c>
      <c r="B80" s="8" t="s">
        <v>4</v>
      </c>
      <c r="C80" s="9" t="n">
        <v>1296</v>
      </c>
      <c r="D80" s="9" t="n">
        <v>100</v>
      </c>
      <c r="E80" s="9" t="n">
        <v>87.6</v>
      </c>
    </row>
    <row r="81" customFormat="false" ht="15" hidden="false" customHeight="true" outlineLevel="0" collapsed="false">
      <c r="A81" s="6" t="s">
        <v>411</v>
      </c>
      <c r="B81" s="6" t="s">
        <v>5</v>
      </c>
      <c r="C81" s="7"/>
      <c r="D81" s="7" t="n">
        <v>87.6</v>
      </c>
      <c r="E81" s="7" t="n">
        <v>87.6</v>
      </c>
    </row>
    <row r="82" customFormat="false" ht="15" hidden="false" customHeight="true" outlineLevel="0" collapsed="false">
      <c r="A82" s="8" t="s">
        <v>519</v>
      </c>
      <c r="B82" s="8" t="s">
        <v>6</v>
      </c>
      <c r="C82" s="9" t="n">
        <v>1197</v>
      </c>
      <c r="D82" s="9" t="n">
        <v>100</v>
      </c>
      <c r="E82" s="9" t="n">
        <v>87.6</v>
      </c>
    </row>
    <row r="83" customFormat="false" ht="15" hidden="false" customHeight="true" outlineLevel="0" collapsed="false">
      <c r="A83" s="6" t="s">
        <v>519</v>
      </c>
      <c r="B83" s="6" t="s">
        <v>7</v>
      </c>
      <c r="C83" s="7" t="n">
        <v>2014</v>
      </c>
      <c r="D83" s="7" t="n">
        <v>73</v>
      </c>
      <c r="E83" s="7" t="n">
        <v>87.6</v>
      </c>
    </row>
    <row r="84" customFormat="false" ht="15" hidden="false" customHeight="true" outlineLevel="0" collapsed="false">
      <c r="A84" s="8" t="s">
        <v>519</v>
      </c>
      <c r="B84" s="8" t="s">
        <v>8</v>
      </c>
      <c r="C84" s="9" t="n">
        <v>2133</v>
      </c>
      <c r="D84" s="9" t="n">
        <v>69</v>
      </c>
      <c r="E84" s="9" t="n">
        <v>87.6</v>
      </c>
    </row>
    <row r="85" customFormat="false" ht="15" hidden="false" customHeight="true" outlineLevel="0" collapsed="false">
      <c r="A85" s="6" t="s">
        <v>519</v>
      </c>
      <c r="B85" s="6" t="s">
        <v>9</v>
      </c>
      <c r="C85" s="7" t="n">
        <v>2057</v>
      </c>
      <c r="D85" s="7" t="n">
        <v>82</v>
      </c>
      <c r="E85" s="7" t="n">
        <v>87.6</v>
      </c>
    </row>
    <row r="86" customFormat="false" ht="15" hidden="false" customHeight="true" outlineLevel="0" collapsed="false">
      <c r="A86" s="8" t="s">
        <v>412</v>
      </c>
      <c r="B86" s="8" t="s">
        <v>5</v>
      </c>
      <c r="C86" s="9"/>
      <c r="D86" s="9" t="n">
        <v>87.6</v>
      </c>
      <c r="E86" s="9" t="n">
        <v>87.6</v>
      </c>
    </row>
    <row r="87" customFormat="false" ht="15" hidden="false" customHeight="true" outlineLevel="0" collapsed="false">
      <c r="A87" s="6" t="s">
        <v>520</v>
      </c>
      <c r="B87" s="6" t="s">
        <v>8</v>
      </c>
      <c r="C87" s="7" t="n">
        <v>2138</v>
      </c>
      <c r="D87" s="7" t="n">
        <v>68</v>
      </c>
      <c r="E87" s="7" t="n">
        <v>87.6</v>
      </c>
    </row>
    <row r="88" customFormat="false" ht="15" hidden="false" customHeight="true" outlineLevel="0" collapsed="false">
      <c r="A88" s="8" t="s">
        <v>520</v>
      </c>
      <c r="B88" s="8" t="s">
        <v>4</v>
      </c>
      <c r="C88" s="9" t="n">
        <v>1262</v>
      </c>
      <c r="D88" s="9" t="n">
        <v>100</v>
      </c>
      <c r="E88" s="9" t="n">
        <v>87.6</v>
      </c>
    </row>
    <row r="89" customFormat="false" ht="15" hidden="false" customHeight="true" outlineLevel="0" collapsed="false">
      <c r="A89" s="6" t="s">
        <v>520</v>
      </c>
      <c r="B89" s="6" t="s">
        <v>6</v>
      </c>
      <c r="C89" s="7" t="n">
        <v>1161</v>
      </c>
      <c r="D89" s="7" t="n">
        <v>100</v>
      </c>
      <c r="E89" s="7" t="n">
        <v>87.6</v>
      </c>
    </row>
    <row r="90" customFormat="false" ht="15" hidden="false" customHeight="true" outlineLevel="0" collapsed="false">
      <c r="A90" s="8" t="s">
        <v>520</v>
      </c>
      <c r="B90" s="8" t="s">
        <v>7</v>
      </c>
      <c r="C90" s="9" t="n">
        <v>2022</v>
      </c>
      <c r="D90" s="9" t="n">
        <v>73</v>
      </c>
      <c r="E90" s="9" t="n">
        <v>87.6</v>
      </c>
    </row>
    <row r="91" customFormat="false" ht="15" hidden="false" customHeight="true" outlineLevel="0" collapsed="false">
      <c r="A91" s="6" t="s">
        <v>521</v>
      </c>
      <c r="B91" s="6" t="s">
        <v>9</v>
      </c>
      <c r="C91" s="7" t="n">
        <v>2059</v>
      </c>
      <c r="D91" s="7" t="n">
        <v>81</v>
      </c>
      <c r="E91" s="7" t="n">
        <v>87.6</v>
      </c>
    </row>
    <row r="92" customFormat="false" ht="15" hidden="false" customHeight="true" outlineLevel="0" collapsed="false">
      <c r="A92" s="8" t="s">
        <v>413</v>
      </c>
      <c r="B92" s="8" t="s">
        <v>5</v>
      </c>
      <c r="C92" s="9"/>
      <c r="D92" s="9" t="n">
        <v>87.6</v>
      </c>
      <c r="E92" s="9" t="n">
        <v>87.6</v>
      </c>
    </row>
    <row r="93" customFormat="false" ht="15" hidden="false" customHeight="true" outlineLevel="0" collapsed="false">
      <c r="A93" s="6" t="s">
        <v>522</v>
      </c>
      <c r="B93" s="6" t="s">
        <v>6</v>
      </c>
      <c r="C93" s="7" t="n">
        <v>1200</v>
      </c>
      <c r="D93" s="7" t="n">
        <v>100</v>
      </c>
      <c r="E93" s="7" t="n">
        <v>87.6</v>
      </c>
    </row>
    <row r="94" customFormat="false" ht="15" hidden="false" customHeight="true" outlineLevel="0" collapsed="false">
      <c r="A94" s="8" t="s">
        <v>522</v>
      </c>
      <c r="B94" s="8" t="s">
        <v>7</v>
      </c>
      <c r="C94" s="9" t="n">
        <v>2027</v>
      </c>
      <c r="D94" s="9" t="n">
        <v>72</v>
      </c>
      <c r="E94" s="9" t="n">
        <v>87.6</v>
      </c>
    </row>
    <row r="95" customFormat="false" ht="15" hidden="false" customHeight="true" outlineLevel="0" collapsed="false">
      <c r="A95" s="6" t="s">
        <v>522</v>
      </c>
      <c r="B95" s="6" t="s">
        <v>4</v>
      </c>
      <c r="C95" s="7" t="n">
        <v>1275</v>
      </c>
      <c r="D95" s="7" t="n">
        <v>100</v>
      </c>
      <c r="E95" s="7" t="n">
        <v>87.6</v>
      </c>
    </row>
    <row r="96" customFormat="false" ht="15" hidden="false" customHeight="true" outlineLevel="0" collapsed="false">
      <c r="A96" s="8" t="s">
        <v>522</v>
      </c>
      <c r="B96" s="8" t="s">
        <v>8</v>
      </c>
      <c r="C96" s="9" t="n">
        <v>2143</v>
      </c>
      <c r="D96" s="9" t="n">
        <v>68</v>
      </c>
      <c r="E96" s="9" t="n">
        <v>87.6</v>
      </c>
    </row>
    <row r="97" customFormat="false" ht="15" hidden="false" customHeight="true" outlineLevel="0" collapsed="false">
      <c r="A97" s="6" t="s">
        <v>523</v>
      </c>
      <c r="B97" s="6" t="s">
        <v>9</v>
      </c>
      <c r="C97" s="7" t="n">
        <v>2063</v>
      </c>
      <c r="D97" s="7" t="n">
        <v>81</v>
      </c>
      <c r="E97" s="7" t="n">
        <v>87.6</v>
      </c>
    </row>
    <row r="98" customFormat="false" ht="15" hidden="false" customHeight="true" outlineLevel="0" collapsed="false">
      <c r="A98" s="8" t="s">
        <v>414</v>
      </c>
      <c r="B98" s="8" t="s">
        <v>5</v>
      </c>
      <c r="C98" s="9"/>
      <c r="D98" s="9" t="n">
        <v>87.6</v>
      </c>
      <c r="E98" s="9" t="n">
        <v>87.6</v>
      </c>
    </row>
    <row r="99" customFormat="false" ht="15" hidden="false" customHeight="true" outlineLevel="0" collapsed="false">
      <c r="A99" s="6" t="s">
        <v>524</v>
      </c>
      <c r="B99" s="6" t="s">
        <v>6</v>
      </c>
      <c r="C99" s="7" t="n">
        <v>1197</v>
      </c>
      <c r="D99" s="7" t="n">
        <v>100</v>
      </c>
      <c r="E99" s="7" t="n">
        <v>87.6</v>
      </c>
    </row>
    <row r="100" customFormat="false" ht="15" hidden="false" customHeight="true" outlineLevel="0" collapsed="false">
      <c r="A100" s="8" t="s">
        <v>524</v>
      </c>
      <c r="B100" s="8" t="s">
        <v>7</v>
      </c>
      <c r="C100" s="9" t="n">
        <v>2032</v>
      </c>
      <c r="D100" s="9" t="n">
        <v>72</v>
      </c>
      <c r="E100" s="9" t="n">
        <v>87.6</v>
      </c>
    </row>
    <row r="101" customFormat="false" ht="15" hidden="false" customHeight="true" outlineLevel="0" collapsed="false">
      <c r="A101" s="6" t="s">
        <v>524</v>
      </c>
      <c r="B101" s="6" t="s">
        <v>4</v>
      </c>
      <c r="C101" s="7" t="n">
        <v>1291</v>
      </c>
      <c r="D101" s="7" t="n">
        <v>100</v>
      </c>
      <c r="E101" s="7" t="n">
        <v>87.6</v>
      </c>
    </row>
    <row r="102" customFormat="false" ht="15" hidden="false" customHeight="true" outlineLevel="0" collapsed="false">
      <c r="A102" s="8" t="s">
        <v>525</v>
      </c>
      <c r="B102" s="8" t="s">
        <v>8</v>
      </c>
      <c r="C102" s="9" t="n">
        <v>2142</v>
      </c>
      <c r="D102" s="9" t="n">
        <v>68</v>
      </c>
      <c r="E102" s="9" t="n">
        <v>87.6</v>
      </c>
    </row>
    <row r="103" customFormat="false" ht="15" hidden="false" customHeight="true" outlineLevel="0" collapsed="false">
      <c r="A103" s="6" t="s">
        <v>525</v>
      </c>
      <c r="B103" s="6" t="s">
        <v>9</v>
      </c>
      <c r="C103" s="7" t="n">
        <v>2067</v>
      </c>
      <c r="D103" s="7" t="n">
        <v>80</v>
      </c>
      <c r="E103" s="7" t="n">
        <v>87.6</v>
      </c>
    </row>
    <row r="104" customFormat="false" ht="15" hidden="false" customHeight="true" outlineLevel="0" collapsed="false">
      <c r="A104" s="8" t="s">
        <v>415</v>
      </c>
      <c r="B104" s="8" t="s">
        <v>5</v>
      </c>
      <c r="C104" s="9"/>
      <c r="D104" s="9" t="n">
        <v>87.4</v>
      </c>
      <c r="E104" s="9" t="n">
        <v>87.4</v>
      </c>
    </row>
    <row r="105" customFormat="false" ht="15" hidden="false" customHeight="true" outlineLevel="0" collapsed="false">
      <c r="A105" s="6" t="s">
        <v>526</v>
      </c>
      <c r="B105" s="6" t="s">
        <v>4</v>
      </c>
      <c r="C105" s="7" t="n">
        <v>1278</v>
      </c>
      <c r="D105" s="7" t="n">
        <v>100</v>
      </c>
      <c r="E105" s="7" t="n">
        <v>87.4</v>
      </c>
    </row>
    <row r="106" customFormat="false" ht="15" hidden="false" customHeight="true" outlineLevel="0" collapsed="false">
      <c r="A106" s="8" t="s">
        <v>526</v>
      </c>
      <c r="B106" s="8" t="s">
        <v>6</v>
      </c>
      <c r="C106" s="9" t="n">
        <v>1200</v>
      </c>
      <c r="D106" s="9" t="n">
        <v>100</v>
      </c>
      <c r="E106" s="9" t="n">
        <v>87.4</v>
      </c>
    </row>
    <row r="107" customFormat="false" ht="15" hidden="false" customHeight="true" outlineLevel="0" collapsed="false">
      <c r="A107" s="6" t="s">
        <v>526</v>
      </c>
      <c r="B107" s="6" t="s">
        <v>7</v>
      </c>
      <c r="C107" s="7" t="n">
        <v>2033</v>
      </c>
      <c r="D107" s="7" t="n">
        <v>72</v>
      </c>
      <c r="E107" s="7" t="n">
        <v>87.4</v>
      </c>
    </row>
    <row r="108" customFormat="false" ht="15" hidden="false" customHeight="true" outlineLevel="0" collapsed="false">
      <c r="A108" s="8" t="s">
        <v>527</v>
      </c>
      <c r="B108" s="8" t="s">
        <v>9</v>
      </c>
      <c r="C108" s="9" t="n">
        <v>2073</v>
      </c>
      <c r="D108" s="9" t="n">
        <v>79</v>
      </c>
      <c r="E108" s="9" t="n">
        <v>87.4</v>
      </c>
    </row>
    <row r="109" customFormat="false" ht="15" hidden="false" customHeight="true" outlineLevel="0" collapsed="false">
      <c r="A109" s="6" t="s">
        <v>527</v>
      </c>
      <c r="B109" s="6" t="s">
        <v>8</v>
      </c>
      <c r="C109" s="7" t="n">
        <v>2143</v>
      </c>
      <c r="D109" s="7" t="n">
        <v>68</v>
      </c>
      <c r="E109" s="7" t="n">
        <v>87.4</v>
      </c>
    </row>
    <row r="110" customFormat="false" ht="15" hidden="false" customHeight="true" outlineLevel="0" collapsed="false">
      <c r="A110" s="8" t="s">
        <v>416</v>
      </c>
      <c r="B110" s="8" t="s">
        <v>6</v>
      </c>
      <c r="C110" s="9" t="n">
        <v>1200</v>
      </c>
      <c r="D110" s="9" t="n">
        <v>100</v>
      </c>
      <c r="E110" s="9" t="n">
        <v>87.6</v>
      </c>
    </row>
    <row r="111" customFormat="false" ht="15" hidden="false" customHeight="true" outlineLevel="0" collapsed="false">
      <c r="A111" s="6" t="s">
        <v>416</v>
      </c>
      <c r="B111" s="6" t="s">
        <v>7</v>
      </c>
      <c r="C111" s="7" t="n">
        <v>2037</v>
      </c>
      <c r="D111" s="7" t="n">
        <v>71</v>
      </c>
      <c r="E111" s="7" t="n">
        <v>87.6</v>
      </c>
    </row>
    <row r="112" customFormat="false" ht="15" hidden="false" customHeight="true" outlineLevel="0" collapsed="false">
      <c r="A112" s="8" t="s">
        <v>416</v>
      </c>
      <c r="B112" s="8" t="s">
        <v>4</v>
      </c>
      <c r="C112" s="9" t="n">
        <v>1285</v>
      </c>
      <c r="D112" s="9" t="n">
        <v>100</v>
      </c>
      <c r="E112" s="9" t="n">
        <v>87.6</v>
      </c>
    </row>
    <row r="113" customFormat="false" ht="15" hidden="false" customHeight="true" outlineLevel="0" collapsed="false">
      <c r="A113" s="6" t="s">
        <v>416</v>
      </c>
      <c r="B113" s="6" t="s">
        <v>8</v>
      </c>
      <c r="C113" s="7" t="n">
        <v>2143</v>
      </c>
      <c r="D113" s="7" t="n">
        <v>68</v>
      </c>
      <c r="E113" s="7" t="n">
        <v>87.6</v>
      </c>
    </row>
    <row r="114" customFormat="false" ht="15" hidden="false" customHeight="true" outlineLevel="0" collapsed="false">
      <c r="A114" s="8" t="s">
        <v>416</v>
      </c>
      <c r="B114" s="8" t="s">
        <v>5</v>
      </c>
      <c r="C114" s="9"/>
      <c r="D114" s="9" t="n">
        <v>87.6</v>
      </c>
      <c r="E114" s="9" t="n">
        <v>87.6</v>
      </c>
    </row>
    <row r="115" customFormat="false" ht="15" hidden="false" customHeight="true" outlineLevel="0" collapsed="false">
      <c r="A115" s="6" t="s">
        <v>528</v>
      </c>
      <c r="B115" s="6" t="s">
        <v>9</v>
      </c>
      <c r="C115" s="7" t="n">
        <v>2077</v>
      </c>
      <c r="D115" s="7" t="n">
        <v>78</v>
      </c>
      <c r="E115" s="7" t="n">
        <v>87.6</v>
      </c>
    </row>
    <row r="116" customFormat="false" ht="15" hidden="false" customHeight="true" outlineLevel="0" collapsed="false">
      <c r="A116" s="8" t="s">
        <v>417</v>
      </c>
      <c r="B116" s="8" t="s">
        <v>5</v>
      </c>
      <c r="C116" s="9"/>
      <c r="D116" s="9" t="n">
        <v>87.4</v>
      </c>
      <c r="E116" s="9" t="n">
        <v>87.4</v>
      </c>
    </row>
    <row r="117" customFormat="false" ht="15" hidden="false" customHeight="true" outlineLevel="0" collapsed="false">
      <c r="A117" s="6" t="s">
        <v>417</v>
      </c>
      <c r="B117" s="6" t="s">
        <v>4</v>
      </c>
      <c r="C117" s="7" t="n">
        <v>1281</v>
      </c>
      <c r="D117" s="7" t="n">
        <v>100</v>
      </c>
      <c r="E117" s="7" t="n">
        <v>87.4</v>
      </c>
    </row>
    <row r="118" customFormat="false" ht="15" hidden="false" customHeight="true" outlineLevel="0" collapsed="false">
      <c r="A118" s="8" t="s">
        <v>417</v>
      </c>
      <c r="B118" s="8" t="s">
        <v>8</v>
      </c>
      <c r="C118" s="9" t="n">
        <v>2145</v>
      </c>
      <c r="D118" s="9" t="n">
        <v>68</v>
      </c>
      <c r="E118" s="9" t="n">
        <v>87.4</v>
      </c>
    </row>
    <row r="119" customFormat="false" ht="15" hidden="false" customHeight="true" outlineLevel="0" collapsed="false">
      <c r="A119" s="6" t="s">
        <v>417</v>
      </c>
      <c r="B119" s="6" t="s">
        <v>6</v>
      </c>
      <c r="C119" s="7" t="n">
        <v>1197</v>
      </c>
      <c r="D119" s="7" t="n">
        <v>100</v>
      </c>
      <c r="E119" s="7" t="n">
        <v>87.4</v>
      </c>
    </row>
    <row r="120" customFormat="false" ht="15" hidden="false" customHeight="true" outlineLevel="0" collapsed="false">
      <c r="A120" s="8" t="s">
        <v>417</v>
      </c>
      <c r="B120" s="8" t="s">
        <v>7</v>
      </c>
      <c r="C120" s="9" t="n">
        <v>2042</v>
      </c>
      <c r="D120" s="9" t="n">
        <v>71</v>
      </c>
      <c r="E120" s="9" t="n">
        <v>87.4</v>
      </c>
    </row>
    <row r="121" customFormat="false" ht="15" hidden="false" customHeight="true" outlineLevel="0" collapsed="false">
      <c r="A121" s="6" t="s">
        <v>529</v>
      </c>
      <c r="B121" s="6" t="s">
        <v>9</v>
      </c>
      <c r="C121" s="7" t="n">
        <v>2078</v>
      </c>
      <c r="D121" s="7" t="n">
        <v>78</v>
      </c>
      <c r="E121" s="7" t="n">
        <v>87.4</v>
      </c>
    </row>
    <row r="122" customFormat="false" ht="15" hidden="false" customHeight="true" outlineLevel="0" collapsed="false">
      <c r="A122" s="8" t="s">
        <v>418</v>
      </c>
      <c r="B122" s="8" t="s">
        <v>6</v>
      </c>
      <c r="C122" s="9" t="n">
        <v>1153</v>
      </c>
      <c r="D122" s="9" t="n">
        <v>100</v>
      </c>
      <c r="E122" s="9" t="n">
        <v>87.6</v>
      </c>
    </row>
    <row r="123" customFormat="false" ht="15" hidden="false" customHeight="true" outlineLevel="0" collapsed="false">
      <c r="A123" s="6" t="s">
        <v>418</v>
      </c>
      <c r="B123" s="6" t="s">
        <v>4</v>
      </c>
      <c r="C123" s="7" t="n">
        <v>1281</v>
      </c>
      <c r="D123" s="7" t="n">
        <v>100</v>
      </c>
      <c r="E123" s="7" t="n">
        <v>87.6</v>
      </c>
    </row>
    <row r="124" customFormat="false" ht="15" hidden="false" customHeight="true" outlineLevel="0" collapsed="false">
      <c r="A124" s="8" t="s">
        <v>418</v>
      </c>
      <c r="B124" s="8" t="s">
        <v>5</v>
      </c>
      <c r="C124" s="9"/>
      <c r="D124" s="9" t="n">
        <v>87.6</v>
      </c>
      <c r="E124" s="9" t="n">
        <v>87.6</v>
      </c>
    </row>
    <row r="125" customFormat="false" ht="15" hidden="false" customHeight="true" outlineLevel="0" collapsed="false">
      <c r="A125" s="6" t="s">
        <v>530</v>
      </c>
      <c r="B125" s="6" t="s">
        <v>7</v>
      </c>
      <c r="C125" s="7" t="n">
        <v>2045</v>
      </c>
      <c r="D125" s="7" t="n">
        <v>70</v>
      </c>
      <c r="E125" s="7" t="n">
        <v>87.6</v>
      </c>
    </row>
    <row r="126" customFormat="false" ht="15" hidden="false" customHeight="true" outlineLevel="0" collapsed="false">
      <c r="A126" s="8" t="s">
        <v>530</v>
      </c>
      <c r="B126" s="8" t="s">
        <v>8</v>
      </c>
      <c r="C126" s="9" t="n">
        <v>2147</v>
      </c>
      <c r="D126" s="9" t="n">
        <v>67</v>
      </c>
      <c r="E126" s="9" t="n">
        <v>87.6</v>
      </c>
    </row>
    <row r="127" customFormat="false" ht="15" hidden="false" customHeight="true" outlineLevel="0" collapsed="false">
      <c r="A127" s="6" t="s">
        <v>530</v>
      </c>
      <c r="B127" s="6" t="s">
        <v>9</v>
      </c>
      <c r="C127" s="7" t="n">
        <v>2079</v>
      </c>
      <c r="D127" s="7" t="n">
        <v>78</v>
      </c>
      <c r="E127" s="7" t="n">
        <v>87.6</v>
      </c>
    </row>
    <row r="128" customFormat="false" ht="15" hidden="false" customHeight="true" outlineLevel="0" collapsed="false">
      <c r="A128" s="8" t="s">
        <v>419</v>
      </c>
      <c r="B128" s="8" t="s">
        <v>5</v>
      </c>
      <c r="C128" s="9"/>
      <c r="D128" s="9" t="n">
        <v>87.6</v>
      </c>
      <c r="E128" s="9" t="n">
        <v>87.6</v>
      </c>
    </row>
    <row r="129" customFormat="false" ht="15" hidden="false" customHeight="true" outlineLevel="0" collapsed="false">
      <c r="A129" s="6" t="s">
        <v>419</v>
      </c>
      <c r="B129" s="6" t="s">
        <v>4</v>
      </c>
      <c r="C129" s="7" t="n">
        <v>1287</v>
      </c>
      <c r="D129" s="7" t="n">
        <v>100</v>
      </c>
      <c r="E129" s="7" t="n">
        <v>87.6</v>
      </c>
    </row>
    <row r="130" customFormat="false" ht="15" hidden="false" customHeight="true" outlineLevel="0" collapsed="false">
      <c r="A130" s="8" t="s">
        <v>419</v>
      </c>
      <c r="B130" s="8" t="s">
        <v>6</v>
      </c>
      <c r="C130" s="9" t="n">
        <v>1198</v>
      </c>
      <c r="D130" s="9" t="n">
        <v>100</v>
      </c>
      <c r="E130" s="9" t="n">
        <v>87.6</v>
      </c>
    </row>
    <row r="131" customFormat="false" ht="15" hidden="false" customHeight="true" outlineLevel="0" collapsed="false">
      <c r="A131" s="6" t="s">
        <v>419</v>
      </c>
      <c r="B131" s="6" t="s">
        <v>7</v>
      </c>
      <c r="C131" s="7" t="n">
        <v>2047</v>
      </c>
      <c r="D131" s="7" t="n">
        <v>70</v>
      </c>
      <c r="E131" s="7" t="n">
        <v>87.6</v>
      </c>
    </row>
    <row r="132" customFormat="false" ht="15" hidden="false" customHeight="true" outlineLevel="0" collapsed="false">
      <c r="A132" s="8" t="s">
        <v>531</v>
      </c>
      <c r="B132" s="8" t="s">
        <v>8</v>
      </c>
      <c r="C132" s="9" t="n">
        <v>2154</v>
      </c>
      <c r="D132" s="9" t="n">
        <v>67</v>
      </c>
      <c r="E132" s="9" t="n">
        <v>87.6</v>
      </c>
    </row>
    <row r="133" customFormat="false" ht="15" hidden="false" customHeight="true" outlineLevel="0" collapsed="false">
      <c r="A133" s="6" t="s">
        <v>531</v>
      </c>
      <c r="B133" s="6" t="s">
        <v>9</v>
      </c>
      <c r="C133" s="7" t="n">
        <v>2083</v>
      </c>
      <c r="D133" s="7" t="n">
        <v>77</v>
      </c>
      <c r="E133" s="7" t="n">
        <v>87.6</v>
      </c>
    </row>
    <row r="134" customFormat="false" ht="15" hidden="false" customHeight="true" outlineLevel="0" collapsed="false">
      <c r="A134" s="8" t="s">
        <v>420</v>
      </c>
      <c r="B134" s="8" t="s">
        <v>6</v>
      </c>
      <c r="C134" s="9" t="n">
        <v>1190</v>
      </c>
      <c r="D134" s="9" t="n">
        <v>100</v>
      </c>
      <c r="E134" s="9" t="n">
        <v>87.4</v>
      </c>
    </row>
    <row r="135" customFormat="false" ht="15" hidden="false" customHeight="true" outlineLevel="0" collapsed="false">
      <c r="A135" s="6" t="s">
        <v>420</v>
      </c>
      <c r="B135" s="6" t="s">
        <v>4</v>
      </c>
      <c r="C135" s="7" t="n">
        <v>1264</v>
      </c>
      <c r="D135" s="7" t="n">
        <v>100</v>
      </c>
      <c r="E135" s="7" t="n">
        <v>87.4</v>
      </c>
    </row>
    <row r="136" customFormat="false" ht="15" hidden="false" customHeight="true" outlineLevel="0" collapsed="false">
      <c r="A136" s="8" t="s">
        <v>420</v>
      </c>
      <c r="B136" s="8" t="s">
        <v>5</v>
      </c>
      <c r="C136" s="9"/>
      <c r="D136" s="9" t="n">
        <v>87.4</v>
      </c>
      <c r="E136" s="9" t="n">
        <v>87.4</v>
      </c>
    </row>
    <row r="137" customFormat="false" ht="15" hidden="false" customHeight="true" outlineLevel="0" collapsed="false">
      <c r="A137" s="6" t="s">
        <v>532</v>
      </c>
      <c r="B137" s="6" t="s">
        <v>7</v>
      </c>
      <c r="C137" s="7" t="n">
        <v>2055</v>
      </c>
      <c r="D137" s="7" t="n">
        <v>69</v>
      </c>
      <c r="E137" s="7" t="n">
        <v>87.4</v>
      </c>
    </row>
    <row r="138" customFormat="false" ht="15" hidden="false" customHeight="true" outlineLevel="0" collapsed="false">
      <c r="A138" s="8" t="s">
        <v>532</v>
      </c>
      <c r="B138" s="8" t="s">
        <v>8</v>
      </c>
      <c r="C138" s="9" t="n">
        <v>2153</v>
      </c>
      <c r="D138" s="9" t="n">
        <v>67</v>
      </c>
      <c r="E138" s="9" t="n">
        <v>87.4</v>
      </c>
    </row>
    <row r="139" customFormat="false" ht="15" hidden="false" customHeight="true" outlineLevel="0" collapsed="false">
      <c r="A139" s="6" t="s">
        <v>532</v>
      </c>
      <c r="B139" s="6" t="s">
        <v>9</v>
      </c>
      <c r="C139" s="7" t="n">
        <v>2085</v>
      </c>
      <c r="D139" s="7" t="n">
        <v>77</v>
      </c>
      <c r="E139" s="7" t="n">
        <v>87.4</v>
      </c>
    </row>
    <row r="140" customFormat="false" ht="15" hidden="false" customHeight="true" outlineLevel="0" collapsed="false">
      <c r="A140" s="8" t="s">
        <v>421</v>
      </c>
      <c r="B140" s="8" t="s">
        <v>6</v>
      </c>
      <c r="C140" s="9" t="n">
        <v>1201</v>
      </c>
      <c r="D140" s="9" t="n">
        <v>100</v>
      </c>
      <c r="E140" s="9" t="n">
        <v>87.6</v>
      </c>
    </row>
    <row r="141" customFormat="false" ht="15" hidden="false" customHeight="true" outlineLevel="0" collapsed="false">
      <c r="A141" s="6" t="s">
        <v>421</v>
      </c>
      <c r="B141" s="6" t="s">
        <v>7</v>
      </c>
      <c r="C141" s="7" t="n">
        <v>2057</v>
      </c>
      <c r="D141" s="7" t="n">
        <v>69</v>
      </c>
      <c r="E141" s="7" t="n">
        <v>87.6</v>
      </c>
    </row>
    <row r="142" customFormat="false" ht="15" hidden="false" customHeight="true" outlineLevel="0" collapsed="false">
      <c r="A142" s="8" t="s">
        <v>421</v>
      </c>
      <c r="B142" s="8" t="s">
        <v>4</v>
      </c>
      <c r="C142" s="9" t="n">
        <v>1284</v>
      </c>
      <c r="D142" s="9" t="n">
        <v>100</v>
      </c>
      <c r="E142" s="9" t="n">
        <v>87.6</v>
      </c>
    </row>
    <row r="143" customFormat="false" ht="15" hidden="false" customHeight="true" outlineLevel="0" collapsed="false">
      <c r="A143" s="6" t="s">
        <v>421</v>
      </c>
      <c r="B143" s="6" t="s">
        <v>5</v>
      </c>
      <c r="C143" s="7"/>
      <c r="D143" s="7" t="n">
        <v>87.6</v>
      </c>
      <c r="E143" s="7" t="n">
        <v>87.6</v>
      </c>
    </row>
    <row r="144" customFormat="false" ht="15" hidden="false" customHeight="true" outlineLevel="0" collapsed="false">
      <c r="A144" s="8" t="s">
        <v>533</v>
      </c>
      <c r="B144" s="8" t="s">
        <v>9</v>
      </c>
      <c r="C144" s="9" t="n">
        <v>2089</v>
      </c>
      <c r="D144" s="9" t="n">
        <v>76</v>
      </c>
      <c r="E144" s="9" t="n">
        <v>87.6</v>
      </c>
    </row>
    <row r="145" customFormat="false" ht="15" hidden="false" customHeight="true" outlineLevel="0" collapsed="false">
      <c r="A145" s="6" t="s">
        <v>533</v>
      </c>
      <c r="B145" s="6" t="s">
        <v>8</v>
      </c>
      <c r="C145" s="7" t="n">
        <v>2155</v>
      </c>
      <c r="D145" s="7" t="n">
        <v>66</v>
      </c>
      <c r="E145" s="7" t="n">
        <v>87.6</v>
      </c>
    </row>
    <row r="146" customFormat="false" ht="15" hidden="false" customHeight="true" outlineLevel="0" collapsed="false">
      <c r="A146" s="8" t="s">
        <v>422</v>
      </c>
      <c r="B146" s="8" t="s">
        <v>4</v>
      </c>
      <c r="C146" s="9" t="n">
        <v>1264</v>
      </c>
      <c r="D146" s="9" t="n">
        <v>100</v>
      </c>
      <c r="E146" s="9" t="n">
        <v>87.6</v>
      </c>
    </row>
    <row r="147" customFormat="false" ht="15" hidden="false" customHeight="true" outlineLevel="0" collapsed="false">
      <c r="A147" s="6" t="s">
        <v>422</v>
      </c>
      <c r="B147" s="6" t="s">
        <v>5</v>
      </c>
      <c r="C147" s="7"/>
      <c r="D147" s="7" t="n">
        <v>87.6</v>
      </c>
      <c r="E147" s="7" t="n">
        <v>87.6</v>
      </c>
    </row>
    <row r="148" customFormat="false" ht="15" hidden="false" customHeight="true" outlineLevel="0" collapsed="false">
      <c r="A148" s="8" t="s">
        <v>422</v>
      </c>
      <c r="B148" s="8" t="s">
        <v>6</v>
      </c>
      <c r="C148" s="9" t="n">
        <v>1189</v>
      </c>
      <c r="D148" s="9" t="n">
        <v>100</v>
      </c>
      <c r="E148" s="9" t="n">
        <v>87.6</v>
      </c>
    </row>
    <row r="149" customFormat="false" ht="15" hidden="false" customHeight="true" outlineLevel="0" collapsed="false">
      <c r="A149" s="6" t="s">
        <v>422</v>
      </c>
      <c r="B149" s="6" t="s">
        <v>7</v>
      </c>
      <c r="C149" s="7" t="n">
        <v>2064</v>
      </c>
      <c r="D149" s="7" t="n">
        <v>69</v>
      </c>
      <c r="E149" s="7" t="n">
        <v>87.6</v>
      </c>
    </row>
    <row r="150" customFormat="false" ht="15" hidden="false" customHeight="true" outlineLevel="0" collapsed="false">
      <c r="A150" s="8" t="s">
        <v>534</v>
      </c>
      <c r="B150" s="8" t="s">
        <v>9</v>
      </c>
      <c r="C150" s="9" t="n">
        <v>2096</v>
      </c>
      <c r="D150" s="9" t="n">
        <v>75</v>
      </c>
      <c r="E150" s="9" t="n">
        <v>87.6</v>
      </c>
    </row>
    <row r="151" customFormat="false" ht="15" hidden="false" customHeight="true" outlineLevel="0" collapsed="false">
      <c r="A151" s="6" t="s">
        <v>534</v>
      </c>
      <c r="B151" s="6" t="s">
        <v>8</v>
      </c>
      <c r="C151" s="7" t="n">
        <v>2154</v>
      </c>
      <c r="D151" s="7" t="n">
        <v>67</v>
      </c>
      <c r="E151" s="7" t="n">
        <v>87.6</v>
      </c>
    </row>
    <row r="152" customFormat="false" ht="15" hidden="false" customHeight="true" outlineLevel="0" collapsed="false">
      <c r="A152" s="8" t="s">
        <v>423</v>
      </c>
      <c r="B152" s="8" t="s">
        <v>6</v>
      </c>
      <c r="C152" s="9" t="n">
        <v>1198</v>
      </c>
      <c r="D152" s="9" t="n">
        <v>100</v>
      </c>
      <c r="E152" s="9" t="n">
        <v>87.4</v>
      </c>
    </row>
    <row r="153" customFormat="false" ht="15" hidden="false" customHeight="true" outlineLevel="0" collapsed="false">
      <c r="A153" s="6" t="s">
        <v>423</v>
      </c>
      <c r="B153" s="6" t="s">
        <v>4</v>
      </c>
      <c r="C153" s="7" t="n">
        <v>1275</v>
      </c>
      <c r="D153" s="7" t="n">
        <v>100</v>
      </c>
      <c r="E153" s="7" t="n">
        <v>87.4</v>
      </c>
    </row>
    <row r="154" customFormat="false" ht="15" hidden="false" customHeight="true" outlineLevel="0" collapsed="false">
      <c r="A154" s="8" t="s">
        <v>423</v>
      </c>
      <c r="B154" s="8" t="s">
        <v>5</v>
      </c>
      <c r="C154" s="9"/>
      <c r="D154" s="9" t="n">
        <v>87.4</v>
      </c>
      <c r="E154" s="9" t="n">
        <v>87.4</v>
      </c>
    </row>
    <row r="155" customFormat="false" ht="15" hidden="false" customHeight="true" outlineLevel="0" collapsed="false">
      <c r="A155" s="6" t="s">
        <v>535</v>
      </c>
      <c r="B155" s="6" t="s">
        <v>7</v>
      </c>
      <c r="C155" s="7" t="n">
        <v>2066</v>
      </c>
      <c r="D155" s="7" t="n">
        <v>68</v>
      </c>
      <c r="E155" s="7" t="n">
        <v>87.4</v>
      </c>
    </row>
    <row r="156" customFormat="false" ht="15" hidden="false" customHeight="true" outlineLevel="0" collapsed="false">
      <c r="A156" s="8" t="s">
        <v>535</v>
      </c>
      <c r="B156" s="8" t="s">
        <v>8</v>
      </c>
      <c r="C156" s="9" t="n">
        <v>2157</v>
      </c>
      <c r="D156" s="9" t="n">
        <v>66</v>
      </c>
      <c r="E156" s="9" t="n">
        <v>87.4</v>
      </c>
    </row>
    <row r="157" customFormat="false" ht="15" hidden="false" customHeight="true" outlineLevel="0" collapsed="false">
      <c r="A157" s="6" t="s">
        <v>535</v>
      </c>
      <c r="B157" s="6" t="s">
        <v>9</v>
      </c>
      <c r="C157" s="7" t="n">
        <v>2095</v>
      </c>
      <c r="D157" s="7" t="n">
        <v>75</v>
      </c>
      <c r="E157" s="7" t="n">
        <v>87.4</v>
      </c>
    </row>
    <row r="158" customFormat="false" ht="15" hidden="false" customHeight="true" outlineLevel="0" collapsed="false">
      <c r="A158" s="8" t="s">
        <v>424</v>
      </c>
      <c r="B158" s="8" t="s">
        <v>6</v>
      </c>
      <c r="C158" s="9" t="n">
        <v>1174</v>
      </c>
      <c r="D158" s="9" t="n">
        <v>100</v>
      </c>
      <c r="E158" s="9" t="n">
        <v>87.4</v>
      </c>
    </row>
    <row r="159" customFormat="false" ht="15" hidden="false" customHeight="true" outlineLevel="0" collapsed="false">
      <c r="A159" s="6" t="s">
        <v>424</v>
      </c>
      <c r="B159" s="6" t="s">
        <v>4</v>
      </c>
      <c r="C159" s="7" t="n">
        <v>1281</v>
      </c>
      <c r="D159" s="7" t="n">
        <v>100</v>
      </c>
      <c r="E159" s="7" t="n">
        <v>87.4</v>
      </c>
    </row>
    <row r="160" customFormat="false" ht="15" hidden="false" customHeight="true" outlineLevel="0" collapsed="false">
      <c r="A160" s="8" t="s">
        <v>424</v>
      </c>
      <c r="B160" s="8" t="s">
        <v>5</v>
      </c>
      <c r="C160" s="9"/>
      <c r="D160" s="9" t="n">
        <v>87.4</v>
      </c>
      <c r="E160" s="9" t="n">
        <v>87.4</v>
      </c>
    </row>
    <row r="161" customFormat="false" ht="15" hidden="false" customHeight="true" outlineLevel="0" collapsed="false">
      <c r="A161" s="6" t="s">
        <v>536</v>
      </c>
      <c r="B161" s="6" t="s">
        <v>9</v>
      </c>
      <c r="C161" s="7" t="n">
        <v>2097</v>
      </c>
      <c r="D161" s="7" t="n">
        <v>75</v>
      </c>
      <c r="E161" s="7" t="n">
        <v>87.4</v>
      </c>
    </row>
    <row r="162" customFormat="false" ht="15" hidden="false" customHeight="true" outlineLevel="0" collapsed="false">
      <c r="A162" s="8" t="s">
        <v>536</v>
      </c>
      <c r="B162" s="8" t="s">
        <v>8</v>
      </c>
      <c r="C162" s="9" t="n">
        <v>2153</v>
      </c>
      <c r="D162" s="9" t="n">
        <v>67</v>
      </c>
      <c r="E162" s="9" t="n">
        <v>87.4</v>
      </c>
    </row>
    <row r="163" customFormat="false" ht="15" hidden="false" customHeight="true" outlineLevel="0" collapsed="false">
      <c r="A163" s="6" t="s">
        <v>536</v>
      </c>
      <c r="B163" s="6" t="s">
        <v>7</v>
      </c>
      <c r="C163" s="7" t="n">
        <v>2066</v>
      </c>
      <c r="D163" s="7" t="n">
        <v>68</v>
      </c>
      <c r="E163" s="7" t="n">
        <v>87.4</v>
      </c>
    </row>
    <row r="164" customFormat="false" ht="15" hidden="false" customHeight="true" outlineLevel="0" collapsed="false">
      <c r="A164" s="8" t="s">
        <v>425</v>
      </c>
      <c r="B164" s="8" t="s">
        <v>6</v>
      </c>
      <c r="C164" s="9" t="n">
        <v>1182</v>
      </c>
      <c r="D164" s="9" t="n">
        <v>100</v>
      </c>
      <c r="E164" s="9" t="n">
        <v>87.4</v>
      </c>
    </row>
    <row r="165" customFormat="false" ht="15" hidden="false" customHeight="true" outlineLevel="0" collapsed="false">
      <c r="A165" s="6" t="s">
        <v>425</v>
      </c>
      <c r="B165" s="6" t="s">
        <v>4</v>
      </c>
      <c r="C165" s="7" t="n">
        <v>1264</v>
      </c>
      <c r="D165" s="7" t="n">
        <v>100</v>
      </c>
      <c r="E165" s="7" t="n">
        <v>87.4</v>
      </c>
    </row>
    <row r="166" customFormat="false" ht="15" hidden="false" customHeight="true" outlineLevel="0" collapsed="false">
      <c r="A166" s="8" t="s">
        <v>425</v>
      </c>
      <c r="B166" s="8" t="s">
        <v>5</v>
      </c>
      <c r="C166" s="9"/>
      <c r="D166" s="9" t="n">
        <v>87.4</v>
      </c>
      <c r="E166" s="9" t="n">
        <v>87.4</v>
      </c>
    </row>
    <row r="167" customFormat="false" ht="15" hidden="false" customHeight="true" outlineLevel="0" collapsed="false">
      <c r="A167" s="6" t="s">
        <v>537</v>
      </c>
      <c r="B167" s="6" t="s">
        <v>7</v>
      </c>
      <c r="C167" s="7" t="n">
        <v>2065</v>
      </c>
      <c r="D167" s="7" t="n">
        <v>68</v>
      </c>
      <c r="E167" s="7" t="n">
        <v>87.4</v>
      </c>
    </row>
    <row r="168" customFormat="false" ht="15" hidden="false" customHeight="true" outlineLevel="0" collapsed="false">
      <c r="A168" s="8" t="s">
        <v>537</v>
      </c>
      <c r="B168" s="8" t="s">
        <v>8</v>
      </c>
      <c r="C168" s="9" t="n">
        <v>2157</v>
      </c>
      <c r="D168" s="9" t="n">
        <v>66</v>
      </c>
      <c r="E168" s="9" t="n">
        <v>87.4</v>
      </c>
    </row>
    <row r="169" customFormat="false" ht="15" hidden="false" customHeight="true" outlineLevel="0" collapsed="false">
      <c r="A169" s="6" t="s">
        <v>537</v>
      </c>
      <c r="B169" s="6" t="s">
        <v>9</v>
      </c>
      <c r="C169" s="7" t="n">
        <v>2096</v>
      </c>
      <c r="D169" s="7" t="n">
        <v>75</v>
      </c>
      <c r="E169" s="7" t="n">
        <v>87.4</v>
      </c>
    </row>
    <row r="170" customFormat="false" ht="15" hidden="false" customHeight="true" outlineLevel="0" collapsed="false">
      <c r="A170" s="8" t="s">
        <v>426</v>
      </c>
      <c r="B170" s="8" t="s">
        <v>5</v>
      </c>
      <c r="C170" s="9"/>
      <c r="D170" s="9" t="n">
        <v>87.6</v>
      </c>
      <c r="E170" s="9" t="n">
        <v>87.6</v>
      </c>
    </row>
    <row r="171" customFormat="false" ht="15" hidden="false" customHeight="true" outlineLevel="0" collapsed="false">
      <c r="A171" s="6" t="s">
        <v>538</v>
      </c>
      <c r="B171" s="6" t="s">
        <v>4</v>
      </c>
      <c r="C171" s="7" t="n">
        <v>1238</v>
      </c>
      <c r="D171" s="7" t="n">
        <v>100</v>
      </c>
      <c r="E171" s="7" t="n">
        <v>87.6</v>
      </c>
    </row>
    <row r="172" customFormat="false" ht="15" hidden="false" customHeight="true" outlineLevel="0" collapsed="false">
      <c r="A172" s="8" t="s">
        <v>539</v>
      </c>
      <c r="B172" s="8" t="s">
        <v>9</v>
      </c>
      <c r="C172" s="9" t="n">
        <v>2103</v>
      </c>
      <c r="D172" s="9" t="n">
        <v>74</v>
      </c>
      <c r="E172" s="9" t="n">
        <v>87.6</v>
      </c>
    </row>
    <row r="173" customFormat="false" ht="15" hidden="false" customHeight="true" outlineLevel="0" collapsed="false">
      <c r="A173" s="6" t="s">
        <v>539</v>
      </c>
      <c r="B173" s="6" t="s">
        <v>8</v>
      </c>
      <c r="C173" s="7" t="n">
        <v>2159</v>
      </c>
      <c r="D173" s="7" t="n">
        <v>66</v>
      </c>
      <c r="E173" s="7" t="n">
        <v>87.6</v>
      </c>
    </row>
    <row r="174" customFormat="false" ht="15" hidden="false" customHeight="true" outlineLevel="0" collapsed="false">
      <c r="A174" s="8" t="s">
        <v>539</v>
      </c>
      <c r="B174" s="8" t="s">
        <v>6</v>
      </c>
      <c r="C174" s="9" t="n">
        <v>1273</v>
      </c>
      <c r="D174" s="9" t="n">
        <v>96</v>
      </c>
      <c r="E174" s="9" t="n">
        <v>87.6</v>
      </c>
    </row>
    <row r="175" customFormat="false" ht="15" hidden="false" customHeight="true" outlineLevel="0" collapsed="false">
      <c r="A175" s="6" t="s">
        <v>539</v>
      </c>
      <c r="B175" s="6" t="s">
        <v>7</v>
      </c>
      <c r="C175" s="7" t="n">
        <v>2066</v>
      </c>
      <c r="D175" s="7" t="n">
        <v>68</v>
      </c>
      <c r="E175" s="7" t="n">
        <v>87.6</v>
      </c>
    </row>
    <row r="176" customFormat="false" ht="15" hidden="false" customHeight="true" outlineLevel="0" collapsed="false">
      <c r="A176" s="8" t="s">
        <v>427</v>
      </c>
      <c r="B176" s="8" t="s">
        <v>5</v>
      </c>
      <c r="C176" s="9"/>
      <c r="D176" s="9" t="n">
        <v>87.6</v>
      </c>
      <c r="E176" s="9" t="n">
        <v>87.6</v>
      </c>
    </row>
    <row r="177" customFormat="false" ht="15" hidden="false" customHeight="true" outlineLevel="0" collapsed="false">
      <c r="A177" s="6" t="s">
        <v>540</v>
      </c>
      <c r="B177" s="6" t="s">
        <v>6</v>
      </c>
      <c r="C177" s="7" t="n">
        <v>1179</v>
      </c>
      <c r="D177" s="7" t="n">
        <v>100</v>
      </c>
      <c r="E177" s="7" t="n">
        <v>87.6</v>
      </c>
    </row>
    <row r="178" customFormat="false" ht="15" hidden="false" customHeight="true" outlineLevel="0" collapsed="false">
      <c r="A178" s="8" t="s">
        <v>540</v>
      </c>
      <c r="B178" s="8" t="s">
        <v>7</v>
      </c>
      <c r="C178" s="9" t="n">
        <v>2066</v>
      </c>
      <c r="D178" s="9" t="n">
        <v>68</v>
      </c>
      <c r="E178" s="9" t="n">
        <v>87.6</v>
      </c>
    </row>
    <row r="179" customFormat="false" ht="15" hidden="false" customHeight="true" outlineLevel="0" collapsed="false">
      <c r="A179" s="6" t="s">
        <v>540</v>
      </c>
      <c r="B179" s="6" t="s">
        <v>4</v>
      </c>
      <c r="C179" s="7" t="n">
        <v>1280</v>
      </c>
      <c r="D179" s="7" t="n">
        <v>100</v>
      </c>
      <c r="E179" s="7" t="n">
        <v>87.6</v>
      </c>
    </row>
    <row r="180" customFormat="false" ht="15" hidden="false" customHeight="true" outlineLevel="0" collapsed="false">
      <c r="A180" s="8" t="s">
        <v>541</v>
      </c>
      <c r="B180" s="8" t="s">
        <v>8</v>
      </c>
      <c r="C180" s="9" t="n">
        <v>2159</v>
      </c>
      <c r="D180" s="9" t="n">
        <v>66</v>
      </c>
      <c r="E180" s="9" t="n">
        <v>87.6</v>
      </c>
    </row>
    <row r="181" customFormat="false" ht="15" hidden="false" customHeight="true" outlineLevel="0" collapsed="false">
      <c r="A181" s="6" t="s">
        <v>541</v>
      </c>
      <c r="B181" s="6" t="s">
        <v>9</v>
      </c>
      <c r="C181" s="7" t="n">
        <v>2101</v>
      </c>
      <c r="D181" s="7" t="n">
        <v>74</v>
      </c>
      <c r="E181" s="7" t="n">
        <v>87.6</v>
      </c>
    </row>
    <row r="182" customFormat="false" ht="15" hidden="false" customHeight="true" outlineLevel="0" collapsed="false">
      <c r="A182" s="8" t="s">
        <v>428</v>
      </c>
      <c r="B182" s="8" t="s">
        <v>5</v>
      </c>
      <c r="C182" s="9"/>
      <c r="D182" s="9" t="n">
        <v>87.6</v>
      </c>
      <c r="E182" s="9" t="n">
        <v>87.6</v>
      </c>
    </row>
    <row r="183" customFormat="false" ht="15" hidden="false" customHeight="true" outlineLevel="0" collapsed="false">
      <c r="A183" s="6" t="s">
        <v>542</v>
      </c>
      <c r="B183" s="6" t="s">
        <v>6</v>
      </c>
      <c r="C183" s="7" t="n">
        <v>1198</v>
      </c>
      <c r="D183" s="7" t="n">
        <v>100</v>
      </c>
      <c r="E183" s="7" t="n">
        <v>87.6</v>
      </c>
    </row>
    <row r="184" customFormat="false" ht="15" hidden="false" customHeight="true" outlineLevel="0" collapsed="false">
      <c r="A184" s="8" t="s">
        <v>542</v>
      </c>
      <c r="B184" s="8" t="s">
        <v>7</v>
      </c>
      <c r="C184" s="9" t="n">
        <v>2070</v>
      </c>
      <c r="D184" s="9" t="n">
        <v>68</v>
      </c>
      <c r="E184" s="9" t="n">
        <v>87.6</v>
      </c>
    </row>
    <row r="185" customFormat="false" ht="15" hidden="false" customHeight="true" outlineLevel="0" collapsed="false">
      <c r="A185" s="6" t="s">
        <v>542</v>
      </c>
      <c r="B185" s="6" t="s">
        <v>4</v>
      </c>
      <c r="C185" s="7" t="n">
        <v>1250</v>
      </c>
      <c r="D185" s="7" t="n">
        <v>100</v>
      </c>
      <c r="E185" s="7" t="n">
        <v>87.6</v>
      </c>
    </row>
    <row r="186" customFormat="false" ht="15" hidden="false" customHeight="true" outlineLevel="0" collapsed="false">
      <c r="A186" s="8" t="s">
        <v>543</v>
      </c>
      <c r="B186" s="8" t="s">
        <v>8</v>
      </c>
      <c r="C186" s="9" t="n">
        <v>2160</v>
      </c>
      <c r="D186" s="9" t="n">
        <v>66</v>
      </c>
      <c r="E186" s="9" t="n">
        <v>87.6</v>
      </c>
    </row>
    <row r="187" customFormat="false" ht="15" hidden="false" customHeight="true" outlineLevel="0" collapsed="false">
      <c r="A187" s="6" t="s">
        <v>543</v>
      </c>
      <c r="B187" s="6" t="s">
        <v>9</v>
      </c>
      <c r="C187" s="7" t="n">
        <v>2101</v>
      </c>
      <c r="D187" s="7" t="n">
        <v>74</v>
      </c>
      <c r="E187" s="7" t="n">
        <v>87.6</v>
      </c>
    </row>
    <row r="188" customFormat="false" ht="15" hidden="false" customHeight="true" outlineLevel="0" collapsed="false">
      <c r="A188" s="8" t="s">
        <v>429</v>
      </c>
      <c r="B188" s="8" t="s">
        <v>5</v>
      </c>
      <c r="C188" s="9"/>
      <c r="D188" s="9" t="n">
        <v>87.4</v>
      </c>
      <c r="E188" s="9" t="n">
        <v>87.4</v>
      </c>
    </row>
    <row r="189" customFormat="false" ht="15" hidden="false" customHeight="true" outlineLevel="0" collapsed="false">
      <c r="A189" s="6" t="s">
        <v>544</v>
      </c>
      <c r="B189" s="6" t="s">
        <v>7</v>
      </c>
      <c r="C189" s="7" t="n">
        <v>2072</v>
      </c>
      <c r="D189" s="7" t="n">
        <v>68</v>
      </c>
      <c r="E189" s="7" t="n">
        <v>87.4</v>
      </c>
    </row>
    <row r="190" customFormat="false" ht="15" hidden="false" customHeight="true" outlineLevel="0" collapsed="false">
      <c r="A190" s="8" t="s">
        <v>544</v>
      </c>
      <c r="B190" s="8" t="s">
        <v>4</v>
      </c>
      <c r="C190" s="9" t="n">
        <v>1257</v>
      </c>
      <c r="D190" s="9" t="n">
        <v>100</v>
      </c>
      <c r="E190" s="9" t="n">
        <v>87.4</v>
      </c>
    </row>
    <row r="191" customFormat="false" ht="15" hidden="false" customHeight="true" outlineLevel="0" collapsed="false">
      <c r="A191" s="6" t="s">
        <v>544</v>
      </c>
      <c r="B191" s="6" t="s">
        <v>6</v>
      </c>
      <c r="C191" s="7" t="n">
        <v>1204</v>
      </c>
      <c r="D191" s="7" t="n">
        <v>100</v>
      </c>
      <c r="E191" s="7" t="n">
        <v>87.4</v>
      </c>
    </row>
    <row r="192" customFormat="false" ht="15" hidden="false" customHeight="true" outlineLevel="0" collapsed="false">
      <c r="A192" s="8" t="s">
        <v>545</v>
      </c>
      <c r="B192" s="8" t="s">
        <v>9</v>
      </c>
      <c r="C192" s="9" t="n">
        <v>2106</v>
      </c>
      <c r="D192" s="9" t="n">
        <v>73</v>
      </c>
      <c r="E192" s="9" t="n">
        <v>87.4</v>
      </c>
    </row>
    <row r="193" customFormat="false" ht="15" hidden="false" customHeight="true" outlineLevel="0" collapsed="false">
      <c r="A193" s="6" t="s">
        <v>545</v>
      </c>
      <c r="B193" s="6" t="s">
        <v>8</v>
      </c>
      <c r="C193" s="7" t="n">
        <v>2160</v>
      </c>
      <c r="D193" s="7" t="n">
        <v>66</v>
      </c>
      <c r="E193" s="7" t="n">
        <v>87.4</v>
      </c>
    </row>
    <row r="194" customFormat="false" ht="15" hidden="false" customHeight="true" outlineLevel="0" collapsed="false">
      <c r="A194" s="8" t="s">
        <v>430</v>
      </c>
      <c r="B194" s="8" t="s">
        <v>5</v>
      </c>
      <c r="C194" s="9"/>
      <c r="D194" s="9" t="n">
        <v>87.6</v>
      </c>
      <c r="E194" s="9" t="n">
        <v>87.6</v>
      </c>
    </row>
    <row r="195" customFormat="false" ht="15" hidden="false" customHeight="true" outlineLevel="0" collapsed="false">
      <c r="A195" s="6" t="s">
        <v>546</v>
      </c>
      <c r="B195" s="6" t="s">
        <v>6</v>
      </c>
      <c r="C195" s="7" t="n">
        <v>1194</v>
      </c>
      <c r="D195" s="7" t="n">
        <v>100</v>
      </c>
      <c r="E195" s="7" t="n">
        <v>87.6</v>
      </c>
    </row>
    <row r="196" customFormat="false" ht="15" hidden="false" customHeight="true" outlineLevel="0" collapsed="false">
      <c r="A196" s="8" t="s">
        <v>546</v>
      </c>
      <c r="B196" s="8" t="s">
        <v>4</v>
      </c>
      <c r="C196" s="9" t="n">
        <v>1292</v>
      </c>
      <c r="D196" s="9" t="n">
        <v>100</v>
      </c>
      <c r="E196" s="9" t="n">
        <v>87.6</v>
      </c>
    </row>
    <row r="197" customFormat="false" ht="15" hidden="false" customHeight="true" outlineLevel="0" collapsed="false">
      <c r="A197" s="6" t="s">
        <v>547</v>
      </c>
      <c r="B197" s="6" t="s">
        <v>7</v>
      </c>
      <c r="C197" s="7" t="n">
        <v>2075</v>
      </c>
      <c r="D197" s="7" t="n">
        <v>68</v>
      </c>
      <c r="E197" s="7" t="n">
        <v>87.6</v>
      </c>
    </row>
    <row r="198" customFormat="false" ht="15" hidden="false" customHeight="true" outlineLevel="0" collapsed="false">
      <c r="A198" s="8" t="s">
        <v>547</v>
      </c>
      <c r="B198" s="8" t="s">
        <v>8</v>
      </c>
      <c r="C198" s="9" t="n">
        <v>2160</v>
      </c>
      <c r="D198" s="9" t="n">
        <v>66</v>
      </c>
      <c r="E198" s="9" t="n">
        <v>87.6</v>
      </c>
    </row>
    <row r="199" customFormat="false" ht="15" hidden="false" customHeight="true" outlineLevel="0" collapsed="false">
      <c r="A199" s="6" t="s">
        <v>547</v>
      </c>
      <c r="B199" s="6" t="s">
        <v>9</v>
      </c>
      <c r="C199" s="7" t="n">
        <v>2107</v>
      </c>
      <c r="D199" s="7" t="n">
        <v>73</v>
      </c>
      <c r="E199" s="7" t="n">
        <v>87.6</v>
      </c>
    </row>
    <row r="200" customFormat="false" ht="15" hidden="false" customHeight="true" outlineLevel="0" collapsed="false">
      <c r="A200" s="8" t="s">
        <v>431</v>
      </c>
      <c r="B200" s="8" t="s">
        <v>5</v>
      </c>
      <c r="C200" s="9"/>
      <c r="D200" s="9" t="n">
        <v>87.6</v>
      </c>
      <c r="E200" s="9" t="n">
        <v>87.6</v>
      </c>
    </row>
    <row r="201" customFormat="false" ht="15" hidden="false" customHeight="true" outlineLevel="0" collapsed="false">
      <c r="A201" s="6" t="s">
        <v>548</v>
      </c>
      <c r="B201" s="6" t="s">
        <v>4</v>
      </c>
      <c r="C201" s="7" t="n">
        <v>1273</v>
      </c>
      <c r="D201" s="7" t="n">
        <v>100</v>
      </c>
      <c r="E201" s="7" t="n">
        <v>87.6</v>
      </c>
    </row>
    <row r="202" customFormat="false" ht="15" hidden="false" customHeight="true" outlineLevel="0" collapsed="false">
      <c r="A202" s="8" t="s">
        <v>548</v>
      </c>
      <c r="B202" s="8" t="s">
        <v>7</v>
      </c>
      <c r="C202" s="9" t="n">
        <v>2077</v>
      </c>
      <c r="D202" s="9" t="n">
        <v>67</v>
      </c>
      <c r="E202" s="9" t="n">
        <v>87.6</v>
      </c>
    </row>
    <row r="203" customFormat="false" ht="15" hidden="false" customHeight="true" outlineLevel="0" collapsed="false">
      <c r="A203" s="6" t="s">
        <v>548</v>
      </c>
      <c r="B203" s="6" t="s">
        <v>6</v>
      </c>
      <c r="C203" s="7" t="n">
        <v>1197</v>
      </c>
      <c r="D203" s="7" t="n">
        <v>100</v>
      </c>
      <c r="E203" s="7" t="n">
        <v>87.6</v>
      </c>
    </row>
    <row r="204" customFormat="false" ht="15" hidden="false" customHeight="true" outlineLevel="0" collapsed="false">
      <c r="A204" s="8" t="s">
        <v>549</v>
      </c>
      <c r="B204" s="8" t="s">
        <v>8</v>
      </c>
      <c r="C204" s="9" t="n">
        <v>2163</v>
      </c>
      <c r="D204" s="9" t="n">
        <v>65</v>
      </c>
      <c r="E204" s="9" t="n">
        <v>87.6</v>
      </c>
    </row>
    <row r="205" customFormat="false" ht="15" hidden="false" customHeight="true" outlineLevel="0" collapsed="false">
      <c r="A205" s="6" t="s">
        <v>549</v>
      </c>
      <c r="B205" s="6" t="s">
        <v>9</v>
      </c>
      <c r="C205" s="7" t="n">
        <v>2109</v>
      </c>
      <c r="D205" s="7" t="n">
        <v>73</v>
      </c>
      <c r="E205" s="7" t="n">
        <v>87.6</v>
      </c>
    </row>
    <row r="206" customFormat="false" ht="15" hidden="false" customHeight="true" outlineLevel="0" collapsed="false">
      <c r="A206" s="8" t="s">
        <v>432</v>
      </c>
      <c r="B206" s="8" t="s">
        <v>6</v>
      </c>
      <c r="C206" s="9" t="n">
        <v>1185</v>
      </c>
      <c r="D206" s="9" t="n">
        <v>100</v>
      </c>
      <c r="E206" s="9" t="n">
        <v>87.4</v>
      </c>
    </row>
    <row r="207" customFormat="false" ht="15" hidden="false" customHeight="true" outlineLevel="0" collapsed="false">
      <c r="A207" s="6" t="s">
        <v>432</v>
      </c>
      <c r="B207" s="6" t="s">
        <v>4</v>
      </c>
      <c r="C207" s="7" t="n">
        <v>1277</v>
      </c>
      <c r="D207" s="7" t="n">
        <v>100</v>
      </c>
      <c r="E207" s="7" t="n">
        <v>87.4</v>
      </c>
    </row>
    <row r="208" customFormat="false" ht="15" hidden="false" customHeight="true" outlineLevel="0" collapsed="false">
      <c r="A208" s="8" t="s">
        <v>432</v>
      </c>
      <c r="B208" s="8" t="s">
        <v>5</v>
      </c>
      <c r="C208" s="9"/>
      <c r="D208" s="9" t="n">
        <v>87.4</v>
      </c>
      <c r="E208" s="9" t="n">
        <v>87.4</v>
      </c>
    </row>
    <row r="209" customFormat="false" ht="15" hidden="false" customHeight="true" outlineLevel="0" collapsed="false">
      <c r="A209" s="6" t="s">
        <v>550</v>
      </c>
      <c r="B209" s="6" t="s">
        <v>7</v>
      </c>
      <c r="C209" s="7" t="n">
        <v>2078</v>
      </c>
      <c r="D209" s="7" t="n">
        <v>67</v>
      </c>
      <c r="E209" s="7" t="n">
        <v>87.4</v>
      </c>
    </row>
    <row r="210" customFormat="false" ht="15" hidden="false" customHeight="true" outlineLevel="0" collapsed="false">
      <c r="A210" s="8" t="s">
        <v>550</v>
      </c>
      <c r="B210" s="8" t="s">
        <v>8</v>
      </c>
      <c r="C210" s="9" t="n">
        <v>2165</v>
      </c>
      <c r="D210" s="9" t="n">
        <v>65</v>
      </c>
      <c r="E210" s="9" t="n">
        <v>87.4</v>
      </c>
    </row>
    <row r="211" customFormat="false" ht="15" hidden="false" customHeight="true" outlineLevel="0" collapsed="false">
      <c r="A211" s="6" t="s">
        <v>551</v>
      </c>
      <c r="B211" s="6" t="s">
        <v>9</v>
      </c>
      <c r="C211" s="7" t="n">
        <v>2113</v>
      </c>
      <c r="D211" s="7" t="n">
        <v>72</v>
      </c>
      <c r="E211" s="7" t="n">
        <v>87.4</v>
      </c>
    </row>
    <row r="212" customFormat="false" ht="15" hidden="false" customHeight="true" outlineLevel="0" collapsed="false">
      <c r="A212" s="8" t="s">
        <v>433</v>
      </c>
      <c r="B212" s="8" t="s">
        <v>5</v>
      </c>
      <c r="C212" s="9"/>
      <c r="D212" s="9" t="n">
        <v>87.4</v>
      </c>
      <c r="E212" s="9" t="n">
        <v>87.4</v>
      </c>
    </row>
    <row r="213" customFormat="false" ht="15" hidden="false" customHeight="true" outlineLevel="0" collapsed="false">
      <c r="A213" s="6" t="s">
        <v>433</v>
      </c>
      <c r="B213" s="6" t="s">
        <v>4</v>
      </c>
      <c r="C213" s="7" t="n">
        <v>1291</v>
      </c>
      <c r="D213" s="7" t="n">
        <v>100</v>
      </c>
      <c r="E213" s="7" t="n">
        <v>87.4</v>
      </c>
    </row>
    <row r="214" customFormat="false" ht="15" hidden="false" customHeight="true" outlineLevel="0" collapsed="false">
      <c r="A214" s="8" t="s">
        <v>552</v>
      </c>
      <c r="B214" s="8" t="s">
        <v>6</v>
      </c>
      <c r="C214" s="9" t="n">
        <v>1195</v>
      </c>
      <c r="D214" s="9" t="n">
        <v>100</v>
      </c>
      <c r="E214" s="9" t="n">
        <v>87.4</v>
      </c>
    </row>
    <row r="215" customFormat="false" ht="15" hidden="false" customHeight="true" outlineLevel="0" collapsed="false">
      <c r="A215" s="6" t="s">
        <v>552</v>
      </c>
      <c r="B215" s="6" t="s">
        <v>7</v>
      </c>
      <c r="C215" s="7" t="n">
        <v>2082</v>
      </c>
      <c r="D215" s="7" t="n">
        <v>67</v>
      </c>
      <c r="E215" s="7" t="n">
        <v>87.4</v>
      </c>
    </row>
    <row r="216" customFormat="false" ht="15" hidden="false" customHeight="true" outlineLevel="0" collapsed="false">
      <c r="A216" s="8" t="s">
        <v>552</v>
      </c>
      <c r="B216" s="8" t="s">
        <v>8</v>
      </c>
      <c r="C216" s="9" t="n">
        <v>2159</v>
      </c>
      <c r="D216" s="9" t="n">
        <v>66</v>
      </c>
      <c r="E216" s="9" t="n">
        <v>87.4</v>
      </c>
    </row>
    <row r="217" customFormat="false" ht="15" hidden="false" customHeight="true" outlineLevel="0" collapsed="false">
      <c r="A217" s="6" t="s">
        <v>553</v>
      </c>
      <c r="B217" s="6" t="s">
        <v>9</v>
      </c>
      <c r="C217" s="7" t="n">
        <v>2115</v>
      </c>
      <c r="D217" s="7" t="n">
        <v>72</v>
      </c>
      <c r="E217" s="7" t="n">
        <v>87.4</v>
      </c>
    </row>
    <row r="218" customFormat="false" ht="15" hidden="false" customHeight="true" outlineLevel="0" collapsed="false">
      <c r="A218" s="8" t="s">
        <v>434</v>
      </c>
      <c r="B218" s="8" t="s">
        <v>5</v>
      </c>
      <c r="C218" s="9"/>
      <c r="D218" s="9" t="n">
        <v>87.4</v>
      </c>
      <c r="E218" s="9" t="n">
        <v>87.4</v>
      </c>
    </row>
    <row r="219" customFormat="false" ht="15" hidden="false" customHeight="true" outlineLevel="0" collapsed="false">
      <c r="A219" s="6" t="s">
        <v>554</v>
      </c>
      <c r="B219" s="6" t="s">
        <v>6</v>
      </c>
      <c r="C219" s="7" t="n">
        <v>1195</v>
      </c>
      <c r="D219" s="7" t="n">
        <v>100</v>
      </c>
      <c r="E219" s="7" t="n">
        <v>87.4</v>
      </c>
    </row>
    <row r="220" customFormat="false" ht="15" hidden="false" customHeight="true" outlineLevel="0" collapsed="false">
      <c r="A220" s="8" t="s">
        <v>554</v>
      </c>
      <c r="B220" s="8" t="s">
        <v>4</v>
      </c>
      <c r="C220" s="9" t="n">
        <v>1309</v>
      </c>
      <c r="D220" s="9" t="n">
        <v>99</v>
      </c>
      <c r="E220" s="9" t="n">
        <v>87.4</v>
      </c>
    </row>
    <row r="221" customFormat="false" ht="15" hidden="false" customHeight="true" outlineLevel="0" collapsed="false">
      <c r="A221" s="6" t="s">
        <v>555</v>
      </c>
      <c r="B221" s="6" t="s">
        <v>8</v>
      </c>
      <c r="C221" s="7" t="n">
        <v>2166</v>
      </c>
      <c r="D221" s="7" t="n">
        <v>65</v>
      </c>
      <c r="E221" s="7" t="n">
        <v>87.4</v>
      </c>
    </row>
    <row r="222" customFormat="false" ht="15" hidden="false" customHeight="true" outlineLevel="0" collapsed="false">
      <c r="A222" s="8" t="s">
        <v>555</v>
      </c>
      <c r="B222" s="8" t="s">
        <v>9</v>
      </c>
      <c r="C222" s="9" t="n">
        <v>2112</v>
      </c>
      <c r="D222" s="9" t="n">
        <v>72</v>
      </c>
      <c r="E222" s="9" t="n">
        <v>87.4</v>
      </c>
    </row>
    <row r="223" customFormat="false" ht="15" hidden="false" customHeight="true" outlineLevel="0" collapsed="false">
      <c r="A223" s="6" t="s">
        <v>555</v>
      </c>
      <c r="B223" s="6" t="s">
        <v>7</v>
      </c>
      <c r="C223" s="7" t="n">
        <v>2083</v>
      </c>
      <c r="D223" s="7" t="n">
        <v>67</v>
      </c>
      <c r="E223" s="7" t="n">
        <v>87.4</v>
      </c>
    </row>
    <row r="224" customFormat="false" ht="15" hidden="false" customHeight="true" outlineLevel="0" collapsed="false">
      <c r="A224" s="8" t="s">
        <v>435</v>
      </c>
      <c r="B224" s="8" t="s">
        <v>4</v>
      </c>
      <c r="C224" s="9" t="n">
        <v>1270</v>
      </c>
      <c r="D224" s="9" t="n">
        <v>100</v>
      </c>
      <c r="E224" s="9" t="n">
        <v>87.4</v>
      </c>
    </row>
    <row r="225" customFormat="false" ht="15" hidden="false" customHeight="true" outlineLevel="0" collapsed="false">
      <c r="A225" s="6" t="s">
        <v>435</v>
      </c>
      <c r="B225" s="6" t="s">
        <v>5</v>
      </c>
      <c r="C225" s="7"/>
      <c r="D225" s="7" t="n">
        <v>87.4</v>
      </c>
      <c r="E225" s="7" t="n">
        <v>87.4</v>
      </c>
    </row>
    <row r="226" customFormat="false" ht="15" hidden="false" customHeight="true" outlineLevel="0" collapsed="false">
      <c r="A226" s="8" t="s">
        <v>556</v>
      </c>
      <c r="B226" s="8" t="s">
        <v>6</v>
      </c>
      <c r="C226" s="9" t="n">
        <v>1186</v>
      </c>
      <c r="D226" s="9" t="n">
        <v>100</v>
      </c>
      <c r="E226" s="9" t="n">
        <v>87.4</v>
      </c>
    </row>
    <row r="227" customFormat="false" ht="15" hidden="false" customHeight="true" outlineLevel="0" collapsed="false">
      <c r="A227" s="6" t="s">
        <v>556</v>
      </c>
      <c r="B227" s="6" t="s">
        <v>7</v>
      </c>
      <c r="C227" s="7" t="n">
        <v>2085</v>
      </c>
      <c r="D227" s="7" t="n">
        <v>67</v>
      </c>
      <c r="E227" s="7" t="n">
        <v>87.4</v>
      </c>
    </row>
    <row r="228" customFormat="false" ht="15" hidden="false" customHeight="true" outlineLevel="0" collapsed="false">
      <c r="A228" s="8" t="s">
        <v>557</v>
      </c>
      <c r="B228" s="8" t="s">
        <v>8</v>
      </c>
      <c r="C228" s="9" t="n">
        <v>2163</v>
      </c>
      <c r="D228" s="9" t="n">
        <v>65</v>
      </c>
      <c r="E228" s="9" t="n">
        <v>87.4</v>
      </c>
    </row>
    <row r="229" customFormat="false" ht="15" hidden="false" customHeight="true" outlineLevel="0" collapsed="false">
      <c r="A229" s="6" t="s">
        <v>557</v>
      </c>
      <c r="B229" s="6" t="s">
        <v>9</v>
      </c>
      <c r="C229" s="7" t="n">
        <v>2119</v>
      </c>
      <c r="D229" s="7" t="n">
        <v>71</v>
      </c>
      <c r="E229" s="7" t="n">
        <v>87.4</v>
      </c>
    </row>
    <row r="230" customFormat="false" ht="15" hidden="false" customHeight="true" outlineLevel="0" collapsed="false">
      <c r="A230" s="8" t="s">
        <v>436</v>
      </c>
      <c r="B230" s="8" t="s">
        <v>4</v>
      </c>
      <c r="C230" s="9" t="n">
        <v>1280</v>
      </c>
      <c r="D230" s="9" t="n">
        <v>100</v>
      </c>
      <c r="E230" s="9" t="n">
        <v>87.6</v>
      </c>
    </row>
    <row r="231" customFormat="false" ht="15" hidden="false" customHeight="true" outlineLevel="0" collapsed="false">
      <c r="A231" s="6" t="s">
        <v>436</v>
      </c>
      <c r="B231" s="6" t="s">
        <v>6</v>
      </c>
      <c r="C231" s="7" t="n">
        <v>1194</v>
      </c>
      <c r="D231" s="7" t="n">
        <v>100</v>
      </c>
      <c r="E231" s="7" t="n">
        <v>87.6</v>
      </c>
    </row>
    <row r="232" customFormat="false" ht="15" hidden="false" customHeight="true" outlineLevel="0" collapsed="false">
      <c r="A232" s="8" t="s">
        <v>436</v>
      </c>
      <c r="B232" s="8" t="s">
        <v>5</v>
      </c>
      <c r="C232" s="9"/>
      <c r="D232" s="9" t="n">
        <v>87.6</v>
      </c>
      <c r="E232" s="9" t="n">
        <v>87.6</v>
      </c>
    </row>
    <row r="233" customFormat="false" ht="15" hidden="false" customHeight="true" outlineLevel="0" collapsed="false">
      <c r="A233" s="6" t="s">
        <v>558</v>
      </c>
      <c r="B233" s="6" t="s">
        <v>8</v>
      </c>
      <c r="C233" s="7" t="n">
        <v>2164</v>
      </c>
      <c r="D233" s="7" t="n">
        <v>65</v>
      </c>
      <c r="E233" s="7" t="n">
        <v>87.6</v>
      </c>
    </row>
    <row r="234" customFormat="false" ht="15" hidden="false" customHeight="true" outlineLevel="0" collapsed="false">
      <c r="A234" s="8" t="s">
        <v>558</v>
      </c>
      <c r="B234" s="8" t="s">
        <v>7</v>
      </c>
      <c r="C234" s="9" t="n">
        <v>2086</v>
      </c>
      <c r="D234" s="9" t="n">
        <v>66</v>
      </c>
      <c r="E234" s="9" t="n">
        <v>87.6</v>
      </c>
    </row>
    <row r="235" customFormat="false" ht="15" hidden="false" customHeight="true" outlineLevel="0" collapsed="false">
      <c r="A235" s="6" t="s">
        <v>559</v>
      </c>
      <c r="B235" s="6" t="s">
        <v>9</v>
      </c>
      <c r="C235" s="7" t="n">
        <v>2112</v>
      </c>
      <c r="D235" s="7" t="n">
        <v>72</v>
      </c>
      <c r="E235" s="7" t="n">
        <v>87.6</v>
      </c>
    </row>
    <row r="236" customFormat="false" ht="15" hidden="false" customHeight="true" outlineLevel="0" collapsed="false">
      <c r="A236" s="8" t="s">
        <v>437</v>
      </c>
      <c r="B236" s="8" t="s">
        <v>5</v>
      </c>
      <c r="C236" s="9"/>
      <c r="D236" s="9" t="n">
        <v>87.6</v>
      </c>
      <c r="E236" s="9" t="n">
        <v>87.6</v>
      </c>
    </row>
    <row r="237" customFormat="false" ht="15" hidden="false" customHeight="true" outlineLevel="0" collapsed="false">
      <c r="A237" s="6" t="s">
        <v>560</v>
      </c>
      <c r="B237" s="6" t="s">
        <v>6</v>
      </c>
      <c r="C237" s="7" t="n">
        <v>1199</v>
      </c>
      <c r="D237" s="7" t="n">
        <v>100</v>
      </c>
      <c r="E237" s="7" t="n">
        <v>87.6</v>
      </c>
    </row>
    <row r="238" customFormat="false" ht="15" hidden="false" customHeight="true" outlineLevel="0" collapsed="false">
      <c r="A238" s="8" t="s">
        <v>560</v>
      </c>
      <c r="B238" s="8" t="s">
        <v>4</v>
      </c>
      <c r="C238" s="9" t="n">
        <v>1243</v>
      </c>
      <c r="D238" s="9" t="n">
        <v>100</v>
      </c>
      <c r="E238" s="9" t="n">
        <v>87.6</v>
      </c>
    </row>
    <row r="239" customFormat="false" ht="15" hidden="false" customHeight="true" outlineLevel="0" collapsed="false">
      <c r="A239" s="6" t="s">
        <v>561</v>
      </c>
      <c r="B239" s="6" t="s">
        <v>7</v>
      </c>
      <c r="C239" s="7" t="n">
        <v>2077</v>
      </c>
      <c r="D239" s="7" t="n">
        <v>67</v>
      </c>
      <c r="E239" s="7" t="n">
        <v>87.6</v>
      </c>
    </row>
    <row r="240" customFormat="false" ht="15" hidden="false" customHeight="true" outlineLevel="0" collapsed="false">
      <c r="A240" s="8" t="s">
        <v>561</v>
      </c>
      <c r="B240" s="8" t="s">
        <v>8</v>
      </c>
      <c r="C240" s="9" t="n">
        <v>2165</v>
      </c>
      <c r="D240" s="9" t="n">
        <v>65</v>
      </c>
      <c r="E240" s="9" t="n">
        <v>87.6</v>
      </c>
    </row>
    <row r="241" customFormat="false" ht="15" hidden="false" customHeight="true" outlineLevel="0" collapsed="false">
      <c r="A241" s="6" t="s">
        <v>562</v>
      </c>
      <c r="B241" s="6" t="s">
        <v>9</v>
      </c>
      <c r="C241" s="7" t="n">
        <v>2117</v>
      </c>
      <c r="D241" s="7" t="n">
        <v>71</v>
      </c>
      <c r="E241" s="7" t="n">
        <v>87.6</v>
      </c>
    </row>
    <row r="242" customFormat="false" ht="15" hidden="false" customHeight="true" outlineLevel="0" collapsed="false">
      <c r="A242" s="8" t="s">
        <v>438</v>
      </c>
      <c r="B242" s="8" t="s">
        <v>5</v>
      </c>
      <c r="C242" s="9"/>
      <c r="D242" s="9" t="n">
        <v>87.6</v>
      </c>
      <c r="E242" s="9" t="n">
        <v>87.6</v>
      </c>
    </row>
    <row r="243" customFormat="false" ht="15" hidden="false" customHeight="true" outlineLevel="0" collapsed="false">
      <c r="A243" s="6" t="s">
        <v>563</v>
      </c>
      <c r="B243" s="6" t="s">
        <v>4</v>
      </c>
      <c r="C243" s="7" t="n">
        <v>1258</v>
      </c>
      <c r="D243" s="7" t="n">
        <v>100</v>
      </c>
      <c r="E243" s="7" t="n">
        <v>87.6</v>
      </c>
    </row>
    <row r="244" customFormat="false" ht="15" hidden="false" customHeight="true" outlineLevel="0" collapsed="false">
      <c r="A244" s="8" t="s">
        <v>563</v>
      </c>
      <c r="B244" s="8" t="s">
        <v>6</v>
      </c>
      <c r="C244" s="9" t="n">
        <v>1191</v>
      </c>
      <c r="D244" s="9" t="n">
        <v>100</v>
      </c>
      <c r="E244" s="9" t="n">
        <v>87.6</v>
      </c>
    </row>
    <row r="245" customFormat="false" ht="15" hidden="false" customHeight="true" outlineLevel="0" collapsed="false">
      <c r="A245" s="6" t="s">
        <v>563</v>
      </c>
      <c r="B245" s="6" t="s">
        <v>7</v>
      </c>
      <c r="C245" s="7" t="n">
        <v>2091</v>
      </c>
      <c r="D245" s="7" t="n">
        <v>66</v>
      </c>
      <c r="E245" s="7" t="n">
        <v>87.6</v>
      </c>
    </row>
    <row r="246" customFormat="false" ht="15" hidden="false" customHeight="true" outlineLevel="0" collapsed="false">
      <c r="A246" s="8" t="s">
        <v>564</v>
      </c>
      <c r="B246" s="8" t="s">
        <v>8</v>
      </c>
      <c r="C246" s="9" t="n">
        <v>2166</v>
      </c>
      <c r="D246" s="9" t="n">
        <v>65</v>
      </c>
      <c r="E246" s="9" t="n">
        <v>87.6</v>
      </c>
    </row>
    <row r="247" customFormat="false" ht="15" hidden="false" customHeight="true" outlineLevel="0" collapsed="false">
      <c r="A247" s="6" t="s">
        <v>564</v>
      </c>
      <c r="B247" s="6" t="s">
        <v>9</v>
      </c>
      <c r="C247" s="7" t="n">
        <v>2118</v>
      </c>
      <c r="D247" s="7" t="n">
        <v>71</v>
      </c>
      <c r="E247" s="7" t="n">
        <v>87.6</v>
      </c>
    </row>
    <row r="248" customFormat="false" ht="15" hidden="false" customHeight="true" outlineLevel="0" collapsed="false">
      <c r="A248" s="8" t="s">
        <v>439</v>
      </c>
      <c r="B248" s="8" t="s">
        <v>4</v>
      </c>
      <c r="C248" s="9" t="n">
        <v>1265</v>
      </c>
      <c r="D248" s="9" t="n">
        <v>100</v>
      </c>
      <c r="E248" s="9" t="n">
        <v>87.6</v>
      </c>
    </row>
    <row r="249" customFormat="false" ht="15" hidden="false" customHeight="true" outlineLevel="0" collapsed="false">
      <c r="A249" s="6" t="s">
        <v>439</v>
      </c>
      <c r="B249" s="6" t="s">
        <v>5</v>
      </c>
      <c r="C249" s="7"/>
      <c r="D249" s="7" t="n">
        <v>87.6</v>
      </c>
      <c r="E249" s="7" t="n">
        <v>87.6</v>
      </c>
    </row>
    <row r="250" customFormat="false" ht="15" hidden="false" customHeight="true" outlineLevel="0" collapsed="false">
      <c r="A250" s="8" t="s">
        <v>565</v>
      </c>
      <c r="B250" s="8" t="s">
        <v>8</v>
      </c>
      <c r="C250" s="9" t="n">
        <v>2167</v>
      </c>
      <c r="D250" s="9" t="n">
        <v>65</v>
      </c>
      <c r="E250" s="9" t="n">
        <v>87.6</v>
      </c>
    </row>
    <row r="251" customFormat="false" ht="15" hidden="false" customHeight="true" outlineLevel="0" collapsed="false">
      <c r="A251" s="6" t="s">
        <v>565</v>
      </c>
      <c r="B251" s="6" t="s">
        <v>6</v>
      </c>
      <c r="C251" s="7" t="n">
        <v>1214</v>
      </c>
      <c r="D251" s="7" t="n">
        <v>99</v>
      </c>
      <c r="E251" s="7" t="n">
        <v>87.6</v>
      </c>
    </row>
    <row r="252" customFormat="false" ht="15" hidden="false" customHeight="true" outlineLevel="0" collapsed="false">
      <c r="A252" s="8" t="s">
        <v>565</v>
      </c>
      <c r="B252" s="8" t="s">
        <v>7</v>
      </c>
      <c r="C252" s="9" t="n">
        <v>2090</v>
      </c>
      <c r="D252" s="9" t="n">
        <v>66</v>
      </c>
      <c r="E252" s="9" t="n">
        <v>87.6</v>
      </c>
    </row>
    <row r="253" customFormat="false" ht="15" hidden="false" customHeight="true" outlineLevel="0" collapsed="false">
      <c r="A253" s="6" t="s">
        <v>566</v>
      </c>
      <c r="B253" s="6" t="s">
        <v>9</v>
      </c>
      <c r="C253" s="7" t="n">
        <v>2119</v>
      </c>
      <c r="D253" s="7" t="n">
        <v>71</v>
      </c>
      <c r="E253" s="7" t="n">
        <v>87.6</v>
      </c>
    </row>
    <row r="254" customFormat="false" ht="15" hidden="false" customHeight="true" outlineLevel="0" collapsed="false">
      <c r="A254" s="8" t="s">
        <v>440</v>
      </c>
      <c r="B254" s="8" t="s">
        <v>5</v>
      </c>
      <c r="C254" s="9"/>
      <c r="D254" s="9" t="n">
        <v>87.6</v>
      </c>
      <c r="E254" s="9" t="n">
        <v>87.6</v>
      </c>
    </row>
    <row r="255" customFormat="false" ht="15" hidden="false" customHeight="true" outlineLevel="0" collapsed="false">
      <c r="A255" s="6" t="s">
        <v>567</v>
      </c>
      <c r="B255" s="6" t="s">
        <v>6</v>
      </c>
      <c r="C255" s="7" t="n">
        <v>1201</v>
      </c>
      <c r="D255" s="7" t="n">
        <v>100</v>
      </c>
      <c r="E255" s="7" t="n">
        <v>87.6</v>
      </c>
    </row>
    <row r="256" customFormat="false" ht="15" hidden="false" customHeight="true" outlineLevel="0" collapsed="false">
      <c r="A256" s="8" t="s">
        <v>567</v>
      </c>
      <c r="B256" s="8" t="s">
        <v>7</v>
      </c>
      <c r="C256" s="9" t="n">
        <v>2094</v>
      </c>
      <c r="D256" s="9" t="n">
        <v>66</v>
      </c>
      <c r="E256" s="9" t="n">
        <v>87.6</v>
      </c>
    </row>
    <row r="257" customFormat="false" ht="15" hidden="false" customHeight="true" outlineLevel="0" collapsed="false">
      <c r="A257" s="6" t="s">
        <v>567</v>
      </c>
      <c r="B257" s="6" t="s">
        <v>4</v>
      </c>
      <c r="C257" s="7" t="n">
        <v>1271</v>
      </c>
      <c r="D257" s="7" t="n">
        <v>100</v>
      </c>
      <c r="E257" s="7" t="n">
        <v>87.6</v>
      </c>
    </row>
    <row r="258" customFormat="false" ht="15" hidden="false" customHeight="true" outlineLevel="0" collapsed="false">
      <c r="A258" s="8" t="s">
        <v>567</v>
      </c>
      <c r="B258" s="8" t="s">
        <v>8</v>
      </c>
      <c r="C258" s="9" t="n">
        <v>2167</v>
      </c>
      <c r="D258" s="9" t="n">
        <v>65</v>
      </c>
      <c r="E258" s="9" t="n">
        <v>87.6</v>
      </c>
    </row>
    <row r="259" customFormat="false" ht="15" hidden="false" customHeight="true" outlineLevel="0" collapsed="false">
      <c r="A259" s="6" t="s">
        <v>567</v>
      </c>
      <c r="B259" s="6" t="s">
        <v>9</v>
      </c>
      <c r="C259" s="7" t="n">
        <v>2119</v>
      </c>
      <c r="D259" s="7" t="n">
        <v>71</v>
      </c>
      <c r="E259" s="7" t="n">
        <v>87.6</v>
      </c>
    </row>
    <row r="260" customFormat="false" ht="15" hidden="false" customHeight="true" outlineLevel="0" collapsed="false">
      <c r="A260" s="8" t="s">
        <v>441</v>
      </c>
      <c r="B260" s="8" t="s">
        <v>5</v>
      </c>
      <c r="C260" s="9"/>
      <c r="D260" s="9" t="n">
        <v>87.4</v>
      </c>
      <c r="E260" s="9" t="n">
        <v>87.4</v>
      </c>
    </row>
    <row r="261" customFormat="false" ht="15" hidden="false" customHeight="true" outlineLevel="0" collapsed="false">
      <c r="A261" s="6" t="s">
        <v>568</v>
      </c>
      <c r="B261" s="6" t="s">
        <v>4</v>
      </c>
      <c r="C261" s="7" t="n">
        <v>1276</v>
      </c>
      <c r="D261" s="7" t="n">
        <v>100</v>
      </c>
      <c r="E261" s="7" t="n">
        <v>87.4</v>
      </c>
    </row>
    <row r="262" customFormat="false" ht="15" hidden="false" customHeight="true" outlineLevel="0" collapsed="false">
      <c r="A262" s="8" t="s">
        <v>568</v>
      </c>
      <c r="B262" s="8" t="s">
        <v>8</v>
      </c>
      <c r="C262" s="9" t="n">
        <v>2170</v>
      </c>
      <c r="D262" s="9" t="n">
        <v>65</v>
      </c>
      <c r="E262" s="9" t="n">
        <v>87.4</v>
      </c>
    </row>
    <row r="263" customFormat="false" ht="15" hidden="false" customHeight="true" outlineLevel="0" collapsed="false">
      <c r="A263" s="6" t="s">
        <v>568</v>
      </c>
      <c r="B263" s="6" t="s">
        <v>6</v>
      </c>
      <c r="C263" s="7" t="n">
        <v>1195</v>
      </c>
      <c r="D263" s="7" t="n">
        <v>100</v>
      </c>
      <c r="E263" s="7" t="n">
        <v>87.4</v>
      </c>
    </row>
    <row r="264" customFormat="false" ht="15" hidden="false" customHeight="true" outlineLevel="0" collapsed="false">
      <c r="A264" s="8" t="s">
        <v>568</v>
      </c>
      <c r="B264" s="8" t="s">
        <v>7</v>
      </c>
      <c r="C264" s="9" t="n">
        <v>2095</v>
      </c>
      <c r="D264" s="9" t="n">
        <v>66</v>
      </c>
      <c r="E264" s="9" t="n">
        <v>87.4</v>
      </c>
    </row>
    <row r="265" customFormat="false" ht="15" hidden="false" customHeight="true" outlineLevel="0" collapsed="false">
      <c r="A265" s="6" t="s">
        <v>569</v>
      </c>
      <c r="B265" s="6" t="s">
        <v>9</v>
      </c>
      <c r="C265" s="7" t="n">
        <v>2123</v>
      </c>
      <c r="D265" s="7" t="n">
        <v>70</v>
      </c>
      <c r="E265" s="7" t="n">
        <v>87.4</v>
      </c>
    </row>
    <row r="266" customFormat="false" ht="15" hidden="false" customHeight="true" outlineLevel="0" collapsed="false">
      <c r="A266" s="8" t="s">
        <v>442</v>
      </c>
      <c r="B266" s="8" t="s">
        <v>5</v>
      </c>
      <c r="C266" s="9"/>
      <c r="D266" s="9" t="n">
        <v>87.6</v>
      </c>
      <c r="E266" s="9" t="n">
        <v>87.6</v>
      </c>
    </row>
    <row r="267" customFormat="false" ht="15" hidden="false" customHeight="true" outlineLevel="0" collapsed="false">
      <c r="A267" s="6" t="s">
        <v>570</v>
      </c>
      <c r="B267" s="6" t="s">
        <v>6</v>
      </c>
      <c r="C267" s="7" t="n">
        <v>1198</v>
      </c>
      <c r="D267" s="7" t="n">
        <v>100</v>
      </c>
      <c r="E267" s="7" t="n">
        <v>87.6</v>
      </c>
    </row>
    <row r="268" customFormat="false" ht="15" hidden="false" customHeight="true" outlineLevel="0" collapsed="false">
      <c r="A268" s="8" t="s">
        <v>570</v>
      </c>
      <c r="B268" s="8" t="s">
        <v>7</v>
      </c>
      <c r="C268" s="9" t="n">
        <v>2096</v>
      </c>
      <c r="D268" s="9" t="n">
        <v>65</v>
      </c>
      <c r="E268" s="9" t="n">
        <v>87.6</v>
      </c>
    </row>
    <row r="269" customFormat="false" ht="15" hidden="false" customHeight="true" outlineLevel="0" collapsed="false">
      <c r="A269" s="6" t="s">
        <v>570</v>
      </c>
      <c r="B269" s="6" t="s">
        <v>4</v>
      </c>
      <c r="C269" s="7" t="n">
        <v>1264</v>
      </c>
      <c r="D269" s="7" t="n">
        <v>100</v>
      </c>
      <c r="E269" s="7" t="n">
        <v>87.6</v>
      </c>
    </row>
    <row r="270" customFormat="false" ht="15" hidden="false" customHeight="true" outlineLevel="0" collapsed="false">
      <c r="A270" s="8" t="s">
        <v>571</v>
      </c>
      <c r="B270" s="8" t="s">
        <v>8</v>
      </c>
      <c r="C270" s="9" t="n">
        <v>2173</v>
      </c>
      <c r="D270" s="9" t="n">
        <v>64</v>
      </c>
      <c r="E270" s="9" t="n">
        <v>87.6</v>
      </c>
    </row>
    <row r="271" customFormat="false" ht="15" hidden="false" customHeight="true" outlineLevel="0" collapsed="false">
      <c r="A271" s="6" t="s">
        <v>571</v>
      </c>
      <c r="B271" s="6" t="s">
        <v>9</v>
      </c>
      <c r="C271" s="7" t="n">
        <v>2119</v>
      </c>
      <c r="D271" s="7" t="n">
        <v>71</v>
      </c>
      <c r="E271" s="7" t="n">
        <v>87.6</v>
      </c>
    </row>
    <row r="272" customFormat="false" ht="15" hidden="false" customHeight="true" outlineLevel="0" collapsed="false">
      <c r="A272" s="8" t="s">
        <v>443</v>
      </c>
      <c r="B272" s="8" t="s">
        <v>5</v>
      </c>
      <c r="C272" s="9"/>
      <c r="D272" s="9" t="n">
        <v>87.4</v>
      </c>
      <c r="E272" s="9" t="n">
        <v>87.4</v>
      </c>
    </row>
    <row r="273" customFormat="false" ht="15" hidden="false" customHeight="true" outlineLevel="0" collapsed="false">
      <c r="A273" s="6" t="s">
        <v>443</v>
      </c>
      <c r="B273" s="6" t="s">
        <v>4</v>
      </c>
      <c r="C273" s="7" t="n">
        <v>1266</v>
      </c>
      <c r="D273" s="7" t="n">
        <v>100</v>
      </c>
      <c r="E273" s="7" t="n">
        <v>87.4</v>
      </c>
    </row>
    <row r="274" customFormat="false" ht="15" hidden="false" customHeight="true" outlineLevel="0" collapsed="false">
      <c r="A274" s="8" t="s">
        <v>572</v>
      </c>
      <c r="B274" s="8" t="s">
        <v>7</v>
      </c>
      <c r="C274" s="9" t="n">
        <v>2096</v>
      </c>
      <c r="D274" s="9" t="n">
        <v>65</v>
      </c>
      <c r="E274" s="9" t="n">
        <v>87.4</v>
      </c>
    </row>
    <row r="275" customFormat="false" ht="15" hidden="false" customHeight="true" outlineLevel="0" collapsed="false">
      <c r="A275" s="6" t="s">
        <v>572</v>
      </c>
      <c r="B275" s="6" t="s">
        <v>6</v>
      </c>
      <c r="C275" s="7" t="n">
        <v>1189</v>
      </c>
      <c r="D275" s="7" t="n">
        <v>100</v>
      </c>
      <c r="E275" s="7" t="n">
        <v>87.4</v>
      </c>
    </row>
    <row r="276" customFormat="false" ht="15" hidden="false" customHeight="true" outlineLevel="0" collapsed="false">
      <c r="A276" s="8" t="s">
        <v>573</v>
      </c>
      <c r="B276" s="8" t="s">
        <v>8</v>
      </c>
      <c r="C276" s="9" t="n">
        <v>2171</v>
      </c>
      <c r="D276" s="9" t="n">
        <v>64</v>
      </c>
      <c r="E276" s="9" t="n">
        <v>87.4</v>
      </c>
    </row>
    <row r="277" customFormat="false" ht="15" hidden="false" customHeight="true" outlineLevel="0" collapsed="false">
      <c r="A277" s="6" t="s">
        <v>573</v>
      </c>
      <c r="B277" s="6" t="s">
        <v>9</v>
      </c>
      <c r="C277" s="7" t="n">
        <v>2125</v>
      </c>
      <c r="D277" s="7" t="n">
        <v>70</v>
      </c>
      <c r="E277" s="7" t="n">
        <v>87.4</v>
      </c>
    </row>
    <row r="278" customFormat="false" ht="15" hidden="false" customHeight="true" outlineLevel="0" collapsed="false">
      <c r="A278" s="8" t="s">
        <v>444</v>
      </c>
      <c r="B278" s="8" t="s">
        <v>6</v>
      </c>
      <c r="C278" s="9" t="n">
        <v>1206</v>
      </c>
      <c r="D278" s="9" t="n">
        <v>100</v>
      </c>
      <c r="E278" s="9" t="n">
        <v>87.6</v>
      </c>
    </row>
    <row r="279" customFormat="false" ht="15" hidden="false" customHeight="true" outlineLevel="0" collapsed="false">
      <c r="A279" s="6" t="s">
        <v>444</v>
      </c>
      <c r="B279" s="6" t="s">
        <v>4</v>
      </c>
      <c r="C279" s="7" t="n">
        <v>1255</v>
      </c>
      <c r="D279" s="7" t="n">
        <v>100</v>
      </c>
      <c r="E279" s="7" t="n">
        <v>87.6</v>
      </c>
    </row>
    <row r="280" customFormat="false" ht="15" hidden="false" customHeight="true" outlineLevel="0" collapsed="false">
      <c r="A280" s="8" t="s">
        <v>444</v>
      </c>
      <c r="B280" s="8" t="s">
        <v>5</v>
      </c>
      <c r="C280" s="9"/>
      <c r="D280" s="9" t="n">
        <v>87.6</v>
      </c>
      <c r="E280" s="9" t="n">
        <v>87.6</v>
      </c>
    </row>
    <row r="281" customFormat="false" ht="15" hidden="false" customHeight="true" outlineLevel="0" collapsed="false">
      <c r="A281" s="6" t="s">
        <v>574</v>
      </c>
      <c r="B281" s="6" t="s">
        <v>7</v>
      </c>
      <c r="C281" s="7" t="n">
        <v>2096</v>
      </c>
      <c r="D281" s="7" t="n">
        <v>65</v>
      </c>
      <c r="E281" s="7" t="n">
        <v>87.6</v>
      </c>
    </row>
    <row r="282" customFormat="false" ht="15" hidden="false" customHeight="true" outlineLevel="0" collapsed="false">
      <c r="A282" s="8" t="s">
        <v>574</v>
      </c>
      <c r="B282" s="8" t="s">
        <v>8</v>
      </c>
      <c r="C282" s="9" t="n">
        <v>2175</v>
      </c>
      <c r="D282" s="9" t="n">
        <v>64</v>
      </c>
      <c r="E282" s="9" t="n">
        <v>87.6</v>
      </c>
    </row>
    <row r="283" customFormat="false" ht="15" hidden="false" customHeight="true" outlineLevel="0" collapsed="false">
      <c r="A283" s="6" t="s">
        <v>574</v>
      </c>
      <c r="B283" s="6" t="s">
        <v>9</v>
      </c>
      <c r="C283" s="7" t="n">
        <v>2117</v>
      </c>
      <c r="D283" s="7" t="n">
        <v>71</v>
      </c>
      <c r="E283" s="7" t="n">
        <v>87.6</v>
      </c>
    </row>
    <row r="284" customFormat="false" ht="15" hidden="false" customHeight="true" outlineLevel="0" collapsed="false">
      <c r="A284" s="8" t="s">
        <v>445</v>
      </c>
      <c r="B284" s="8" t="s">
        <v>5</v>
      </c>
      <c r="C284" s="9"/>
      <c r="D284" s="9" t="n">
        <v>87.4</v>
      </c>
      <c r="E284" s="9" t="n">
        <v>87.4</v>
      </c>
    </row>
    <row r="285" customFormat="false" ht="15" hidden="false" customHeight="true" outlineLevel="0" collapsed="false">
      <c r="A285" s="6" t="s">
        <v>445</v>
      </c>
      <c r="B285" s="6" t="s">
        <v>4</v>
      </c>
      <c r="C285" s="7" t="n">
        <v>1252</v>
      </c>
      <c r="D285" s="7" t="n">
        <v>100</v>
      </c>
      <c r="E285" s="7" t="n">
        <v>87.4</v>
      </c>
    </row>
    <row r="286" customFormat="false" ht="15" hidden="false" customHeight="true" outlineLevel="0" collapsed="false">
      <c r="A286" s="8" t="s">
        <v>445</v>
      </c>
      <c r="B286" s="8" t="s">
        <v>6</v>
      </c>
      <c r="C286" s="9" t="n">
        <v>1168</v>
      </c>
      <c r="D286" s="9" t="n">
        <v>100</v>
      </c>
      <c r="E286" s="9" t="n">
        <v>87.4</v>
      </c>
    </row>
    <row r="287" customFormat="false" ht="15" hidden="false" customHeight="true" outlineLevel="0" collapsed="false">
      <c r="A287" s="6" t="s">
        <v>445</v>
      </c>
      <c r="B287" s="6" t="s">
        <v>7</v>
      </c>
      <c r="C287" s="7" t="n">
        <v>2099</v>
      </c>
      <c r="D287" s="7" t="n">
        <v>65</v>
      </c>
      <c r="E287" s="7" t="n">
        <v>87.4</v>
      </c>
    </row>
    <row r="288" customFormat="false" ht="15" hidden="false" customHeight="true" outlineLevel="0" collapsed="false">
      <c r="A288" s="8" t="s">
        <v>575</v>
      </c>
      <c r="B288" s="8" t="s">
        <v>8</v>
      </c>
      <c r="C288" s="9" t="n">
        <v>2170</v>
      </c>
      <c r="D288" s="9" t="n">
        <v>65</v>
      </c>
      <c r="E288" s="9" t="n">
        <v>87.4</v>
      </c>
    </row>
    <row r="289" customFormat="false" ht="15" hidden="false" customHeight="true" outlineLevel="0" collapsed="false">
      <c r="A289" s="6" t="s">
        <v>575</v>
      </c>
      <c r="B289" s="6" t="s">
        <v>9</v>
      </c>
      <c r="C289" s="7" t="n">
        <v>2128</v>
      </c>
      <c r="D289" s="7" t="n">
        <v>70</v>
      </c>
      <c r="E289" s="7" t="n">
        <v>87.4</v>
      </c>
    </row>
    <row r="290" customFormat="false" ht="15" hidden="false" customHeight="true" outlineLevel="0" collapsed="false">
      <c r="A290" s="8" t="s">
        <v>446</v>
      </c>
      <c r="B290" s="8" t="s">
        <v>4</v>
      </c>
      <c r="C290" s="9" t="n">
        <v>1274</v>
      </c>
      <c r="D290" s="9" t="n">
        <v>100</v>
      </c>
      <c r="E290" s="9" t="n">
        <v>87.4</v>
      </c>
    </row>
    <row r="291" customFormat="false" ht="15" hidden="false" customHeight="true" outlineLevel="0" collapsed="false">
      <c r="A291" s="6" t="s">
        <v>446</v>
      </c>
      <c r="B291" s="6" t="s">
        <v>6</v>
      </c>
      <c r="C291" s="7" t="n">
        <v>1195</v>
      </c>
      <c r="D291" s="7" t="n">
        <v>100</v>
      </c>
      <c r="E291" s="7" t="n">
        <v>87.4</v>
      </c>
    </row>
    <row r="292" customFormat="false" ht="15" hidden="false" customHeight="true" outlineLevel="0" collapsed="false">
      <c r="A292" s="8" t="s">
        <v>446</v>
      </c>
      <c r="B292" s="8" t="s">
        <v>7</v>
      </c>
      <c r="C292" s="9" t="n">
        <v>2101</v>
      </c>
      <c r="D292" s="9" t="n">
        <v>65</v>
      </c>
      <c r="E292" s="9" t="n">
        <v>87.4</v>
      </c>
    </row>
    <row r="293" customFormat="false" ht="15" hidden="false" customHeight="true" outlineLevel="0" collapsed="false">
      <c r="A293" s="6" t="s">
        <v>446</v>
      </c>
      <c r="B293" s="6" t="s">
        <v>5</v>
      </c>
      <c r="C293" s="7"/>
      <c r="D293" s="7" t="n">
        <v>87.4</v>
      </c>
      <c r="E293" s="7" t="n">
        <v>87.4</v>
      </c>
    </row>
    <row r="294" customFormat="false" ht="15" hidden="false" customHeight="true" outlineLevel="0" collapsed="false">
      <c r="A294" s="8" t="s">
        <v>576</v>
      </c>
      <c r="B294" s="8" t="s">
        <v>9</v>
      </c>
      <c r="C294" s="9" t="n">
        <v>2128</v>
      </c>
      <c r="D294" s="9" t="n">
        <v>70</v>
      </c>
      <c r="E294" s="9" t="n">
        <v>87.4</v>
      </c>
    </row>
    <row r="295" customFormat="false" ht="15" hidden="false" customHeight="true" outlineLevel="0" collapsed="false">
      <c r="A295" s="6" t="s">
        <v>576</v>
      </c>
      <c r="B295" s="6" t="s">
        <v>8</v>
      </c>
      <c r="C295" s="7" t="n">
        <v>2172</v>
      </c>
      <c r="D295" s="7" t="n">
        <v>64</v>
      </c>
      <c r="E295" s="7" t="n">
        <v>87.4</v>
      </c>
    </row>
    <row r="296" customFormat="false" ht="15" hidden="false" customHeight="true" outlineLevel="0" collapsed="false">
      <c r="A296" s="8" t="s">
        <v>447</v>
      </c>
      <c r="B296" s="8" t="s">
        <v>6</v>
      </c>
      <c r="C296" s="9" t="n">
        <v>1199</v>
      </c>
      <c r="D296" s="9" t="n">
        <v>100</v>
      </c>
      <c r="E296" s="9" t="n">
        <v>87.6</v>
      </c>
    </row>
    <row r="297" customFormat="false" ht="15" hidden="false" customHeight="true" outlineLevel="0" collapsed="false">
      <c r="A297" s="6" t="s">
        <v>447</v>
      </c>
      <c r="B297" s="6" t="s">
        <v>7</v>
      </c>
      <c r="C297" s="7" t="n">
        <v>2100</v>
      </c>
      <c r="D297" s="7" t="n">
        <v>65</v>
      </c>
      <c r="E297" s="7" t="n">
        <v>87.6</v>
      </c>
    </row>
    <row r="298" customFormat="false" ht="15" hidden="false" customHeight="true" outlineLevel="0" collapsed="false">
      <c r="A298" s="8" t="s">
        <v>447</v>
      </c>
      <c r="B298" s="8" t="s">
        <v>4</v>
      </c>
      <c r="C298" s="9" t="n">
        <v>1273</v>
      </c>
      <c r="D298" s="9" t="n">
        <v>100</v>
      </c>
      <c r="E298" s="9" t="n">
        <v>87.6</v>
      </c>
    </row>
    <row r="299" customFormat="false" ht="15" hidden="false" customHeight="true" outlineLevel="0" collapsed="false">
      <c r="A299" s="6" t="s">
        <v>447</v>
      </c>
      <c r="B299" s="6" t="s">
        <v>5</v>
      </c>
      <c r="C299" s="7"/>
      <c r="D299" s="7" t="n">
        <v>87.6</v>
      </c>
      <c r="E299" s="7" t="n">
        <v>87.6</v>
      </c>
    </row>
    <row r="300" customFormat="false" ht="15" hidden="false" customHeight="true" outlineLevel="0" collapsed="false">
      <c r="A300" s="8" t="s">
        <v>577</v>
      </c>
      <c r="B300" s="8" t="s">
        <v>8</v>
      </c>
      <c r="C300" s="9" t="n">
        <v>2174</v>
      </c>
      <c r="D300" s="9" t="n">
        <v>64</v>
      </c>
      <c r="E300" s="9" t="n">
        <v>87.6</v>
      </c>
    </row>
    <row r="301" customFormat="false" ht="15" hidden="false" customHeight="true" outlineLevel="0" collapsed="false">
      <c r="A301" s="6" t="s">
        <v>577</v>
      </c>
      <c r="B301" s="6" t="s">
        <v>9</v>
      </c>
      <c r="C301" s="7" t="n">
        <v>2129</v>
      </c>
      <c r="D301" s="7" t="n">
        <v>69</v>
      </c>
      <c r="E301" s="7" t="n">
        <v>87.6</v>
      </c>
    </row>
    <row r="302" customFormat="false" ht="15" hidden="false" customHeight="true" outlineLevel="0" collapsed="false">
      <c r="A302" s="8" t="s">
        <v>448</v>
      </c>
      <c r="B302" s="8" t="s">
        <v>5</v>
      </c>
      <c r="C302" s="9"/>
      <c r="D302" s="9" t="n">
        <v>87.6</v>
      </c>
      <c r="E302" s="9" t="n">
        <v>87.6</v>
      </c>
    </row>
    <row r="303" customFormat="false" ht="15" hidden="false" customHeight="true" outlineLevel="0" collapsed="false">
      <c r="A303" s="6" t="s">
        <v>448</v>
      </c>
      <c r="B303" s="6" t="s">
        <v>4</v>
      </c>
      <c r="C303" s="7" t="n">
        <v>1291</v>
      </c>
      <c r="D303" s="7" t="n">
        <v>100</v>
      </c>
      <c r="E303" s="7" t="n">
        <v>87.6</v>
      </c>
    </row>
    <row r="304" customFormat="false" ht="15" hidden="false" customHeight="true" outlineLevel="0" collapsed="false">
      <c r="A304" s="8" t="s">
        <v>448</v>
      </c>
      <c r="B304" s="8" t="s">
        <v>6</v>
      </c>
      <c r="C304" s="9" t="n">
        <v>1233</v>
      </c>
      <c r="D304" s="9" t="n">
        <v>98</v>
      </c>
      <c r="E304" s="9" t="n">
        <v>87.6</v>
      </c>
    </row>
    <row r="305" customFormat="false" ht="15" hidden="false" customHeight="true" outlineLevel="0" collapsed="false">
      <c r="A305" s="6" t="s">
        <v>578</v>
      </c>
      <c r="B305" s="6" t="s">
        <v>7</v>
      </c>
      <c r="C305" s="7" t="n">
        <v>2071</v>
      </c>
      <c r="D305" s="7" t="n">
        <v>68</v>
      </c>
      <c r="E305" s="7" t="n">
        <v>87.6</v>
      </c>
    </row>
    <row r="306" customFormat="false" ht="15" hidden="false" customHeight="true" outlineLevel="0" collapsed="false">
      <c r="A306" s="8" t="s">
        <v>578</v>
      </c>
      <c r="B306" s="8" t="s">
        <v>8</v>
      </c>
      <c r="C306" s="9" t="n">
        <v>2175</v>
      </c>
      <c r="D306" s="9" t="n">
        <v>64</v>
      </c>
      <c r="E306" s="9" t="n">
        <v>87.6</v>
      </c>
    </row>
    <row r="307" customFormat="false" ht="15" hidden="false" customHeight="true" outlineLevel="0" collapsed="false">
      <c r="A307" s="6" t="s">
        <v>578</v>
      </c>
      <c r="B307" s="6" t="s">
        <v>9</v>
      </c>
      <c r="C307" s="7" t="n">
        <v>2130</v>
      </c>
      <c r="D307" s="7" t="n">
        <v>69</v>
      </c>
      <c r="E307" s="7" t="n">
        <v>87.6</v>
      </c>
    </row>
    <row r="308" customFormat="false" ht="15" hidden="false" customHeight="true" outlineLevel="0" collapsed="false">
      <c r="A308" s="8" t="s">
        <v>449</v>
      </c>
      <c r="B308" s="8" t="s">
        <v>6</v>
      </c>
      <c r="C308" s="9" t="n">
        <v>1193</v>
      </c>
      <c r="D308" s="9" t="n">
        <v>100</v>
      </c>
      <c r="E308" s="9" t="n">
        <v>87.4</v>
      </c>
    </row>
    <row r="309" customFormat="false" ht="15" hidden="false" customHeight="true" outlineLevel="0" collapsed="false">
      <c r="A309" s="6" t="s">
        <v>449</v>
      </c>
      <c r="B309" s="6" t="s">
        <v>4</v>
      </c>
      <c r="C309" s="7" t="n">
        <v>1262</v>
      </c>
      <c r="D309" s="7" t="n">
        <v>100</v>
      </c>
      <c r="E309" s="7" t="n">
        <v>87.4</v>
      </c>
    </row>
    <row r="310" customFormat="false" ht="15" hidden="false" customHeight="true" outlineLevel="0" collapsed="false">
      <c r="A310" s="8" t="s">
        <v>449</v>
      </c>
      <c r="B310" s="8" t="s">
        <v>5</v>
      </c>
      <c r="C310" s="9"/>
      <c r="D310" s="9" t="n">
        <v>87.4</v>
      </c>
      <c r="E310" s="9" t="n">
        <v>87.4</v>
      </c>
    </row>
    <row r="311" customFormat="false" ht="15" hidden="false" customHeight="true" outlineLevel="0" collapsed="false">
      <c r="A311" s="6" t="s">
        <v>579</v>
      </c>
      <c r="B311" s="6" t="s">
        <v>8</v>
      </c>
      <c r="C311" s="7" t="n">
        <v>2172</v>
      </c>
      <c r="D311" s="7" t="n">
        <v>64</v>
      </c>
      <c r="E311" s="7" t="n">
        <v>87.4</v>
      </c>
    </row>
    <row r="312" customFormat="false" ht="15" hidden="false" customHeight="true" outlineLevel="0" collapsed="false">
      <c r="A312" s="8" t="s">
        <v>579</v>
      </c>
      <c r="B312" s="8" t="s">
        <v>9</v>
      </c>
      <c r="C312" s="9" t="n">
        <v>2128</v>
      </c>
      <c r="D312" s="9" t="n">
        <v>70</v>
      </c>
      <c r="E312" s="9" t="n">
        <v>87.4</v>
      </c>
    </row>
    <row r="313" customFormat="false" ht="15" hidden="false" customHeight="true" outlineLevel="0" collapsed="false">
      <c r="A313" s="6" t="s">
        <v>579</v>
      </c>
      <c r="B313" s="6" t="s">
        <v>7</v>
      </c>
      <c r="C313" s="7" t="n">
        <v>2103</v>
      </c>
      <c r="D313" s="7" t="n">
        <v>65</v>
      </c>
      <c r="E313" s="7" t="n">
        <v>87.4</v>
      </c>
    </row>
    <row r="314" customFormat="false" ht="15" hidden="false" customHeight="true" outlineLevel="0" collapsed="false">
      <c r="A314" s="8" t="s">
        <v>450</v>
      </c>
      <c r="B314" s="8" t="s">
        <v>7</v>
      </c>
      <c r="C314" s="9" t="n">
        <v>2109</v>
      </c>
      <c r="D314" s="9" t="n">
        <v>64</v>
      </c>
      <c r="E314" s="9" t="n">
        <v>87.4</v>
      </c>
    </row>
    <row r="315" customFormat="false" ht="15" hidden="false" customHeight="true" outlineLevel="0" collapsed="false">
      <c r="A315" s="6" t="s">
        <v>450</v>
      </c>
      <c r="B315" s="6" t="s">
        <v>4</v>
      </c>
      <c r="C315" s="7" t="n">
        <v>1296</v>
      </c>
      <c r="D315" s="7" t="n">
        <v>100</v>
      </c>
      <c r="E315" s="7" t="n">
        <v>87.4</v>
      </c>
    </row>
    <row r="316" customFormat="false" ht="15" hidden="false" customHeight="true" outlineLevel="0" collapsed="false">
      <c r="A316" s="8" t="s">
        <v>450</v>
      </c>
      <c r="B316" s="8" t="s">
        <v>6</v>
      </c>
      <c r="C316" s="9" t="n">
        <v>1195</v>
      </c>
      <c r="D316" s="9" t="n">
        <v>100</v>
      </c>
      <c r="E316" s="9" t="n">
        <v>87.4</v>
      </c>
    </row>
    <row r="317" customFormat="false" ht="15" hidden="false" customHeight="true" outlineLevel="0" collapsed="false">
      <c r="A317" s="6" t="s">
        <v>450</v>
      </c>
      <c r="B317" s="6" t="s">
        <v>5</v>
      </c>
      <c r="C317" s="7"/>
      <c r="D317" s="7" t="n">
        <v>87.4</v>
      </c>
      <c r="E317" s="7" t="n">
        <v>87.4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5" min="4" style="1" width="12"/>
  </cols>
  <sheetData>
    <row r="1" customFormat="false" ht="21.75" hidden="false" customHeight="true" outlineLevel="0" collapsed="false">
      <c r="A1" s="4" t="s">
        <v>580</v>
      </c>
      <c r="B1" s="4"/>
      <c r="C1" s="4"/>
      <c r="D1" s="4"/>
      <c r="E1" s="4"/>
    </row>
    <row r="2" customFormat="false" ht="1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11</v>
      </c>
    </row>
    <row r="3" customFormat="false" ht="15" hidden="false" customHeight="true" outlineLevel="0" collapsed="false">
      <c r="A3" s="6" t="s">
        <v>457</v>
      </c>
      <c r="B3" s="6" t="s">
        <v>6</v>
      </c>
      <c r="C3" s="7" t="n">
        <v>2497</v>
      </c>
      <c r="D3" s="7" t="n">
        <v>15</v>
      </c>
      <c r="E3" s="7" t="n">
        <v>100</v>
      </c>
    </row>
    <row r="4" customFormat="false" ht="15" hidden="false" customHeight="true" outlineLevel="0" collapsed="false">
      <c r="A4" s="8" t="s">
        <v>457</v>
      </c>
      <c r="B4" s="8" t="s">
        <v>7</v>
      </c>
      <c r="C4" s="9" t="n">
        <v>1674</v>
      </c>
      <c r="D4" s="9" t="n">
        <v>100</v>
      </c>
      <c r="E4" s="9" t="n">
        <v>100</v>
      </c>
    </row>
    <row r="5" customFormat="false" ht="15" hidden="false" customHeight="true" outlineLevel="0" collapsed="false">
      <c r="A5" s="6" t="s">
        <v>457</v>
      </c>
      <c r="B5" s="6" t="s">
        <v>4</v>
      </c>
      <c r="C5" s="7" t="n">
        <v>2546</v>
      </c>
      <c r="D5" s="7" t="n">
        <v>17</v>
      </c>
      <c r="E5" s="7" t="n">
        <v>100</v>
      </c>
    </row>
    <row r="6" customFormat="false" ht="15" hidden="false" customHeight="true" outlineLevel="0" collapsed="false">
      <c r="A6" s="8" t="s">
        <v>457</v>
      </c>
      <c r="B6" s="8" t="s">
        <v>5</v>
      </c>
      <c r="C6" s="9"/>
      <c r="D6" s="9" t="n">
        <v>100</v>
      </c>
      <c r="E6" s="9" t="n">
        <v>100</v>
      </c>
    </row>
    <row r="7" customFormat="false" ht="15" hidden="false" customHeight="true" outlineLevel="0" collapsed="false">
      <c r="A7" s="6" t="s">
        <v>581</v>
      </c>
      <c r="B7" s="6" t="s">
        <v>8</v>
      </c>
      <c r="C7" s="7" t="n">
        <v>1498</v>
      </c>
      <c r="D7" s="7" t="n">
        <v>100</v>
      </c>
      <c r="E7" s="7" t="n">
        <v>100</v>
      </c>
    </row>
    <row r="8" customFormat="false" ht="15" hidden="false" customHeight="true" outlineLevel="0" collapsed="false">
      <c r="A8" s="8" t="s">
        <v>581</v>
      </c>
      <c r="B8" s="8" t="s">
        <v>9</v>
      </c>
      <c r="C8" s="9" t="n">
        <v>1637</v>
      </c>
      <c r="D8" s="9" t="n">
        <v>100</v>
      </c>
      <c r="E8" s="9" t="n">
        <v>100</v>
      </c>
    </row>
    <row r="9" customFormat="false" ht="15" hidden="false" customHeight="true" outlineLevel="0" collapsed="false">
      <c r="A9" s="6" t="s">
        <v>458</v>
      </c>
      <c r="B9" s="6" t="s">
        <v>4</v>
      </c>
      <c r="C9" s="7" t="n">
        <v>1228</v>
      </c>
      <c r="D9" s="7" t="n">
        <v>100</v>
      </c>
      <c r="E9" s="7" t="n">
        <v>100</v>
      </c>
    </row>
    <row r="10" customFormat="false" ht="15" hidden="false" customHeight="true" outlineLevel="0" collapsed="false">
      <c r="A10" s="8" t="s">
        <v>458</v>
      </c>
      <c r="B10" s="8" t="s">
        <v>5</v>
      </c>
      <c r="C10" s="9"/>
      <c r="D10" s="9" t="n">
        <v>100</v>
      </c>
      <c r="E10" s="9" t="n">
        <v>100</v>
      </c>
    </row>
    <row r="11" customFormat="false" ht="15" hidden="false" customHeight="true" outlineLevel="0" collapsed="false">
      <c r="A11" s="6" t="s">
        <v>582</v>
      </c>
      <c r="B11" s="6" t="s">
        <v>6</v>
      </c>
      <c r="C11" s="7" t="n">
        <v>1150</v>
      </c>
      <c r="D11" s="7" t="n">
        <v>100</v>
      </c>
      <c r="E11" s="7" t="n">
        <v>100</v>
      </c>
    </row>
    <row r="12" customFormat="false" ht="15" hidden="false" customHeight="true" outlineLevel="0" collapsed="false">
      <c r="A12" s="8" t="s">
        <v>582</v>
      </c>
      <c r="B12" s="8" t="s">
        <v>7</v>
      </c>
      <c r="C12" s="9" t="n">
        <v>1853</v>
      </c>
      <c r="D12" s="9" t="n">
        <v>89</v>
      </c>
      <c r="E12" s="9" t="n">
        <v>100</v>
      </c>
    </row>
    <row r="13" customFormat="false" ht="15" hidden="false" customHeight="true" outlineLevel="0" collapsed="false">
      <c r="A13" s="6" t="s">
        <v>582</v>
      </c>
      <c r="B13" s="6" t="s">
        <v>8</v>
      </c>
      <c r="C13" s="7" t="n">
        <v>1983</v>
      </c>
      <c r="D13" s="7" t="n">
        <v>87</v>
      </c>
      <c r="E13" s="7" t="n">
        <v>100</v>
      </c>
    </row>
    <row r="14" customFormat="false" ht="15" hidden="false" customHeight="true" outlineLevel="0" collapsed="false">
      <c r="A14" s="8" t="s">
        <v>583</v>
      </c>
      <c r="B14" s="8" t="s">
        <v>9</v>
      </c>
      <c r="C14" s="9" t="n">
        <v>1837</v>
      </c>
      <c r="D14" s="9" t="n">
        <v>100</v>
      </c>
      <c r="E14" s="9" t="n">
        <v>100</v>
      </c>
    </row>
    <row r="15" customFormat="false" ht="15" hidden="false" customHeight="true" outlineLevel="0" collapsed="false">
      <c r="A15" s="6" t="s">
        <v>459</v>
      </c>
      <c r="B15" s="6" t="s">
        <v>5</v>
      </c>
      <c r="C15" s="7"/>
      <c r="D15" s="7" t="n">
        <v>100</v>
      </c>
      <c r="E15" s="7" t="n">
        <v>100</v>
      </c>
    </row>
    <row r="16" customFormat="false" ht="15" hidden="false" customHeight="true" outlineLevel="0" collapsed="false">
      <c r="A16" s="8" t="s">
        <v>459</v>
      </c>
      <c r="B16" s="8" t="s">
        <v>4</v>
      </c>
      <c r="C16" s="9" t="n">
        <v>1244</v>
      </c>
      <c r="D16" s="9" t="n">
        <v>100</v>
      </c>
      <c r="E16" s="9" t="n">
        <v>100</v>
      </c>
    </row>
    <row r="17" customFormat="false" ht="15" hidden="false" customHeight="true" outlineLevel="0" collapsed="false">
      <c r="A17" s="6" t="s">
        <v>584</v>
      </c>
      <c r="B17" s="6" t="s">
        <v>6</v>
      </c>
      <c r="C17" s="7" t="n">
        <v>1151</v>
      </c>
      <c r="D17" s="7" t="n">
        <v>100</v>
      </c>
      <c r="E17" s="7" t="n">
        <v>100</v>
      </c>
    </row>
    <row r="18" customFormat="false" ht="15" hidden="false" customHeight="true" outlineLevel="0" collapsed="false">
      <c r="A18" s="8" t="s">
        <v>584</v>
      </c>
      <c r="B18" s="8" t="s">
        <v>7</v>
      </c>
      <c r="C18" s="9" t="n">
        <v>1904</v>
      </c>
      <c r="D18" s="9" t="n">
        <v>84</v>
      </c>
      <c r="E18" s="9" t="n">
        <v>100</v>
      </c>
    </row>
    <row r="19" customFormat="false" ht="15" hidden="false" customHeight="true" outlineLevel="0" collapsed="false">
      <c r="A19" s="6" t="s">
        <v>584</v>
      </c>
      <c r="B19" s="6" t="s">
        <v>8</v>
      </c>
      <c r="C19" s="7" t="n">
        <v>2047</v>
      </c>
      <c r="D19" s="7" t="n">
        <v>79</v>
      </c>
      <c r="E19" s="7" t="n">
        <v>100</v>
      </c>
    </row>
    <row r="20" customFormat="false" ht="15" hidden="false" customHeight="true" outlineLevel="0" collapsed="false">
      <c r="A20" s="8" t="s">
        <v>585</v>
      </c>
      <c r="B20" s="8" t="s">
        <v>9</v>
      </c>
      <c r="C20" s="9" t="n">
        <v>1904</v>
      </c>
      <c r="D20" s="9" t="n">
        <v>100</v>
      </c>
      <c r="E20" s="9" t="n">
        <v>100</v>
      </c>
    </row>
    <row r="21" customFormat="false" ht="15" hidden="false" customHeight="true" outlineLevel="0" collapsed="false">
      <c r="A21" s="6" t="s">
        <v>460</v>
      </c>
      <c r="B21" s="6" t="s">
        <v>5</v>
      </c>
      <c r="C21" s="7"/>
      <c r="D21" s="7" t="n">
        <v>100</v>
      </c>
      <c r="E21" s="7" t="n">
        <v>100</v>
      </c>
    </row>
    <row r="22" customFormat="false" ht="15" hidden="false" customHeight="true" outlineLevel="0" collapsed="false">
      <c r="A22" s="8" t="s">
        <v>586</v>
      </c>
      <c r="B22" s="8" t="s">
        <v>6</v>
      </c>
      <c r="C22" s="9" t="n">
        <v>1150</v>
      </c>
      <c r="D22" s="9" t="n">
        <v>100</v>
      </c>
      <c r="E22" s="9" t="n">
        <v>100</v>
      </c>
    </row>
    <row r="23" customFormat="false" ht="15" hidden="false" customHeight="true" outlineLevel="0" collapsed="false">
      <c r="A23" s="6" t="s">
        <v>586</v>
      </c>
      <c r="B23" s="6" t="s">
        <v>7</v>
      </c>
      <c r="C23" s="7" t="n">
        <v>1926</v>
      </c>
      <c r="D23" s="7" t="n">
        <v>82</v>
      </c>
      <c r="E23" s="7" t="n">
        <v>100</v>
      </c>
    </row>
    <row r="24" customFormat="false" ht="15" hidden="false" customHeight="true" outlineLevel="0" collapsed="false">
      <c r="A24" s="8" t="s">
        <v>586</v>
      </c>
      <c r="B24" s="8" t="s">
        <v>4</v>
      </c>
      <c r="C24" s="9" t="n">
        <v>1231</v>
      </c>
      <c r="D24" s="9" t="n">
        <v>100</v>
      </c>
      <c r="E24" s="9" t="n">
        <v>100</v>
      </c>
    </row>
    <row r="25" customFormat="false" ht="15" hidden="false" customHeight="true" outlineLevel="0" collapsed="false">
      <c r="A25" s="6" t="s">
        <v>586</v>
      </c>
      <c r="B25" s="6" t="s">
        <v>8</v>
      </c>
      <c r="C25" s="7" t="n">
        <v>2070</v>
      </c>
      <c r="D25" s="7" t="n">
        <v>77</v>
      </c>
      <c r="E25" s="7" t="n">
        <v>100</v>
      </c>
    </row>
    <row r="26" customFormat="false" ht="15" hidden="false" customHeight="true" outlineLevel="0" collapsed="false">
      <c r="A26" s="8" t="s">
        <v>587</v>
      </c>
      <c r="B26" s="8" t="s">
        <v>9</v>
      </c>
      <c r="C26" s="9" t="n">
        <v>1934</v>
      </c>
      <c r="D26" s="9" t="n">
        <v>100</v>
      </c>
      <c r="E26" s="9" t="n">
        <v>100</v>
      </c>
    </row>
    <row r="27" customFormat="false" ht="15" hidden="false" customHeight="true" outlineLevel="0" collapsed="false">
      <c r="A27" s="6" t="s">
        <v>461</v>
      </c>
      <c r="B27" s="6" t="s">
        <v>5</v>
      </c>
      <c r="C27" s="7"/>
      <c r="D27" s="7" t="n">
        <v>100</v>
      </c>
      <c r="E27" s="7" t="n">
        <v>100</v>
      </c>
    </row>
    <row r="28" customFormat="false" ht="15" hidden="false" customHeight="true" outlineLevel="0" collapsed="false">
      <c r="A28" s="8" t="s">
        <v>588</v>
      </c>
      <c r="B28" s="8" t="s">
        <v>4</v>
      </c>
      <c r="C28" s="9" t="n">
        <v>1232</v>
      </c>
      <c r="D28" s="9" t="n">
        <v>100</v>
      </c>
      <c r="E28" s="9" t="n">
        <v>100</v>
      </c>
    </row>
    <row r="29" customFormat="false" ht="15" hidden="false" customHeight="true" outlineLevel="0" collapsed="false">
      <c r="A29" s="6" t="s">
        <v>588</v>
      </c>
      <c r="B29" s="6" t="s">
        <v>7</v>
      </c>
      <c r="C29" s="7" t="n">
        <v>1941</v>
      </c>
      <c r="D29" s="7" t="n">
        <v>80</v>
      </c>
      <c r="E29" s="7" t="n">
        <v>100</v>
      </c>
    </row>
    <row r="30" customFormat="false" ht="15" hidden="false" customHeight="true" outlineLevel="0" collapsed="false">
      <c r="A30" s="8" t="s">
        <v>588</v>
      </c>
      <c r="B30" s="8" t="s">
        <v>6</v>
      </c>
      <c r="C30" s="9" t="n">
        <v>1131</v>
      </c>
      <c r="D30" s="9" t="n">
        <v>100</v>
      </c>
      <c r="E30" s="9" t="n">
        <v>100</v>
      </c>
    </row>
    <row r="31" customFormat="false" ht="15" hidden="false" customHeight="true" outlineLevel="0" collapsed="false">
      <c r="A31" s="6" t="s">
        <v>589</v>
      </c>
      <c r="B31" s="6" t="s">
        <v>8</v>
      </c>
      <c r="C31" s="7" t="n">
        <v>2080</v>
      </c>
      <c r="D31" s="7" t="n">
        <v>75</v>
      </c>
      <c r="E31" s="7" t="n">
        <v>100</v>
      </c>
    </row>
    <row r="32" customFormat="false" ht="15" hidden="false" customHeight="true" outlineLevel="0" collapsed="false">
      <c r="A32" s="8" t="s">
        <v>589</v>
      </c>
      <c r="B32" s="8" t="s">
        <v>9</v>
      </c>
      <c r="C32" s="9" t="n">
        <v>1965</v>
      </c>
      <c r="D32" s="9" t="n">
        <v>98</v>
      </c>
      <c r="E32" s="9" t="n">
        <v>100</v>
      </c>
    </row>
    <row r="33" customFormat="false" ht="15" hidden="false" customHeight="true" outlineLevel="0" collapsed="false">
      <c r="A33" s="6" t="s">
        <v>462</v>
      </c>
      <c r="B33" s="6" t="s">
        <v>6</v>
      </c>
      <c r="C33" s="7" t="n">
        <v>1149</v>
      </c>
      <c r="D33" s="7" t="n">
        <v>100</v>
      </c>
      <c r="E33" s="7" t="n">
        <v>100</v>
      </c>
    </row>
    <row r="34" customFormat="false" ht="15" hidden="false" customHeight="true" outlineLevel="0" collapsed="false">
      <c r="A34" s="8" t="s">
        <v>462</v>
      </c>
      <c r="B34" s="8" t="s">
        <v>7</v>
      </c>
      <c r="C34" s="9" t="n">
        <v>1955</v>
      </c>
      <c r="D34" s="9" t="n">
        <v>79</v>
      </c>
      <c r="E34" s="9" t="n">
        <v>100</v>
      </c>
    </row>
    <row r="35" customFormat="false" ht="15" hidden="false" customHeight="true" outlineLevel="0" collapsed="false">
      <c r="A35" s="6" t="s">
        <v>462</v>
      </c>
      <c r="B35" s="6" t="s">
        <v>4</v>
      </c>
      <c r="C35" s="7" t="n">
        <v>1232</v>
      </c>
      <c r="D35" s="7" t="n">
        <v>100</v>
      </c>
      <c r="E35" s="7" t="n">
        <v>100</v>
      </c>
    </row>
    <row r="36" customFormat="false" ht="15" hidden="false" customHeight="true" outlineLevel="0" collapsed="false">
      <c r="A36" s="8" t="s">
        <v>462</v>
      </c>
      <c r="B36" s="8" t="s">
        <v>5</v>
      </c>
      <c r="C36" s="9"/>
      <c r="D36" s="9" t="n">
        <v>100</v>
      </c>
      <c r="E36" s="9" t="n">
        <v>100</v>
      </c>
    </row>
    <row r="37" customFormat="false" ht="15" hidden="false" customHeight="true" outlineLevel="0" collapsed="false">
      <c r="A37" s="6" t="s">
        <v>590</v>
      </c>
      <c r="B37" s="6" t="s">
        <v>8</v>
      </c>
      <c r="C37" s="7" t="n">
        <v>2093</v>
      </c>
      <c r="D37" s="7" t="n">
        <v>74</v>
      </c>
      <c r="E37" s="7" t="n">
        <v>100</v>
      </c>
    </row>
    <row r="38" customFormat="false" ht="15" hidden="false" customHeight="true" outlineLevel="0" collapsed="false">
      <c r="A38" s="8" t="s">
        <v>590</v>
      </c>
      <c r="B38" s="8" t="s">
        <v>9</v>
      </c>
      <c r="C38" s="9" t="n">
        <v>1972</v>
      </c>
      <c r="D38" s="9" t="n">
        <v>97</v>
      </c>
      <c r="E38" s="9" t="n">
        <v>100</v>
      </c>
    </row>
    <row r="39" customFormat="false" ht="15" hidden="false" customHeight="true" outlineLevel="0" collapsed="false">
      <c r="A39" s="6" t="s">
        <v>463</v>
      </c>
      <c r="B39" s="6" t="s">
        <v>6</v>
      </c>
      <c r="C39" s="7" t="n">
        <v>1153</v>
      </c>
      <c r="D39" s="7" t="n">
        <v>100</v>
      </c>
      <c r="E39" s="7" t="n">
        <v>100</v>
      </c>
    </row>
    <row r="40" customFormat="false" ht="15" hidden="false" customHeight="true" outlineLevel="0" collapsed="false">
      <c r="A40" s="8" t="s">
        <v>463</v>
      </c>
      <c r="B40" s="8" t="s">
        <v>4</v>
      </c>
      <c r="C40" s="9" t="n">
        <v>1205</v>
      </c>
      <c r="D40" s="9" t="n">
        <v>100</v>
      </c>
      <c r="E40" s="9" t="n">
        <v>100</v>
      </c>
    </row>
    <row r="41" customFormat="false" ht="15" hidden="false" customHeight="true" outlineLevel="0" collapsed="false">
      <c r="A41" s="6" t="s">
        <v>463</v>
      </c>
      <c r="B41" s="6" t="s">
        <v>5</v>
      </c>
      <c r="C41" s="7"/>
      <c r="D41" s="7" t="n">
        <v>100</v>
      </c>
      <c r="E41" s="7" t="n">
        <v>100</v>
      </c>
    </row>
    <row r="42" customFormat="false" ht="15" hidden="false" customHeight="true" outlineLevel="0" collapsed="false">
      <c r="A42" s="8" t="s">
        <v>591</v>
      </c>
      <c r="B42" s="8" t="s">
        <v>9</v>
      </c>
      <c r="C42" s="9" t="n">
        <v>1997</v>
      </c>
      <c r="D42" s="9" t="n">
        <v>92</v>
      </c>
      <c r="E42" s="9" t="n">
        <v>100</v>
      </c>
    </row>
    <row r="43" customFormat="false" ht="15" hidden="false" customHeight="true" outlineLevel="0" collapsed="false">
      <c r="A43" s="6" t="s">
        <v>591</v>
      </c>
      <c r="B43" s="6" t="s">
        <v>8</v>
      </c>
      <c r="C43" s="7" t="n">
        <v>2096</v>
      </c>
      <c r="D43" s="7" t="n">
        <v>74</v>
      </c>
      <c r="E43" s="7" t="n">
        <v>100</v>
      </c>
    </row>
    <row r="44" customFormat="false" ht="15" hidden="false" customHeight="true" outlineLevel="0" collapsed="false">
      <c r="A44" s="8" t="s">
        <v>591</v>
      </c>
      <c r="B44" s="8" t="s">
        <v>7</v>
      </c>
      <c r="C44" s="9" t="n">
        <v>1968</v>
      </c>
      <c r="D44" s="9" t="n">
        <v>78</v>
      </c>
      <c r="E44" s="9" t="n">
        <v>100</v>
      </c>
    </row>
    <row r="45" customFormat="false" ht="15" hidden="false" customHeight="true" outlineLevel="0" collapsed="false">
      <c r="A45" s="6" t="s">
        <v>464</v>
      </c>
      <c r="B45" s="6" t="s">
        <v>4</v>
      </c>
      <c r="C45" s="7" t="n">
        <v>1227</v>
      </c>
      <c r="D45" s="7" t="n">
        <v>100</v>
      </c>
      <c r="E45" s="7" t="n">
        <v>100</v>
      </c>
    </row>
    <row r="46" customFormat="false" ht="15" hidden="false" customHeight="true" outlineLevel="0" collapsed="false">
      <c r="A46" s="8" t="s">
        <v>464</v>
      </c>
      <c r="B46" s="8" t="s">
        <v>5</v>
      </c>
      <c r="C46" s="9"/>
      <c r="D46" s="9" t="n">
        <v>100</v>
      </c>
      <c r="E46" s="9" t="n">
        <v>100</v>
      </c>
    </row>
    <row r="47" customFormat="false" ht="15" hidden="false" customHeight="true" outlineLevel="0" collapsed="false">
      <c r="A47" s="6" t="s">
        <v>592</v>
      </c>
      <c r="B47" s="6" t="s">
        <v>6</v>
      </c>
      <c r="C47" s="7" t="n">
        <v>1152</v>
      </c>
      <c r="D47" s="7" t="n">
        <v>100</v>
      </c>
      <c r="E47" s="7" t="n">
        <v>100</v>
      </c>
    </row>
    <row r="48" customFormat="false" ht="15" hidden="false" customHeight="true" outlineLevel="0" collapsed="false">
      <c r="A48" s="8" t="s">
        <v>592</v>
      </c>
      <c r="B48" s="8" t="s">
        <v>7</v>
      </c>
      <c r="C48" s="9" t="n">
        <v>1973</v>
      </c>
      <c r="D48" s="9" t="n">
        <v>77</v>
      </c>
      <c r="E48" s="9" t="n">
        <v>100</v>
      </c>
    </row>
    <row r="49" customFormat="false" ht="15" hidden="false" customHeight="true" outlineLevel="0" collapsed="false">
      <c r="A49" s="6" t="s">
        <v>592</v>
      </c>
      <c r="B49" s="6" t="s">
        <v>8</v>
      </c>
      <c r="C49" s="7" t="n">
        <v>2107</v>
      </c>
      <c r="D49" s="7" t="n">
        <v>72</v>
      </c>
      <c r="E49" s="7" t="n">
        <v>100</v>
      </c>
    </row>
    <row r="50" customFormat="false" ht="15" hidden="false" customHeight="true" outlineLevel="0" collapsed="false">
      <c r="A50" s="8" t="s">
        <v>592</v>
      </c>
      <c r="B50" s="8" t="s">
        <v>9</v>
      </c>
      <c r="C50" s="9" t="n">
        <v>2001</v>
      </c>
      <c r="D50" s="9" t="n">
        <v>92</v>
      </c>
      <c r="E50" s="9" t="n">
        <v>100</v>
      </c>
    </row>
    <row r="51" customFormat="false" ht="15" hidden="false" customHeight="true" outlineLevel="0" collapsed="false">
      <c r="A51" s="6" t="s">
        <v>465</v>
      </c>
      <c r="B51" s="6" t="s">
        <v>5</v>
      </c>
      <c r="C51" s="7"/>
      <c r="D51" s="7" t="n">
        <v>100</v>
      </c>
      <c r="E51" s="7" t="n">
        <v>100</v>
      </c>
    </row>
    <row r="52" customFormat="false" ht="15" hidden="false" customHeight="true" outlineLevel="0" collapsed="false">
      <c r="A52" s="8" t="s">
        <v>593</v>
      </c>
      <c r="B52" s="8" t="s">
        <v>6</v>
      </c>
      <c r="C52" s="9" t="n">
        <v>1150</v>
      </c>
      <c r="D52" s="9" t="n">
        <v>100</v>
      </c>
      <c r="E52" s="9" t="n">
        <v>100</v>
      </c>
    </row>
    <row r="53" customFormat="false" ht="15" hidden="false" customHeight="true" outlineLevel="0" collapsed="false">
      <c r="A53" s="6" t="s">
        <v>593</v>
      </c>
      <c r="B53" s="6" t="s">
        <v>7</v>
      </c>
      <c r="C53" s="7" t="n">
        <v>1986</v>
      </c>
      <c r="D53" s="7" t="n">
        <v>76</v>
      </c>
      <c r="E53" s="7" t="n">
        <v>100</v>
      </c>
    </row>
    <row r="54" customFormat="false" ht="15" hidden="false" customHeight="true" outlineLevel="0" collapsed="false">
      <c r="A54" s="8" t="s">
        <v>593</v>
      </c>
      <c r="B54" s="8" t="s">
        <v>4</v>
      </c>
      <c r="C54" s="9" t="n">
        <v>1259</v>
      </c>
      <c r="D54" s="9" t="n">
        <v>100</v>
      </c>
      <c r="E54" s="9" t="n">
        <v>100</v>
      </c>
    </row>
    <row r="55" customFormat="false" ht="15" hidden="false" customHeight="true" outlineLevel="0" collapsed="false">
      <c r="A55" s="6" t="s">
        <v>594</v>
      </c>
      <c r="B55" s="6" t="s">
        <v>8</v>
      </c>
      <c r="C55" s="7" t="n">
        <v>2114</v>
      </c>
      <c r="D55" s="7" t="n">
        <v>71</v>
      </c>
      <c r="E55" s="7" t="n">
        <v>100</v>
      </c>
    </row>
    <row r="56" customFormat="false" ht="15" hidden="false" customHeight="true" outlineLevel="0" collapsed="false">
      <c r="A56" s="8" t="s">
        <v>594</v>
      </c>
      <c r="B56" s="8" t="s">
        <v>9</v>
      </c>
      <c r="C56" s="9" t="n">
        <v>2011</v>
      </c>
      <c r="D56" s="9" t="n">
        <v>90</v>
      </c>
      <c r="E56" s="9" t="n">
        <v>100</v>
      </c>
    </row>
    <row r="57" customFormat="false" ht="15" hidden="false" customHeight="true" outlineLevel="0" collapsed="false">
      <c r="A57" s="6" t="s">
        <v>466</v>
      </c>
      <c r="B57" s="6" t="s">
        <v>5</v>
      </c>
      <c r="C57" s="7"/>
      <c r="D57" s="7" t="n">
        <v>100</v>
      </c>
      <c r="E57" s="7" t="n">
        <v>100</v>
      </c>
    </row>
    <row r="58" customFormat="false" ht="15" hidden="false" customHeight="true" outlineLevel="0" collapsed="false">
      <c r="A58" s="8" t="s">
        <v>595</v>
      </c>
      <c r="B58" s="8" t="s">
        <v>6</v>
      </c>
      <c r="C58" s="9" t="n">
        <v>1165</v>
      </c>
      <c r="D58" s="9" t="n">
        <v>100</v>
      </c>
      <c r="E58" s="9" t="n">
        <v>100</v>
      </c>
    </row>
    <row r="59" customFormat="false" ht="15" hidden="false" customHeight="true" outlineLevel="0" collapsed="false">
      <c r="A59" s="6" t="s">
        <v>595</v>
      </c>
      <c r="B59" s="6" t="s">
        <v>7</v>
      </c>
      <c r="C59" s="7" t="n">
        <v>1989</v>
      </c>
      <c r="D59" s="7" t="n">
        <v>76</v>
      </c>
      <c r="E59" s="7" t="n">
        <v>100</v>
      </c>
    </row>
    <row r="60" customFormat="false" ht="15" hidden="false" customHeight="true" outlineLevel="0" collapsed="false">
      <c r="A60" s="8" t="s">
        <v>595</v>
      </c>
      <c r="B60" s="8" t="s">
        <v>4</v>
      </c>
      <c r="C60" s="9" t="n">
        <v>1232</v>
      </c>
      <c r="D60" s="9" t="n">
        <v>100</v>
      </c>
      <c r="E60" s="9" t="n">
        <v>100</v>
      </c>
    </row>
    <row r="61" customFormat="false" ht="15" hidden="false" customHeight="true" outlineLevel="0" collapsed="false">
      <c r="A61" s="6" t="s">
        <v>596</v>
      </c>
      <c r="B61" s="6" t="s">
        <v>8</v>
      </c>
      <c r="C61" s="7" t="n">
        <v>2112</v>
      </c>
      <c r="D61" s="7" t="n">
        <v>72</v>
      </c>
      <c r="E61" s="7" t="n">
        <v>100</v>
      </c>
    </row>
    <row r="62" customFormat="false" ht="15" hidden="false" customHeight="true" outlineLevel="0" collapsed="false">
      <c r="A62" s="8" t="s">
        <v>596</v>
      </c>
      <c r="B62" s="8" t="s">
        <v>9</v>
      </c>
      <c r="C62" s="9" t="n">
        <v>2023</v>
      </c>
      <c r="D62" s="9" t="n">
        <v>88</v>
      </c>
      <c r="E62" s="9" t="n">
        <v>100</v>
      </c>
    </row>
    <row r="63" customFormat="false" ht="15" hidden="false" customHeight="true" outlineLevel="0" collapsed="false">
      <c r="A63" s="6" t="s">
        <v>467</v>
      </c>
      <c r="B63" s="6" t="s">
        <v>6</v>
      </c>
      <c r="C63" s="7" t="n">
        <v>1149</v>
      </c>
      <c r="D63" s="7" t="n">
        <v>100</v>
      </c>
      <c r="E63" s="7" t="n">
        <v>100</v>
      </c>
    </row>
    <row r="64" customFormat="false" ht="15" hidden="false" customHeight="true" outlineLevel="0" collapsed="false">
      <c r="A64" s="8" t="s">
        <v>467</v>
      </c>
      <c r="B64" s="8" t="s">
        <v>7</v>
      </c>
      <c r="C64" s="9" t="n">
        <v>1999</v>
      </c>
      <c r="D64" s="9" t="n">
        <v>75</v>
      </c>
      <c r="E64" s="9" t="n">
        <v>100</v>
      </c>
    </row>
    <row r="65" customFormat="false" ht="15" hidden="false" customHeight="true" outlineLevel="0" collapsed="false">
      <c r="A65" s="6" t="s">
        <v>467</v>
      </c>
      <c r="B65" s="6" t="s">
        <v>4</v>
      </c>
      <c r="C65" s="7" t="n">
        <v>1225</v>
      </c>
      <c r="D65" s="7" t="n">
        <v>100</v>
      </c>
      <c r="E65" s="7" t="n">
        <v>100</v>
      </c>
    </row>
    <row r="66" customFormat="false" ht="15" hidden="false" customHeight="true" outlineLevel="0" collapsed="false">
      <c r="A66" s="8" t="s">
        <v>467</v>
      </c>
      <c r="B66" s="8" t="s">
        <v>5</v>
      </c>
      <c r="C66" s="9"/>
      <c r="D66" s="9" t="n">
        <v>100</v>
      </c>
      <c r="E66" s="9" t="n">
        <v>100</v>
      </c>
    </row>
    <row r="67" customFormat="false" ht="15" hidden="false" customHeight="true" outlineLevel="0" collapsed="false">
      <c r="A67" s="6" t="s">
        <v>597</v>
      </c>
      <c r="B67" s="6" t="s">
        <v>8</v>
      </c>
      <c r="C67" s="7" t="n">
        <v>2123</v>
      </c>
      <c r="D67" s="7" t="n">
        <v>70</v>
      </c>
      <c r="E67" s="7" t="n">
        <v>100</v>
      </c>
    </row>
    <row r="68" customFormat="false" ht="15" hidden="false" customHeight="true" outlineLevel="0" collapsed="false">
      <c r="A68" s="8" t="s">
        <v>597</v>
      </c>
      <c r="B68" s="8" t="s">
        <v>9</v>
      </c>
      <c r="C68" s="9" t="n">
        <v>2031</v>
      </c>
      <c r="D68" s="9" t="n">
        <v>86</v>
      </c>
      <c r="E68" s="9" t="n">
        <v>100</v>
      </c>
    </row>
    <row r="69" customFormat="false" ht="15" hidden="false" customHeight="true" outlineLevel="0" collapsed="false">
      <c r="A69" s="6" t="s">
        <v>468</v>
      </c>
      <c r="B69" s="6" t="s">
        <v>4</v>
      </c>
      <c r="C69" s="7" t="n">
        <v>1232</v>
      </c>
      <c r="D69" s="7" t="n">
        <v>100</v>
      </c>
      <c r="E69" s="7" t="n">
        <v>100</v>
      </c>
    </row>
    <row r="70" customFormat="false" ht="15" hidden="false" customHeight="true" outlineLevel="0" collapsed="false">
      <c r="A70" s="8" t="s">
        <v>468</v>
      </c>
      <c r="B70" s="8" t="s">
        <v>5</v>
      </c>
      <c r="C70" s="9"/>
      <c r="D70" s="9" t="n">
        <v>100</v>
      </c>
      <c r="E70" s="9" t="n">
        <v>100</v>
      </c>
    </row>
    <row r="71" customFormat="false" ht="15" hidden="false" customHeight="true" outlineLevel="0" collapsed="false">
      <c r="A71" s="6" t="s">
        <v>468</v>
      </c>
      <c r="B71" s="6" t="s">
        <v>6</v>
      </c>
      <c r="C71" s="7" t="n">
        <v>1151</v>
      </c>
      <c r="D71" s="7" t="n">
        <v>100</v>
      </c>
      <c r="E71" s="7" t="n">
        <v>100</v>
      </c>
    </row>
    <row r="72" customFormat="false" ht="15" hidden="false" customHeight="true" outlineLevel="0" collapsed="false">
      <c r="A72" s="8" t="s">
        <v>598</v>
      </c>
      <c r="B72" s="8" t="s">
        <v>7</v>
      </c>
      <c r="C72" s="9" t="n">
        <v>1984</v>
      </c>
      <c r="D72" s="9" t="n">
        <v>76</v>
      </c>
      <c r="E72" s="9" t="n">
        <v>100</v>
      </c>
    </row>
    <row r="73" customFormat="false" ht="15" hidden="false" customHeight="true" outlineLevel="0" collapsed="false">
      <c r="A73" s="6" t="s">
        <v>598</v>
      </c>
      <c r="B73" s="6" t="s">
        <v>8</v>
      </c>
      <c r="C73" s="7" t="n">
        <v>2127</v>
      </c>
      <c r="D73" s="7" t="n">
        <v>70</v>
      </c>
      <c r="E73" s="7" t="n">
        <v>100</v>
      </c>
    </row>
    <row r="74" customFormat="false" ht="15" hidden="false" customHeight="true" outlineLevel="0" collapsed="false">
      <c r="A74" s="8" t="s">
        <v>599</v>
      </c>
      <c r="B74" s="8" t="s">
        <v>9</v>
      </c>
      <c r="C74" s="9" t="n">
        <v>2032</v>
      </c>
      <c r="D74" s="9" t="n">
        <v>86</v>
      </c>
      <c r="E74" s="9" t="n">
        <v>100</v>
      </c>
    </row>
    <row r="75" customFormat="false" ht="15" hidden="false" customHeight="true" outlineLevel="0" collapsed="false">
      <c r="A75" s="6" t="s">
        <v>469</v>
      </c>
      <c r="B75" s="6" t="s">
        <v>5</v>
      </c>
      <c r="C75" s="7"/>
      <c r="D75" s="7" t="n">
        <v>100</v>
      </c>
      <c r="E75" s="7" t="n">
        <v>100</v>
      </c>
    </row>
    <row r="76" customFormat="false" ht="15" hidden="false" customHeight="true" outlineLevel="0" collapsed="false">
      <c r="A76" s="8" t="s">
        <v>600</v>
      </c>
      <c r="B76" s="8" t="s">
        <v>6</v>
      </c>
      <c r="C76" s="9" t="n">
        <v>1095</v>
      </c>
      <c r="D76" s="9" t="n">
        <v>100</v>
      </c>
      <c r="E76" s="9" t="n">
        <v>100</v>
      </c>
    </row>
    <row r="77" customFormat="false" ht="15" hidden="false" customHeight="true" outlineLevel="0" collapsed="false">
      <c r="A77" s="6" t="s">
        <v>600</v>
      </c>
      <c r="B77" s="6" t="s">
        <v>7</v>
      </c>
      <c r="C77" s="7" t="n">
        <v>2007</v>
      </c>
      <c r="D77" s="7" t="n">
        <v>74</v>
      </c>
      <c r="E77" s="7" t="n">
        <v>100</v>
      </c>
    </row>
    <row r="78" customFormat="false" ht="15" hidden="false" customHeight="true" outlineLevel="0" collapsed="false">
      <c r="A78" s="8" t="s">
        <v>600</v>
      </c>
      <c r="B78" s="8" t="s">
        <v>4</v>
      </c>
      <c r="C78" s="9" t="n">
        <v>1251</v>
      </c>
      <c r="D78" s="9" t="n">
        <v>100</v>
      </c>
      <c r="E78" s="9" t="n">
        <v>100</v>
      </c>
    </row>
    <row r="79" customFormat="false" ht="15" hidden="false" customHeight="true" outlineLevel="0" collapsed="false">
      <c r="A79" s="6" t="s">
        <v>600</v>
      </c>
      <c r="B79" s="6" t="s">
        <v>8</v>
      </c>
      <c r="C79" s="7" t="n">
        <v>2128</v>
      </c>
      <c r="D79" s="7" t="n">
        <v>70</v>
      </c>
      <c r="E79" s="7" t="n">
        <v>100</v>
      </c>
    </row>
    <row r="80" customFormat="false" ht="15" hidden="false" customHeight="true" outlineLevel="0" collapsed="false">
      <c r="A80" s="8" t="s">
        <v>601</v>
      </c>
      <c r="B80" s="8" t="s">
        <v>9</v>
      </c>
      <c r="C80" s="9" t="n">
        <v>2037</v>
      </c>
      <c r="D80" s="9" t="n">
        <v>85</v>
      </c>
      <c r="E80" s="9" t="n">
        <v>100</v>
      </c>
    </row>
    <row r="81" customFormat="false" ht="15" hidden="false" customHeight="true" outlineLevel="0" collapsed="false">
      <c r="A81" s="6" t="s">
        <v>470</v>
      </c>
      <c r="B81" s="6" t="s">
        <v>5</v>
      </c>
      <c r="C81" s="7"/>
      <c r="D81" s="7" t="n">
        <v>100</v>
      </c>
      <c r="E81" s="7" t="n">
        <v>100</v>
      </c>
    </row>
    <row r="82" customFormat="false" ht="15" hidden="false" customHeight="true" outlineLevel="0" collapsed="false">
      <c r="A82" s="8" t="s">
        <v>602</v>
      </c>
      <c r="B82" s="8" t="s">
        <v>4</v>
      </c>
      <c r="C82" s="9" t="n">
        <v>1250</v>
      </c>
      <c r="D82" s="9" t="n">
        <v>100</v>
      </c>
      <c r="E82" s="9" t="n">
        <v>100</v>
      </c>
    </row>
    <row r="83" customFormat="false" ht="15" hidden="false" customHeight="true" outlineLevel="0" collapsed="false">
      <c r="A83" s="6" t="s">
        <v>602</v>
      </c>
      <c r="B83" s="6" t="s">
        <v>6</v>
      </c>
      <c r="C83" s="7" t="n">
        <v>1152</v>
      </c>
      <c r="D83" s="7" t="n">
        <v>100</v>
      </c>
      <c r="E83" s="7" t="n">
        <v>100</v>
      </c>
    </row>
    <row r="84" customFormat="false" ht="15" hidden="false" customHeight="true" outlineLevel="0" collapsed="false">
      <c r="A84" s="8" t="s">
        <v>603</v>
      </c>
      <c r="B84" s="8" t="s">
        <v>9</v>
      </c>
      <c r="C84" s="9" t="n">
        <v>2042</v>
      </c>
      <c r="D84" s="9" t="n">
        <v>84</v>
      </c>
      <c r="E84" s="9" t="n">
        <v>100</v>
      </c>
    </row>
    <row r="85" customFormat="false" ht="15" hidden="false" customHeight="true" outlineLevel="0" collapsed="false">
      <c r="A85" s="6" t="s">
        <v>603</v>
      </c>
      <c r="B85" s="6" t="s">
        <v>8</v>
      </c>
      <c r="C85" s="7" t="n">
        <v>2128</v>
      </c>
      <c r="D85" s="7" t="n">
        <v>70</v>
      </c>
      <c r="E85" s="7" t="n">
        <v>100</v>
      </c>
    </row>
    <row r="86" customFormat="false" ht="15" hidden="false" customHeight="true" outlineLevel="0" collapsed="false">
      <c r="A86" s="8" t="s">
        <v>603</v>
      </c>
      <c r="B86" s="8" t="s">
        <v>7</v>
      </c>
      <c r="C86" s="9" t="n">
        <v>2010</v>
      </c>
      <c r="D86" s="9" t="n">
        <v>74</v>
      </c>
      <c r="E86" s="9" t="n">
        <v>100</v>
      </c>
    </row>
    <row r="87" customFormat="false" ht="15" hidden="false" customHeight="true" outlineLevel="0" collapsed="false">
      <c r="A87" s="6" t="s">
        <v>471</v>
      </c>
      <c r="B87" s="6" t="s">
        <v>4</v>
      </c>
      <c r="C87" s="7" t="n">
        <v>1257</v>
      </c>
      <c r="D87" s="7" t="n">
        <v>100</v>
      </c>
      <c r="E87" s="7" t="n">
        <v>100</v>
      </c>
    </row>
    <row r="88" customFormat="false" ht="15" hidden="false" customHeight="true" outlineLevel="0" collapsed="false">
      <c r="A88" s="8" t="s">
        <v>471</v>
      </c>
      <c r="B88" s="8" t="s">
        <v>5</v>
      </c>
      <c r="C88" s="9"/>
      <c r="D88" s="9" t="n">
        <v>100</v>
      </c>
      <c r="E88" s="9" t="n">
        <v>100</v>
      </c>
    </row>
    <row r="89" customFormat="false" ht="15" hidden="false" customHeight="true" outlineLevel="0" collapsed="false">
      <c r="A89" s="6" t="s">
        <v>604</v>
      </c>
      <c r="B89" s="6" t="s">
        <v>6</v>
      </c>
      <c r="C89" s="7" t="n">
        <v>1079</v>
      </c>
      <c r="D89" s="7" t="n">
        <v>100</v>
      </c>
      <c r="E89" s="7" t="n">
        <v>100</v>
      </c>
    </row>
    <row r="90" customFormat="false" ht="15" hidden="false" customHeight="true" outlineLevel="0" collapsed="false">
      <c r="A90" s="8" t="s">
        <v>604</v>
      </c>
      <c r="B90" s="8" t="s">
        <v>7</v>
      </c>
      <c r="C90" s="9" t="n">
        <v>2017</v>
      </c>
      <c r="D90" s="9" t="n">
        <v>73</v>
      </c>
      <c r="E90" s="9" t="n">
        <v>100</v>
      </c>
    </row>
    <row r="91" customFormat="false" ht="15" hidden="false" customHeight="true" outlineLevel="0" collapsed="false">
      <c r="A91" s="6" t="s">
        <v>604</v>
      </c>
      <c r="B91" s="6" t="s">
        <v>8</v>
      </c>
      <c r="C91" s="7" t="n">
        <v>2129</v>
      </c>
      <c r="D91" s="7" t="n">
        <v>70</v>
      </c>
      <c r="E91" s="7" t="n">
        <v>100</v>
      </c>
    </row>
    <row r="92" customFormat="false" ht="15" hidden="false" customHeight="true" outlineLevel="0" collapsed="false">
      <c r="A92" s="8" t="s">
        <v>605</v>
      </c>
      <c r="B92" s="8" t="s">
        <v>9</v>
      </c>
      <c r="C92" s="9" t="n">
        <v>2045</v>
      </c>
      <c r="D92" s="9" t="n">
        <v>84</v>
      </c>
      <c r="E92" s="9" t="n">
        <v>100</v>
      </c>
    </row>
    <row r="93" customFormat="false" ht="15" hidden="false" customHeight="true" outlineLevel="0" collapsed="false">
      <c r="A93" s="6" t="s">
        <v>472</v>
      </c>
      <c r="B93" s="6" t="s">
        <v>4</v>
      </c>
      <c r="C93" s="7" t="n">
        <v>1231</v>
      </c>
      <c r="D93" s="7" t="n">
        <v>100</v>
      </c>
      <c r="E93" s="7" t="n">
        <v>100</v>
      </c>
    </row>
    <row r="94" customFormat="false" ht="15" hidden="false" customHeight="true" outlineLevel="0" collapsed="false">
      <c r="A94" s="8" t="s">
        <v>472</v>
      </c>
      <c r="B94" s="8" t="s">
        <v>5</v>
      </c>
      <c r="C94" s="9"/>
      <c r="D94" s="9" t="n">
        <v>100</v>
      </c>
      <c r="E94" s="9" t="n">
        <v>100</v>
      </c>
    </row>
    <row r="95" customFormat="false" ht="15" hidden="false" customHeight="true" outlineLevel="0" collapsed="false">
      <c r="A95" s="6" t="s">
        <v>606</v>
      </c>
      <c r="B95" s="6" t="s">
        <v>6</v>
      </c>
      <c r="C95" s="7" t="n">
        <v>1189</v>
      </c>
      <c r="D95" s="7" t="n">
        <v>100</v>
      </c>
      <c r="E95" s="7" t="n">
        <v>100</v>
      </c>
    </row>
    <row r="96" customFormat="false" ht="15" hidden="false" customHeight="true" outlineLevel="0" collapsed="false">
      <c r="A96" s="8" t="s">
        <v>606</v>
      </c>
      <c r="B96" s="8" t="s">
        <v>7</v>
      </c>
      <c r="C96" s="9" t="n">
        <v>2017</v>
      </c>
      <c r="D96" s="9" t="n">
        <v>73</v>
      </c>
      <c r="E96" s="9" t="n">
        <v>100</v>
      </c>
    </row>
    <row r="97" customFormat="false" ht="15" hidden="false" customHeight="true" outlineLevel="0" collapsed="false">
      <c r="A97" s="6" t="s">
        <v>606</v>
      </c>
      <c r="B97" s="6" t="s">
        <v>8</v>
      </c>
      <c r="C97" s="7" t="n">
        <v>2129</v>
      </c>
      <c r="D97" s="7" t="n">
        <v>70</v>
      </c>
      <c r="E97" s="7" t="n">
        <v>100</v>
      </c>
    </row>
    <row r="98" customFormat="false" ht="15" hidden="false" customHeight="true" outlineLevel="0" collapsed="false">
      <c r="A98" s="8" t="s">
        <v>607</v>
      </c>
      <c r="B98" s="8" t="s">
        <v>9</v>
      </c>
      <c r="C98" s="9" t="n">
        <v>2059</v>
      </c>
      <c r="D98" s="9" t="n">
        <v>81</v>
      </c>
      <c r="E98" s="9" t="n">
        <v>100</v>
      </c>
    </row>
    <row r="99" customFormat="false" ht="15" hidden="false" customHeight="true" outlineLevel="0" collapsed="false">
      <c r="A99" s="6" t="s">
        <v>473</v>
      </c>
      <c r="B99" s="6" t="s">
        <v>5</v>
      </c>
      <c r="C99" s="7"/>
      <c r="D99" s="7" t="n">
        <v>100</v>
      </c>
      <c r="E99" s="7" t="n">
        <v>100</v>
      </c>
    </row>
    <row r="100" customFormat="false" ht="15" hidden="false" customHeight="true" outlineLevel="0" collapsed="false">
      <c r="A100" s="8" t="s">
        <v>608</v>
      </c>
      <c r="B100" s="8" t="s">
        <v>4</v>
      </c>
      <c r="C100" s="9" t="n">
        <v>1234</v>
      </c>
      <c r="D100" s="9" t="n">
        <v>100</v>
      </c>
      <c r="E100" s="9" t="n">
        <v>100</v>
      </c>
    </row>
    <row r="101" customFormat="false" ht="15" hidden="false" customHeight="true" outlineLevel="0" collapsed="false">
      <c r="A101" s="6" t="s">
        <v>609</v>
      </c>
      <c r="B101" s="6" t="s">
        <v>6</v>
      </c>
      <c r="C101" s="7" t="n">
        <v>1150</v>
      </c>
      <c r="D101" s="7" t="n">
        <v>100</v>
      </c>
      <c r="E101" s="7" t="n">
        <v>100</v>
      </c>
    </row>
    <row r="102" customFormat="false" ht="15" hidden="false" customHeight="true" outlineLevel="0" collapsed="false">
      <c r="A102" s="8" t="s">
        <v>609</v>
      </c>
      <c r="B102" s="8" t="s">
        <v>7</v>
      </c>
      <c r="C102" s="9" t="n">
        <v>2022</v>
      </c>
      <c r="D102" s="9" t="n">
        <v>73</v>
      </c>
      <c r="E102" s="9" t="n">
        <v>100</v>
      </c>
    </row>
    <row r="103" customFormat="false" ht="15" hidden="false" customHeight="true" outlineLevel="0" collapsed="false">
      <c r="A103" s="6" t="s">
        <v>609</v>
      </c>
      <c r="B103" s="6" t="s">
        <v>8</v>
      </c>
      <c r="C103" s="7" t="n">
        <v>2133</v>
      </c>
      <c r="D103" s="7" t="n">
        <v>69</v>
      </c>
      <c r="E103" s="7" t="n">
        <v>100</v>
      </c>
    </row>
    <row r="104" customFormat="false" ht="15" hidden="false" customHeight="true" outlineLevel="0" collapsed="false">
      <c r="A104" s="8" t="s">
        <v>610</v>
      </c>
      <c r="B104" s="8" t="s">
        <v>9</v>
      </c>
      <c r="C104" s="9" t="n">
        <v>2060</v>
      </c>
      <c r="D104" s="9" t="n">
        <v>81</v>
      </c>
      <c r="E104" s="9" t="n">
        <v>100</v>
      </c>
    </row>
    <row r="105" customFormat="false" ht="15" hidden="false" customHeight="true" outlineLevel="0" collapsed="false">
      <c r="A105" s="6" t="s">
        <v>474</v>
      </c>
      <c r="B105" s="6" t="s">
        <v>5</v>
      </c>
      <c r="C105" s="7"/>
      <c r="D105" s="7" t="n">
        <v>100</v>
      </c>
      <c r="E105" s="7" t="n">
        <v>100</v>
      </c>
    </row>
    <row r="106" customFormat="false" ht="15" hidden="false" customHeight="true" outlineLevel="0" collapsed="false">
      <c r="A106" s="8" t="s">
        <v>611</v>
      </c>
      <c r="B106" s="8" t="s">
        <v>6</v>
      </c>
      <c r="C106" s="9" t="n">
        <v>1124</v>
      </c>
      <c r="D106" s="9" t="n">
        <v>100</v>
      </c>
      <c r="E106" s="9" t="n">
        <v>100</v>
      </c>
    </row>
    <row r="107" customFormat="false" ht="15" hidden="false" customHeight="true" outlineLevel="0" collapsed="false">
      <c r="A107" s="6" t="s">
        <v>611</v>
      </c>
      <c r="B107" s="6" t="s">
        <v>7</v>
      </c>
      <c r="C107" s="7" t="n">
        <v>2030</v>
      </c>
      <c r="D107" s="7" t="n">
        <v>72</v>
      </c>
      <c r="E107" s="7" t="n">
        <v>100</v>
      </c>
    </row>
    <row r="108" customFormat="false" ht="15" hidden="false" customHeight="true" outlineLevel="0" collapsed="false">
      <c r="A108" s="8" t="s">
        <v>611</v>
      </c>
      <c r="B108" s="8" t="s">
        <v>4</v>
      </c>
      <c r="C108" s="9" t="n">
        <v>1247</v>
      </c>
      <c r="D108" s="9" t="n">
        <v>100</v>
      </c>
      <c r="E108" s="9" t="n">
        <v>100</v>
      </c>
    </row>
    <row r="109" customFormat="false" ht="15" hidden="false" customHeight="true" outlineLevel="0" collapsed="false">
      <c r="A109" s="6" t="s">
        <v>612</v>
      </c>
      <c r="B109" s="6" t="s">
        <v>8</v>
      </c>
      <c r="C109" s="7" t="n">
        <v>2133</v>
      </c>
      <c r="D109" s="7" t="n">
        <v>69</v>
      </c>
      <c r="E109" s="7" t="n">
        <v>100</v>
      </c>
    </row>
    <row r="110" customFormat="false" ht="15" hidden="false" customHeight="true" outlineLevel="0" collapsed="false">
      <c r="A110" s="8" t="s">
        <v>612</v>
      </c>
      <c r="B110" s="8" t="s">
        <v>9</v>
      </c>
      <c r="C110" s="9" t="n">
        <v>2064</v>
      </c>
      <c r="D110" s="9" t="n">
        <v>81</v>
      </c>
      <c r="E110" s="9" t="n">
        <v>100</v>
      </c>
    </row>
    <row r="111" customFormat="false" ht="15" hidden="false" customHeight="true" outlineLevel="0" collapsed="false">
      <c r="A111" s="6" t="s">
        <v>475</v>
      </c>
      <c r="B111" s="6" t="s">
        <v>5</v>
      </c>
      <c r="C111" s="7"/>
      <c r="D111" s="7" t="n">
        <v>100</v>
      </c>
      <c r="E111" s="7" t="n">
        <v>100</v>
      </c>
    </row>
    <row r="112" customFormat="false" ht="15" hidden="false" customHeight="true" outlineLevel="0" collapsed="false">
      <c r="A112" s="8" t="s">
        <v>475</v>
      </c>
      <c r="B112" s="8" t="s">
        <v>4</v>
      </c>
      <c r="C112" s="9" t="n">
        <v>1241</v>
      </c>
      <c r="D112" s="9" t="n">
        <v>100</v>
      </c>
      <c r="E112" s="9" t="n">
        <v>100</v>
      </c>
    </row>
    <row r="113" customFormat="false" ht="15" hidden="false" customHeight="true" outlineLevel="0" collapsed="false">
      <c r="A113" s="6" t="s">
        <v>475</v>
      </c>
      <c r="B113" s="6" t="s">
        <v>6</v>
      </c>
      <c r="C113" s="7" t="n">
        <v>1125</v>
      </c>
      <c r="D113" s="7" t="n">
        <v>100</v>
      </c>
      <c r="E113" s="7" t="n">
        <v>100</v>
      </c>
    </row>
    <row r="114" customFormat="false" ht="15" hidden="false" customHeight="true" outlineLevel="0" collapsed="false">
      <c r="A114" s="8" t="s">
        <v>475</v>
      </c>
      <c r="B114" s="8" t="s">
        <v>7</v>
      </c>
      <c r="C114" s="9" t="n">
        <v>2028</v>
      </c>
      <c r="D114" s="9" t="n">
        <v>72</v>
      </c>
      <c r="E114" s="9" t="n">
        <v>100</v>
      </c>
    </row>
    <row r="115" customFormat="false" ht="15" hidden="false" customHeight="true" outlineLevel="0" collapsed="false">
      <c r="A115" s="6" t="s">
        <v>613</v>
      </c>
      <c r="B115" s="6" t="s">
        <v>8</v>
      </c>
      <c r="C115" s="7" t="n">
        <v>2138</v>
      </c>
      <c r="D115" s="7" t="n">
        <v>68</v>
      </c>
      <c r="E115" s="7" t="n">
        <v>100</v>
      </c>
    </row>
    <row r="116" customFormat="false" ht="15" hidden="false" customHeight="true" outlineLevel="0" collapsed="false">
      <c r="A116" s="8" t="s">
        <v>613</v>
      </c>
      <c r="B116" s="8" t="s">
        <v>9</v>
      </c>
      <c r="C116" s="9" t="n">
        <v>2065</v>
      </c>
      <c r="D116" s="9" t="n">
        <v>80</v>
      </c>
      <c r="E116" s="9" t="n">
        <v>100</v>
      </c>
    </row>
    <row r="117" customFormat="false" ht="15" hidden="false" customHeight="true" outlineLevel="0" collapsed="false">
      <c r="A117" s="6" t="s">
        <v>476</v>
      </c>
      <c r="B117" s="6" t="s">
        <v>5</v>
      </c>
      <c r="C117" s="7"/>
      <c r="D117" s="7" t="n">
        <v>100</v>
      </c>
      <c r="E117" s="7" t="n">
        <v>100</v>
      </c>
    </row>
    <row r="118" customFormat="false" ht="15" hidden="false" customHeight="true" outlineLevel="0" collapsed="false">
      <c r="A118" s="8" t="s">
        <v>614</v>
      </c>
      <c r="B118" s="8" t="s">
        <v>6</v>
      </c>
      <c r="C118" s="9" t="n">
        <v>1151</v>
      </c>
      <c r="D118" s="9" t="n">
        <v>100</v>
      </c>
      <c r="E118" s="9" t="n">
        <v>100</v>
      </c>
    </row>
    <row r="119" customFormat="false" ht="15" hidden="false" customHeight="true" outlineLevel="0" collapsed="false">
      <c r="A119" s="6" t="s">
        <v>614</v>
      </c>
      <c r="B119" s="6" t="s">
        <v>7</v>
      </c>
      <c r="C119" s="7" t="n">
        <v>2031</v>
      </c>
      <c r="D119" s="7" t="n">
        <v>72</v>
      </c>
      <c r="E119" s="7" t="n">
        <v>100</v>
      </c>
    </row>
    <row r="120" customFormat="false" ht="15" hidden="false" customHeight="true" outlineLevel="0" collapsed="false">
      <c r="A120" s="8" t="s">
        <v>614</v>
      </c>
      <c r="B120" s="8" t="s">
        <v>4</v>
      </c>
      <c r="C120" s="9" t="n">
        <v>1228</v>
      </c>
      <c r="D120" s="9" t="n">
        <v>100</v>
      </c>
      <c r="E120" s="9" t="n">
        <v>100</v>
      </c>
    </row>
    <row r="121" customFormat="false" ht="15" hidden="false" customHeight="true" outlineLevel="0" collapsed="false">
      <c r="A121" s="6" t="s">
        <v>615</v>
      </c>
      <c r="B121" s="6" t="s">
        <v>8</v>
      </c>
      <c r="C121" s="7" t="n">
        <v>2139</v>
      </c>
      <c r="D121" s="7" t="n">
        <v>68</v>
      </c>
      <c r="E121" s="7" t="n">
        <v>100</v>
      </c>
    </row>
    <row r="122" customFormat="false" ht="15" hidden="false" customHeight="true" outlineLevel="0" collapsed="false">
      <c r="A122" s="8" t="s">
        <v>615</v>
      </c>
      <c r="B122" s="8" t="s">
        <v>9</v>
      </c>
      <c r="C122" s="9" t="n">
        <v>2073</v>
      </c>
      <c r="D122" s="9" t="n">
        <v>79</v>
      </c>
      <c r="E122" s="9" t="n">
        <v>100</v>
      </c>
    </row>
    <row r="123" customFormat="false" ht="15" hidden="false" customHeight="true" outlineLevel="0" collapsed="false">
      <c r="A123" s="6" t="s">
        <v>477</v>
      </c>
      <c r="B123" s="6" t="s">
        <v>4</v>
      </c>
      <c r="C123" s="7" t="n">
        <v>1211</v>
      </c>
      <c r="D123" s="7" t="n">
        <v>100</v>
      </c>
      <c r="E123" s="7" t="n">
        <v>100</v>
      </c>
    </row>
    <row r="124" customFormat="false" ht="15" hidden="false" customHeight="true" outlineLevel="0" collapsed="false">
      <c r="A124" s="8" t="s">
        <v>477</v>
      </c>
      <c r="B124" s="8" t="s">
        <v>5</v>
      </c>
      <c r="C124" s="9"/>
      <c r="D124" s="9" t="n">
        <v>100</v>
      </c>
      <c r="E124" s="9" t="n">
        <v>100</v>
      </c>
    </row>
    <row r="125" customFormat="false" ht="15" hidden="false" customHeight="true" outlineLevel="0" collapsed="false">
      <c r="A125" s="6" t="s">
        <v>616</v>
      </c>
      <c r="B125" s="6" t="s">
        <v>7</v>
      </c>
      <c r="C125" s="7" t="n">
        <v>2032</v>
      </c>
      <c r="D125" s="7" t="n">
        <v>72</v>
      </c>
      <c r="E125" s="7" t="n">
        <v>100</v>
      </c>
    </row>
    <row r="126" customFormat="false" ht="15" hidden="false" customHeight="true" outlineLevel="0" collapsed="false">
      <c r="A126" s="8" t="s">
        <v>616</v>
      </c>
      <c r="B126" s="8" t="s">
        <v>8</v>
      </c>
      <c r="C126" s="9" t="n">
        <v>2140</v>
      </c>
      <c r="D126" s="9" t="n">
        <v>68</v>
      </c>
      <c r="E126" s="9" t="n">
        <v>100</v>
      </c>
    </row>
    <row r="127" customFormat="false" ht="15" hidden="false" customHeight="true" outlineLevel="0" collapsed="false">
      <c r="A127" s="6" t="s">
        <v>616</v>
      </c>
      <c r="B127" s="6" t="s">
        <v>6</v>
      </c>
      <c r="C127" s="7" t="n">
        <v>1147</v>
      </c>
      <c r="D127" s="7" t="n">
        <v>100</v>
      </c>
      <c r="E127" s="7" t="n">
        <v>100</v>
      </c>
    </row>
    <row r="128" customFormat="false" ht="15" hidden="false" customHeight="true" outlineLevel="0" collapsed="false">
      <c r="A128" s="8" t="s">
        <v>617</v>
      </c>
      <c r="B128" s="8" t="s">
        <v>9</v>
      </c>
      <c r="C128" s="9" t="n">
        <v>2075</v>
      </c>
      <c r="D128" s="9" t="n">
        <v>79</v>
      </c>
      <c r="E128" s="9" t="n">
        <v>100</v>
      </c>
    </row>
    <row r="129" customFormat="false" ht="15" hidden="false" customHeight="true" outlineLevel="0" collapsed="false">
      <c r="A129" s="6" t="s">
        <v>478</v>
      </c>
      <c r="B129" s="6" t="s">
        <v>5</v>
      </c>
      <c r="C129" s="7"/>
      <c r="D129" s="7" t="n">
        <v>100</v>
      </c>
      <c r="E129" s="7" t="n">
        <v>100</v>
      </c>
    </row>
    <row r="130" customFormat="false" ht="15" hidden="false" customHeight="true" outlineLevel="0" collapsed="false">
      <c r="A130" s="8" t="s">
        <v>618</v>
      </c>
      <c r="B130" s="8" t="s">
        <v>6</v>
      </c>
      <c r="C130" s="9" t="n">
        <v>1152</v>
      </c>
      <c r="D130" s="9" t="n">
        <v>100</v>
      </c>
      <c r="E130" s="9" t="n">
        <v>100</v>
      </c>
    </row>
    <row r="131" customFormat="false" ht="15" hidden="false" customHeight="true" outlineLevel="0" collapsed="false">
      <c r="A131" s="6" t="s">
        <v>618</v>
      </c>
      <c r="B131" s="6" t="s">
        <v>4</v>
      </c>
      <c r="C131" s="7" t="n">
        <v>1232</v>
      </c>
      <c r="D131" s="7" t="n">
        <v>100</v>
      </c>
      <c r="E131" s="7" t="n">
        <v>100</v>
      </c>
    </row>
    <row r="132" customFormat="false" ht="15" hidden="false" customHeight="true" outlineLevel="0" collapsed="false">
      <c r="A132" s="8" t="s">
        <v>619</v>
      </c>
      <c r="B132" s="8" t="s">
        <v>7</v>
      </c>
      <c r="C132" s="9" t="n">
        <v>2036</v>
      </c>
      <c r="D132" s="9" t="n">
        <v>71</v>
      </c>
      <c r="E132" s="9" t="n">
        <v>100</v>
      </c>
    </row>
    <row r="133" customFormat="false" ht="15" hidden="false" customHeight="true" outlineLevel="0" collapsed="false">
      <c r="A133" s="6" t="s">
        <v>619</v>
      </c>
      <c r="B133" s="6" t="s">
        <v>8</v>
      </c>
      <c r="C133" s="7" t="n">
        <v>2142</v>
      </c>
      <c r="D133" s="7" t="n">
        <v>68</v>
      </c>
      <c r="E133" s="7" t="n">
        <v>100</v>
      </c>
    </row>
    <row r="134" customFormat="false" ht="15" hidden="false" customHeight="true" outlineLevel="0" collapsed="false">
      <c r="A134" s="8" t="s">
        <v>619</v>
      </c>
      <c r="B134" s="8" t="s">
        <v>9</v>
      </c>
      <c r="C134" s="9" t="n">
        <v>2077</v>
      </c>
      <c r="D134" s="9" t="n">
        <v>78</v>
      </c>
      <c r="E134" s="9" t="n">
        <v>100</v>
      </c>
    </row>
    <row r="135" customFormat="false" ht="15" hidden="false" customHeight="true" outlineLevel="0" collapsed="false">
      <c r="A135" s="6" t="s">
        <v>479</v>
      </c>
      <c r="B135" s="6" t="s">
        <v>6</v>
      </c>
      <c r="C135" s="7" t="n">
        <v>1151</v>
      </c>
      <c r="D135" s="7" t="n">
        <v>100</v>
      </c>
      <c r="E135" s="7" t="n">
        <v>100</v>
      </c>
    </row>
    <row r="136" customFormat="false" ht="15" hidden="false" customHeight="true" outlineLevel="0" collapsed="false">
      <c r="A136" s="8" t="s">
        <v>479</v>
      </c>
      <c r="B136" s="8" t="s">
        <v>4</v>
      </c>
      <c r="C136" s="9" t="n">
        <v>1237</v>
      </c>
      <c r="D136" s="9" t="n">
        <v>100</v>
      </c>
      <c r="E136" s="9" t="n">
        <v>100</v>
      </c>
    </row>
    <row r="137" customFormat="false" ht="15" hidden="false" customHeight="true" outlineLevel="0" collapsed="false">
      <c r="A137" s="6" t="s">
        <v>479</v>
      </c>
      <c r="B137" s="6" t="s">
        <v>5</v>
      </c>
      <c r="C137" s="7"/>
      <c r="D137" s="7" t="n">
        <v>100</v>
      </c>
      <c r="E137" s="7" t="n">
        <v>100</v>
      </c>
    </row>
    <row r="138" customFormat="false" ht="15" hidden="false" customHeight="true" outlineLevel="0" collapsed="false">
      <c r="A138" s="8" t="s">
        <v>620</v>
      </c>
      <c r="B138" s="8" t="s">
        <v>9</v>
      </c>
      <c r="C138" s="9" t="n">
        <v>2074</v>
      </c>
      <c r="D138" s="9" t="n">
        <v>79</v>
      </c>
      <c r="E138" s="9" t="n">
        <v>100</v>
      </c>
    </row>
    <row r="139" customFormat="false" ht="15" hidden="false" customHeight="true" outlineLevel="0" collapsed="false">
      <c r="A139" s="6" t="s">
        <v>620</v>
      </c>
      <c r="B139" s="6" t="s">
        <v>7</v>
      </c>
      <c r="C139" s="7" t="n">
        <v>2038</v>
      </c>
      <c r="D139" s="7" t="n">
        <v>71</v>
      </c>
      <c r="E139" s="7" t="n">
        <v>100</v>
      </c>
    </row>
    <row r="140" customFormat="false" ht="15" hidden="false" customHeight="true" outlineLevel="0" collapsed="false">
      <c r="A140" s="8" t="s">
        <v>620</v>
      </c>
      <c r="B140" s="8" t="s">
        <v>8</v>
      </c>
      <c r="C140" s="9" t="n">
        <v>2143</v>
      </c>
      <c r="D140" s="9" t="n">
        <v>68</v>
      </c>
      <c r="E140" s="9" t="n">
        <v>100</v>
      </c>
    </row>
    <row r="141" customFormat="false" ht="15" hidden="false" customHeight="true" outlineLevel="0" collapsed="false">
      <c r="A141" s="6" t="s">
        <v>480</v>
      </c>
      <c r="B141" s="6" t="s">
        <v>5</v>
      </c>
      <c r="C141" s="7"/>
      <c r="D141" s="7" t="n">
        <v>100</v>
      </c>
      <c r="E141" s="7" t="n">
        <v>100</v>
      </c>
    </row>
    <row r="142" customFormat="false" ht="15" hidden="false" customHeight="true" outlineLevel="0" collapsed="false">
      <c r="A142" s="8" t="s">
        <v>480</v>
      </c>
      <c r="B142" s="8" t="s">
        <v>4</v>
      </c>
      <c r="C142" s="9" t="n">
        <v>1245</v>
      </c>
      <c r="D142" s="9" t="n">
        <v>100</v>
      </c>
      <c r="E142" s="9" t="n">
        <v>100</v>
      </c>
    </row>
    <row r="143" customFormat="false" ht="15" hidden="false" customHeight="true" outlineLevel="0" collapsed="false">
      <c r="A143" s="6" t="s">
        <v>621</v>
      </c>
      <c r="B143" s="6" t="s">
        <v>6</v>
      </c>
      <c r="C143" s="7" t="n">
        <v>1149</v>
      </c>
      <c r="D143" s="7" t="n">
        <v>100</v>
      </c>
      <c r="E143" s="7" t="n">
        <v>100</v>
      </c>
    </row>
    <row r="144" customFormat="false" ht="15" hidden="false" customHeight="true" outlineLevel="0" collapsed="false">
      <c r="A144" s="8" t="s">
        <v>621</v>
      </c>
      <c r="B144" s="8" t="s">
        <v>7</v>
      </c>
      <c r="C144" s="9" t="n">
        <v>2040</v>
      </c>
      <c r="D144" s="9" t="n">
        <v>71</v>
      </c>
      <c r="E144" s="9" t="n">
        <v>100</v>
      </c>
    </row>
    <row r="145" customFormat="false" ht="15" hidden="false" customHeight="true" outlineLevel="0" collapsed="false">
      <c r="A145" s="6" t="s">
        <v>621</v>
      </c>
      <c r="B145" s="6" t="s">
        <v>8</v>
      </c>
      <c r="C145" s="7" t="n">
        <v>2144</v>
      </c>
      <c r="D145" s="7" t="n">
        <v>68</v>
      </c>
      <c r="E145" s="7" t="n">
        <v>100</v>
      </c>
    </row>
    <row r="146" customFormat="false" ht="15" hidden="false" customHeight="true" outlineLevel="0" collapsed="false">
      <c r="A146" s="8" t="s">
        <v>622</v>
      </c>
      <c r="B146" s="8" t="s">
        <v>9</v>
      </c>
      <c r="C146" s="9" t="n">
        <v>2085</v>
      </c>
      <c r="D146" s="9" t="n">
        <v>77</v>
      </c>
      <c r="E146" s="9" t="n">
        <v>100</v>
      </c>
    </row>
    <row r="147" customFormat="false" ht="15" hidden="false" customHeight="true" outlineLevel="0" collapsed="false">
      <c r="A147" s="6" t="s">
        <v>481</v>
      </c>
      <c r="B147" s="6" t="s">
        <v>5</v>
      </c>
      <c r="C147" s="7"/>
      <c r="D147" s="7" t="n">
        <v>100</v>
      </c>
      <c r="E147" s="7" t="n">
        <v>100</v>
      </c>
    </row>
    <row r="148" customFormat="false" ht="15" hidden="false" customHeight="true" outlineLevel="0" collapsed="false">
      <c r="A148" s="8" t="s">
        <v>623</v>
      </c>
      <c r="B148" s="8" t="s">
        <v>6</v>
      </c>
      <c r="C148" s="9" t="n">
        <v>1142</v>
      </c>
      <c r="D148" s="9" t="n">
        <v>100</v>
      </c>
      <c r="E148" s="9" t="n">
        <v>100</v>
      </c>
    </row>
    <row r="149" customFormat="false" ht="15" hidden="false" customHeight="true" outlineLevel="0" collapsed="false">
      <c r="A149" s="6" t="s">
        <v>623</v>
      </c>
      <c r="B149" s="6" t="s">
        <v>4</v>
      </c>
      <c r="C149" s="7" t="n">
        <v>1251</v>
      </c>
      <c r="D149" s="7" t="n">
        <v>100</v>
      </c>
      <c r="E149" s="7" t="n">
        <v>100</v>
      </c>
    </row>
    <row r="150" customFormat="false" ht="15" hidden="false" customHeight="true" outlineLevel="0" collapsed="false">
      <c r="A150" s="8" t="s">
        <v>624</v>
      </c>
      <c r="B150" s="8" t="s">
        <v>7</v>
      </c>
      <c r="C150" s="9" t="n">
        <v>2043</v>
      </c>
      <c r="D150" s="9" t="n">
        <v>71</v>
      </c>
      <c r="E150" s="9" t="n">
        <v>100</v>
      </c>
    </row>
    <row r="151" customFormat="false" ht="15" hidden="false" customHeight="true" outlineLevel="0" collapsed="false">
      <c r="A151" s="6" t="s">
        <v>624</v>
      </c>
      <c r="B151" s="6" t="s">
        <v>8</v>
      </c>
      <c r="C151" s="7" t="n">
        <v>2145</v>
      </c>
      <c r="D151" s="7" t="n">
        <v>68</v>
      </c>
      <c r="E151" s="7" t="n">
        <v>100</v>
      </c>
    </row>
    <row r="152" customFormat="false" ht="15" hidden="false" customHeight="true" outlineLevel="0" collapsed="false">
      <c r="A152" s="8" t="s">
        <v>624</v>
      </c>
      <c r="B152" s="8" t="s">
        <v>9</v>
      </c>
      <c r="C152" s="9" t="n">
        <v>2087</v>
      </c>
      <c r="D152" s="9" t="n">
        <v>77</v>
      </c>
      <c r="E152" s="9" t="n">
        <v>100</v>
      </c>
    </row>
    <row r="153" customFormat="false" ht="15" hidden="false" customHeight="true" outlineLevel="0" collapsed="false">
      <c r="A153" s="6" t="s">
        <v>482</v>
      </c>
      <c r="B153" s="6" t="s">
        <v>5</v>
      </c>
      <c r="C153" s="7"/>
      <c r="D153" s="7" t="n">
        <v>100</v>
      </c>
      <c r="E153" s="7" t="n">
        <v>100</v>
      </c>
    </row>
    <row r="154" customFormat="false" ht="15" hidden="false" customHeight="true" outlineLevel="0" collapsed="false">
      <c r="A154" s="8" t="s">
        <v>482</v>
      </c>
      <c r="B154" s="8" t="s">
        <v>6</v>
      </c>
      <c r="C154" s="9" t="n">
        <v>1147</v>
      </c>
      <c r="D154" s="9" t="n">
        <v>100</v>
      </c>
      <c r="E154" s="9" t="n">
        <v>100</v>
      </c>
    </row>
    <row r="155" customFormat="false" ht="15" hidden="false" customHeight="true" outlineLevel="0" collapsed="false">
      <c r="A155" s="6" t="s">
        <v>482</v>
      </c>
      <c r="B155" s="6" t="s">
        <v>4</v>
      </c>
      <c r="C155" s="7" t="n">
        <v>1249</v>
      </c>
      <c r="D155" s="7" t="n">
        <v>100</v>
      </c>
      <c r="E155" s="7" t="n">
        <v>100</v>
      </c>
    </row>
    <row r="156" customFormat="false" ht="15" hidden="false" customHeight="true" outlineLevel="0" collapsed="false">
      <c r="A156" s="8" t="s">
        <v>625</v>
      </c>
      <c r="B156" s="8" t="s">
        <v>7</v>
      </c>
      <c r="C156" s="9" t="n">
        <v>2047</v>
      </c>
      <c r="D156" s="9" t="n">
        <v>70</v>
      </c>
      <c r="E156" s="9" t="n">
        <v>100</v>
      </c>
    </row>
    <row r="157" customFormat="false" ht="15" hidden="false" customHeight="true" outlineLevel="0" collapsed="false">
      <c r="A157" s="6" t="s">
        <v>625</v>
      </c>
      <c r="B157" s="6" t="s">
        <v>8</v>
      </c>
      <c r="C157" s="7" t="n">
        <v>2144</v>
      </c>
      <c r="D157" s="7" t="n">
        <v>68</v>
      </c>
      <c r="E157" s="7" t="n">
        <v>100</v>
      </c>
    </row>
    <row r="158" customFormat="false" ht="15" hidden="false" customHeight="true" outlineLevel="0" collapsed="false">
      <c r="A158" s="8" t="s">
        <v>625</v>
      </c>
      <c r="B158" s="8" t="s">
        <v>9</v>
      </c>
      <c r="C158" s="9" t="n">
        <v>2087</v>
      </c>
      <c r="D158" s="9" t="n">
        <v>77</v>
      </c>
      <c r="E158" s="9" t="n">
        <v>100</v>
      </c>
    </row>
    <row r="159" customFormat="false" ht="15" hidden="false" customHeight="true" outlineLevel="0" collapsed="false">
      <c r="A159" s="6" t="s">
        <v>483</v>
      </c>
      <c r="B159" s="6" t="s">
        <v>4</v>
      </c>
      <c r="C159" s="7" t="n">
        <v>1228</v>
      </c>
      <c r="D159" s="7" t="n">
        <v>100</v>
      </c>
      <c r="E159" s="7" t="n">
        <v>100</v>
      </c>
    </row>
    <row r="160" customFormat="false" ht="15" hidden="false" customHeight="true" outlineLevel="0" collapsed="false">
      <c r="A160" s="8" t="s">
        <v>483</v>
      </c>
      <c r="B160" s="8" t="s">
        <v>5</v>
      </c>
      <c r="C160" s="9"/>
      <c r="D160" s="9" t="n">
        <v>100</v>
      </c>
      <c r="E160" s="9" t="n">
        <v>100</v>
      </c>
    </row>
    <row r="161" customFormat="false" ht="15" hidden="false" customHeight="true" outlineLevel="0" collapsed="false">
      <c r="A161" s="6" t="s">
        <v>626</v>
      </c>
      <c r="B161" s="6" t="s">
        <v>6</v>
      </c>
      <c r="C161" s="7" t="n">
        <v>1150</v>
      </c>
      <c r="D161" s="7" t="n">
        <v>100</v>
      </c>
      <c r="E161" s="7" t="n">
        <v>100</v>
      </c>
    </row>
    <row r="162" customFormat="false" ht="15" hidden="false" customHeight="true" outlineLevel="0" collapsed="false">
      <c r="A162" s="8" t="s">
        <v>626</v>
      </c>
      <c r="B162" s="8" t="s">
        <v>7</v>
      </c>
      <c r="C162" s="9" t="n">
        <v>2046</v>
      </c>
      <c r="D162" s="9" t="n">
        <v>70</v>
      </c>
      <c r="E162" s="9" t="n">
        <v>100</v>
      </c>
    </row>
    <row r="163" customFormat="false" ht="15" hidden="false" customHeight="true" outlineLevel="0" collapsed="false">
      <c r="A163" s="6" t="s">
        <v>627</v>
      </c>
      <c r="B163" s="6" t="s">
        <v>8</v>
      </c>
      <c r="C163" s="7" t="n">
        <v>2148</v>
      </c>
      <c r="D163" s="7" t="n">
        <v>67</v>
      </c>
      <c r="E163" s="7" t="n">
        <v>100</v>
      </c>
    </row>
    <row r="164" customFormat="false" ht="15" hidden="false" customHeight="true" outlineLevel="0" collapsed="false">
      <c r="A164" s="8" t="s">
        <v>627</v>
      </c>
      <c r="B164" s="8" t="s">
        <v>9</v>
      </c>
      <c r="C164" s="9" t="n">
        <v>2089</v>
      </c>
      <c r="D164" s="9" t="n">
        <v>76</v>
      </c>
      <c r="E164" s="9" t="n">
        <v>100</v>
      </c>
    </row>
    <row r="165" customFormat="false" ht="15" hidden="false" customHeight="true" outlineLevel="0" collapsed="false">
      <c r="A165" s="6" t="s">
        <v>484</v>
      </c>
      <c r="B165" s="6" t="s">
        <v>5</v>
      </c>
      <c r="C165" s="7"/>
      <c r="D165" s="7" t="n">
        <v>100</v>
      </c>
      <c r="E165" s="7" t="n">
        <v>100</v>
      </c>
    </row>
    <row r="166" customFormat="false" ht="15" hidden="false" customHeight="true" outlineLevel="0" collapsed="false">
      <c r="A166" s="8" t="s">
        <v>484</v>
      </c>
      <c r="B166" s="8" t="s">
        <v>4</v>
      </c>
      <c r="C166" s="9" t="n">
        <v>1262</v>
      </c>
      <c r="D166" s="9" t="n">
        <v>100</v>
      </c>
      <c r="E166" s="9" t="n">
        <v>100</v>
      </c>
    </row>
    <row r="167" customFormat="false" ht="15" hidden="false" customHeight="true" outlineLevel="0" collapsed="false">
      <c r="A167" s="6" t="s">
        <v>628</v>
      </c>
      <c r="B167" s="6" t="s">
        <v>9</v>
      </c>
      <c r="C167" s="7" t="n">
        <v>2091</v>
      </c>
      <c r="D167" s="7" t="n">
        <v>76</v>
      </c>
      <c r="E167" s="7" t="n">
        <v>100</v>
      </c>
    </row>
    <row r="168" customFormat="false" ht="15" hidden="false" customHeight="true" outlineLevel="0" collapsed="false">
      <c r="A168" s="8" t="s">
        <v>628</v>
      </c>
      <c r="B168" s="8" t="s">
        <v>8</v>
      </c>
      <c r="C168" s="9" t="n">
        <v>2154</v>
      </c>
      <c r="D168" s="9" t="n">
        <v>67</v>
      </c>
      <c r="E168" s="9" t="n">
        <v>100</v>
      </c>
    </row>
    <row r="169" customFormat="false" ht="15" hidden="false" customHeight="true" outlineLevel="0" collapsed="false">
      <c r="A169" s="6" t="s">
        <v>628</v>
      </c>
      <c r="B169" s="6" t="s">
        <v>6</v>
      </c>
      <c r="C169" s="7" t="n">
        <v>1147</v>
      </c>
      <c r="D169" s="7" t="n">
        <v>100</v>
      </c>
      <c r="E169" s="7" t="n">
        <v>100</v>
      </c>
    </row>
    <row r="170" customFormat="false" ht="15" hidden="false" customHeight="true" outlineLevel="0" collapsed="false">
      <c r="A170" s="8" t="s">
        <v>628</v>
      </c>
      <c r="B170" s="8" t="s">
        <v>7</v>
      </c>
      <c r="C170" s="9" t="n">
        <v>2046</v>
      </c>
      <c r="D170" s="9" t="n">
        <v>70</v>
      </c>
      <c r="E170" s="9" t="n">
        <v>100</v>
      </c>
    </row>
    <row r="171" customFormat="false" ht="15" hidden="false" customHeight="true" outlineLevel="0" collapsed="false">
      <c r="A171" s="6" t="s">
        <v>485</v>
      </c>
      <c r="B171" s="6" t="s">
        <v>5</v>
      </c>
      <c r="C171" s="7"/>
      <c r="D171" s="7" t="n">
        <v>100</v>
      </c>
      <c r="E171" s="7" t="n">
        <v>100</v>
      </c>
    </row>
    <row r="172" customFormat="false" ht="15" hidden="false" customHeight="true" outlineLevel="0" collapsed="false">
      <c r="A172" s="8" t="s">
        <v>629</v>
      </c>
      <c r="B172" s="8" t="s">
        <v>6</v>
      </c>
      <c r="C172" s="9" t="n">
        <v>1193</v>
      </c>
      <c r="D172" s="9" t="n">
        <v>100</v>
      </c>
      <c r="E172" s="9" t="n">
        <v>100</v>
      </c>
    </row>
    <row r="173" customFormat="false" ht="15" hidden="false" customHeight="true" outlineLevel="0" collapsed="false">
      <c r="A173" s="6" t="s">
        <v>629</v>
      </c>
      <c r="B173" s="6" t="s">
        <v>7</v>
      </c>
      <c r="C173" s="7" t="n">
        <v>2058</v>
      </c>
      <c r="D173" s="7" t="n">
        <v>69</v>
      </c>
      <c r="E173" s="7" t="n">
        <v>100</v>
      </c>
    </row>
    <row r="174" customFormat="false" ht="15" hidden="false" customHeight="true" outlineLevel="0" collapsed="false">
      <c r="A174" s="8" t="s">
        <v>629</v>
      </c>
      <c r="B174" s="8" t="s">
        <v>4</v>
      </c>
      <c r="C174" s="9" t="n">
        <v>1193</v>
      </c>
      <c r="D174" s="9" t="n">
        <v>100</v>
      </c>
      <c r="E174" s="9" t="n">
        <v>100</v>
      </c>
    </row>
    <row r="175" customFormat="false" ht="15" hidden="false" customHeight="true" outlineLevel="0" collapsed="false">
      <c r="A175" s="6" t="s">
        <v>630</v>
      </c>
      <c r="B175" s="6" t="s">
        <v>8</v>
      </c>
      <c r="C175" s="7" t="n">
        <v>2154</v>
      </c>
      <c r="D175" s="7" t="n">
        <v>67</v>
      </c>
      <c r="E175" s="7" t="n">
        <v>100</v>
      </c>
    </row>
    <row r="176" customFormat="false" ht="15" hidden="false" customHeight="true" outlineLevel="0" collapsed="false">
      <c r="A176" s="8" t="s">
        <v>630</v>
      </c>
      <c r="B176" s="8" t="s">
        <v>9</v>
      </c>
      <c r="C176" s="9" t="n">
        <v>2096</v>
      </c>
      <c r="D176" s="9" t="n">
        <v>75</v>
      </c>
      <c r="E176" s="9" t="n">
        <v>100</v>
      </c>
    </row>
    <row r="177" customFormat="false" ht="15" hidden="false" customHeight="true" outlineLevel="0" collapsed="false">
      <c r="A177" s="6" t="s">
        <v>486</v>
      </c>
      <c r="B177" s="6" t="s">
        <v>5</v>
      </c>
      <c r="C177" s="7"/>
      <c r="D177" s="7" t="n">
        <v>100</v>
      </c>
      <c r="E177" s="7" t="n">
        <v>100</v>
      </c>
    </row>
    <row r="178" customFormat="false" ht="15" hidden="false" customHeight="true" outlineLevel="0" collapsed="false">
      <c r="A178" s="8" t="s">
        <v>631</v>
      </c>
      <c r="B178" s="8" t="s">
        <v>6</v>
      </c>
      <c r="C178" s="9" t="n">
        <v>1168</v>
      </c>
      <c r="D178" s="9" t="n">
        <v>100</v>
      </c>
      <c r="E178" s="9" t="n">
        <v>100</v>
      </c>
    </row>
    <row r="179" customFormat="false" ht="15" hidden="false" customHeight="true" outlineLevel="0" collapsed="false">
      <c r="A179" s="6" t="s">
        <v>631</v>
      </c>
      <c r="B179" s="6" t="s">
        <v>4</v>
      </c>
      <c r="C179" s="7" t="n">
        <v>1249</v>
      </c>
      <c r="D179" s="7" t="n">
        <v>100</v>
      </c>
      <c r="E179" s="7" t="n">
        <v>100</v>
      </c>
    </row>
    <row r="180" customFormat="false" ht="15" hidden="false" customHeight="true" outlineLevel="0" collapsed="false">
      <c r="A180" s="8" t="s">
        <v>632</v>
      </c>
      <c r="B180" s="8" t="s">
        <v>8</v>
      </c>
      <c r="C180" s="9" t="n">
        <v>2155</v>
      </c>
      <c r="D180" s="9" t="n">
        <v>66</v>
      </c>
      <c r="E180" s="9" t="n">
        <v>100</v>
      </c>
    </row>
    <row r="181" customFormat="false" ht="15" hidden="false" customHeight="true" outlineLevel="0" collapsed="false">
      <c r="A181" s="6" t="s">
        <v>632</v>
      </c>
      <c r="B181" s="6" t="s">
        <v>7</v>
      </c>
      <c r="C181" s="7" t="n">
        <v>2059</v>
      </c>
      <c r="D181" s="7" t="n">
        <v>69</v>
      </c>
      <c r="E181" s="7" t="n">
        <v>100</v>
      </c>
    </row>
    <row r="182" customFormat="false" ht="15" hidden="false" customHeight="true" outlineLevel="0" collapsed="false">
      <c r="A182" s="8" t="s">
        <v>633</v>
      </c>
      <c r="B182" s="8" t="s">
        <v>9</v>
      </c>
      <c r="C182" s="9" t="n">
        <v>2096</v>
      </c>
      <c r="D182" s="9" t="n">
        <v>75</v>
      </c>
      <c r="E182" s="9" t="n">
        <v>100</v>
      </c>
    </row>
    <row r="183" customFormat="false" ht="15" hidden="false" customHeight="true" outlineLevel="0" collapsed="false">
      <c r="A183" s="6" t="s">
        <v>487</v>
      </c>
      <c r="B183" s="6" t="s">
        <v>5</v>
      </c>
      <c r="C183" s="7"/>
      <c r="D183" s="7" t="n">
        <v>100</v>
      </c>
      <c r="E183" s="7" t="n">
        <v>100</v>
      </c>
    </row>
    <row r="184" customFormat="false" ht="15" hidden="false" customHeight="true" outlineLevel="0" collapsed="false">
      <c r="A184" s="8" t="s">
        <v>634</v>
      </c>
      <c r="B184" s="8" t="s">
        <v>6</v>
      </c>
      <c r="C184" s="9" t="n">
        <v>1155</v>
      </c>
      <c r="D184" s="9" t="n">
        <v>100</v>
      </c>
      <c r="E184" s="9" t="n">
        <v>100</v>
      </c>
    </row>
    <row r="185" customFormat="false" ht="15" hidden="false" customHeight="true" outlineLevel="0" collapsed="false">
      <c r="A185" s="6" t="s">
        <v>634</v>
      </c>
      <c r="B185" s="6" t="s">
        <v>7</v>
      </c>
      <c r="C185" s="7" t="n">
        <v>2062</v>
      </c>
      <c r="D185" s="7" t="n">
        <v>69</v>
      </c>
      <c r="E185" s="7" t="n">
        <v>100</v>
      </c>
    </row>
    <row r="186" customFormat="false" ht="15" hidden="false" customHeight="true" outlineLevel="0" collapsed="false">
      <c r="A186" s="8" t="s">
        <v>634</v>
      </c>
      <c r="B186" s="8" t="s">
        <v>4</v>
      </c>
      <c r="C186" s="9" t="n">
        <v>1232</v>
      </c>
      <c r="D186" s="9" t="n">
        <v>100</v>
      </c>
      <c r="E186" s="9" t="n">
        <v>100</v>
      </c>
    </row>
    <row r="187" customFormat="false" ht="15" hidden="false" customHeight="true" outlineLevel="0" collapsed="false">
      <c r="A187" s="6" t="s">
        <v>635</v>
      </c>
      <c r="B187" s="6" t="s">
        <v>8</v>
      </c>
      <c r="C187" s="7" t="n">
        <v>2157</v>
      </c>
      <c r="D187" s="7" t="n">
        <v>66</v>
      </c>
      <c r="E187" s="7" t="n">
        <v>100</v>
      </c>
    </row>
    <row r="188" customFormat="false" ht="15" hidden="false" customHeight="true" outlineLevel="0" collapsed="false">
      <c r="A188" s="8" t="s">
        <v>635</v>
      </c>
      <c r="B188" s="8" t="s">
        <v>9</v>
      </c>
      <c r="C188" s="9" t="n">
        <v>2096</v>
      </c>
      <c r="D188" s="9" t="n">
        <v>75</v>
      </c>
      <c r="E188" s="9" t="n">
        <v>100</v>
      </c>
    </row>
    <row r="189" customFormat="false" ht="15" hidden="false" customHeight="true" outlineLevel="0" collapsed="false">
      <c r="A189" s="6" t="s">
        <v>488</v>
      </c>
      <c r="B189" s="6" t="s">
        <v>5</v>
      </c>
      <c r="C189" s="7"/>
      <c r="D189" s="7" t="n">
        <v>100</v>
      </c>
      <c r="E189" s="7" t="n">
        <v>100</v>
      </c>
    </row>
    <row r="190" customFormat="false" ht="15" hidden="false" customHeight="true" outlineLevel="0" collapsed="false">
      <c r="A190" s="8" t="s">
        <v>488</v>
      </c>
      <c r="B190" s="8" t="s">
        <v>6</v>
      </c>
      <c r="C190" s="9" t="n">
        <v>1148</v>
      </c>
      <c r="D190" s="9" t="n">
        <v>100</v>
      </c>
      <c r="E190" s="9" t="n">
        <v>100</v>
      </c>
    </row>
    <row r="191" customFormat="false" ht="15" hidden="false" customHeight="true" outlineLevel="0" collapsed="false">
      <c r="A191" s="6" t="s">
        <v>488</v>
      </c>
      <c r="B191" s="6" t="s">
        <v>4</v>
      </c>
      <c r="C191" s="7" t="n">
        <v>1235</v>
      </c>
      <c r="D191" s="7" t="n">
        <v>100</v>
      </c>
      <c r="E191" s="7" t="n">
        <v>100</v>
      </c>
    </row>
    <row r="192" customFormat="false" ht="15" hidden="false" customHeight="true" outlineLevel="0" collapsed="false">
      <c r="A192" s="8" t="s">
        <v>636</v>
      </c>
      <c r="B192" s="8" t="s">
        <v>9</v>
      </c>
      <c r="C192" s="9" t="n">
        <v>2097</v>
      </c>
      <c r="D192" s="9" t="n">
        <v>75</v>
      </c>
      <c r="E192" s="9" t="n">
        <v>100</v>
      </c>
    </row>
    <row r="193" customFormat="false" ht="15" hidden="false" customHeight="true" outlineLevel="0" collapsed="false">
      <c r="A193" s="6" t="s">
        <v>636</v>
      </c>
      <c r="B193" s="6" t="s">
        <v>8</v>
      </c>
      <c r="C193" s="7" t="n">
        <v>2159</v>
      </c>
      <c r="D193" s="7" t="n">
        <v>66</v>
      </c>
      <c r="E193" s="7" t="n">
        <v>100</v>
      </c>
    </row>
    <row r="194" customFormat="false" ht="15" hidden="false" customHeight="true" outlineLevel="0" collapsed="false">
      <c r="A194" s="8" t="s">
        <v>636</v>
      </c>
      <c r="B194" s="8" t="s">
        <v>7</v>
      </c>
      <c r="C194" s="9" t="n">
        <v>2063</v>
      </c>
      <c r="D194" s="9" t="n">
        <v>69</v>
      </c>
      <c r="E194" s="9" t="n">
        <v>100</v>
      </c>
    </row>
    <row r="195" customFormat="false" ht="15" hidden="false" customHeight="true" outlineLevel="0" collapsed="false">
      <c r="A195" s="6" t="s">
        <v>489</v>
      </c>
      <c r="B195" s="6" t="s">
        <v>6</v>
      </c>
      <c r="C195" s="7" t="n">
        <v>1150</v>
      </c>
      <c r="D195" s="7" t="n">
        <v>100</v>
      </c>
      <c r="E195" s="7" t="n">
        <v>100</v>
      </c>
    </row>
    <row r="196" customFormat="false" ht="15" hidden="false" customHeight="true" outlineLevel="0" collapsed="false">
      <c r="A196" s="8" t="s">
        <v>489</v>
      </c>
      <c r="B196" s="8" t="s">
        <v>4</v>
      </c>
      <c r="C196" s="9" t="n">
        <v>1247</v>
      </c>
      <c r="D196" s="9" t="n">
        <v>100</v>
      </c>
      <c r="E196" s="9" t="n">
        <v>100</v>
      </c>
    </row>
    <row r="197" customFormat="false" ht="15" hidden="false" customHeight="true" outlineLevel="0" collapsed="false">
      <c r="A197" s="6" t="s">
        <v>489</v>
      </c>
      <c r="B197" s="6" t="s">
        <v>5</v>
      </c>
      <c r="C197" s="7"/>
      <c r="D197" s="7" t="n">
        <v>100</v>
      </c>
      <c r="E197" s="7" t="n">
        <v>100</v>
      </c>
    </row>
    <row r="198" customFormat="false" ht="15" hidden="false" customHeight="true" outlineLevel="0" collapsed="false">
      <c r="A198" s="8" t="s">
        <v>637</v>
      </c>
      <c r="B198" s="8" t="s">
        <v>7</v>
      </c>
      <c r="C198" s="9" t="n">
        <v>2083</v>
      </c>
      <c r="D198" s="9" t="n">
        <v>67</v>
      </c>
      <c r="E198" s="9" t="n">
        <v>100</v>
      </c>
    </row>
    <row r="199" customFormat="false" ht="15" hidden="false" customHeight="true" outlineLevel="0" collapsed="false">
      <c r="A199" s="6" t="s">
        <v>637</v>
      </c>
      <c r="B199" s="6" t="s">
        <v>8</v>
      </c>
      <c r="C199" s="7" t="n">
        <v>2159</v>
      </c>
      <c r="D199" s="7" t="n">
        <v>66</v>
      </c>
      <c r="E199" s="7" t="n">
        <v>100</v>
      </c>
    </row>
    <row r="200" customFormat="false" ht="15" hidden="false" customHeight="true" outlineLevel="0" collapsed="false">
      <c r="A200" s="8" t="s">
        <v>637</v>
      </c>
      <c r="B200" s="8" t="s">
        <v>9</v>
      </c>
      <c r="C200" s="9" t="n">
        <v>2101</v>
      </c>
      <c r="D200" s="9" t="n">
        <v>74</v>
      </c>
      <c r="E200" s="9" t="n">
        <v>100</v>
      </c>
    </row>
    <row r="201" customFormat="false" ht="15" hidden="false" customHeight="true" outlineLevel="0" collapsed="false">
      <c r="A201" s="6" t="s">
        <v>490</v>
      </c>
      <c r="B201" s="6" t="s">
        <v>4</v>
      </c>
      <c r="C201" s="7" t="n">
        <v>1238</v>
      </c>
      <c r="D201" s="7" t="n">
        <v>100</v>
      </c>
      <c r="E201" s="7" t="n">
        <v>100</v>
      </c>
    </row>
    <row r="202" customFormat="false" ht="15" hidden="false" customHeight="true" outlineLevel="0" collapsed="false">
      <c r="A202" s="8" t="s">
        <v>490</v>
      </c>
      <c r="B202" s="8" t="s">
        <v>5</v>
      </c>
      <c r="C202" s="9"/>
      <c r="D202" s="9" t="n">
        <v>100</v>
      </c>
      <c r="E202" s="9" t="n">
        <v>100</v>
      </c>
    </row>
    <row r="203" customFormat="false" ht="15" hidden="false" customHeight="true" outlineLevel="0" collapsed="false">
      <c r="A203" s="6" t="s">
        <v>638</v>
      </c>
      <c r="B203" s="6" t="s">
        <v>9</v>
      </c>
      <c r="C203" s="7" t="n">
        <v>2099</v>
      </c>
      <c r="D203" s="7" t="n">
        <v>75</v>
      </c>
      <c r="E203" s="7" t="n">
        <v>100</v>
      </c>
    </row>
    <row r="204" customFormat="false" ht="15" hidden="false" customHeight="true" outlineLevel="0" collapsed="false">
      <c r="A204" s="8" t="s">
        <v>638</v>
      </c>
      <c r="B204" s="8" t="s">
        <v>8</v>
      </c>
      <c r="C204" s="9" t="n">
        <v>2157</v>
      </c>
      <c r="D204" s="9" t="n">
        <v>66</v>
      </c>
      <c r="E204" s="9" t="n">
        <v>100</v>
      </c>
    </row>
    <row r="205" customFormat="false" ht="15" hidden="false" customHeight="true" outlineLevel="0" collapsed="false">
      <c r="A205" s="6" t="s">
        <v>638</v>
      </c>
      <c r="B205" s="6" t="s">
        <v>6</v>
      </c>
      <c r="C205" s="7" t="n">
        <v>1148</v>
      </c>
      <c r="D205" s="7" t="n">
        <v>100</v>
      </c>
      <c r="E205" s="7" t="n">
        <v>100</v>
      </c>
    </row>
    <row r="206" customFormat="false" ht="15" hidden="false" customHeight="true" outlineLevel="0" collapsed="false">
      <c r="A206" s="8" t="s">
        <v>638</v>
      </c>
      <c r="B206" s="8" t="s">
        <v>7</v>
      </c>
      <c r="C206" s="9" t="n">
        <v>2067</v>
      </c>
      <c r="D206" s="9" t="n">
        <v>68</v>
      </c>
      <c r="E206" s="9" t="n">
        <v>100</v>
      </c>
    </row>
    <row r="207" customFormat="false" ht="15" hidden="false" customHeight="true" outlineLevel="0" collapsed="false">
      <c r="A207" s="6" t="s">
        <v>491</v>
      </c>
      <c r="B207" s="6" t="s">
        <v>5</v>
      </c>
      <c r="C207" s="7"/>
      <c r="D207" s="7" t="n">
        <v>100</v>
      </c>
      <c r="E207" s="7" t="n">
        <v>100</v>
      </c>
    </row>
    <row r="208" customFormat="false" ht="15" hidden="false" customHeight="true" outlineLevel="0" collapsed="false">
      <c r="A208" s="8" t="s">
        <v>639</v>
      </c>
      <c r="B208" s="8" t="s">
        <v>6</v>
      </c>
      <c r="C208" s="9" t="n">
        <v>1151</v>
      </c>
      <c r="D208" s="9" t="n">
        <v>100</v>
      </c>
      <c r="E208" s="9" t="n">
        <v>100</v>
      </c>
    </row>
    <row r="209" customFormat="false" ht="15" hidden="false" customHeight="true" outlineLevel="0" collapsed="false">
      <c r="A209" s="6" t="s">
        <v>639</v>
      </c>
      <c r="B209" s="6" t="s">
        <v>4</v>
      </c>
      <c r="C209" s="7" t="n">
        <v>1244</v>
      </c>
      <c r="D209" s="7" t="n">
        <v>100</v>
      </c>
      <c r="E209" s="7" t="n">
        <v>100</v>
      </c>
    </row>
    <row r="210" customFormat="false" ht="15" hidden="false" customHeight="true" outlineLevel="0" collapsed="false">
      <c r="A210" s="8" t="s">
        <v>640</v>
      </c>
      <c r="B210" s="8" t="s">
        <v>7</v>
      </c>
      <c r="C210" s="9" t="n">
        <v>2069</v>
      </c>
      <c r="D210" s="9" t="n">
        <v>68</v>
      </c>
      <c r="E210" s="9" t="n">
        <v>100</v>
      </c>
    </row>
    <row r="211" customFormat="false" ht="15" hidden="false" customHeight="true" outlineLevel="0" collapsed="false">
      <c r="A211" s="6" t="s">
        <v>640</v>
      </c>
      <c r="B211" s="6" t="s">
        <v>8</v>
      </c>
      <c r="C211" s="7" t="n">
        <v>2160</v>
      </c>
      <c r="D211" s="7" t="n">
        <v>66</v>
      </c>
      <c r="E211" s="7" t="n">
        <v>100</v>
      </c>
    </row>
    <row r="212" customFormat="false" ht="15" hidden="false" customHeight="true" outlineLevel="0" collapsed="false">
      <c r="A212" s="8" t="s">
        <v>640</v>
      </c>
      <c r="B212" s="8" t="s">
        <v>9</v>
      </c>
      <c r="C212" s="9" t="n">
        <v>2099</v>
      </c>
      <c r="D212" s="9" t="n">
        <v>75</v>
      </c>
      <c r="E212" s="9" t="n">
        <v>100</v>
      </c>
    </row>
    <row r="213" customFormat="false" ht="15" hidden="false" customHeight="true" outlineLevel="0" collapsed="false">
      <c r="A213" s="6" t="s">
        <v>492</v>
      </c>
      <c r="B213" s="6" t="s">
        <v>4</v>
      </c>
      <c r="C213" s="7" t="n">
        <v>1235</v>
      </c>
      <c r="D213" s="7" t="n">
        <v>100</v>
      </c>
      <c r="E213" s="7" t="n">
        <v>100</v>
      </c>
    </row>
    <row r="214" customFormat="false" ht="15" hidden="false" customHeight="true" outlineLevel="0" collapsed="false">
      <c r="A214" s="8" t="s">
        <v>492</v>
      </c>
      <c r="B214" s="8" t="s">
        <v>6</v>
      </c>
      <c r="C214" s="9" t="n">
        <v>1150</v>
      </c>
      <c r="D214" s="9" t="n">
        <v>100</v>
      </c>
      <c r="E214" s="9" t="n">
        <v>100</v>
      </c>
    </row>
    <row r="215" customFormat="false" ht="15" hidden="false" customHeight="true" outlineLevel="0" collapsed="false">
      <c r="A215" s="6" t="s">
        <v>492</v>
      </c>
      <c r="B215" s="6" t="s">
        <v>7</v>
      </c>
      <c r="C215" s="7" t="n">
        <v>2069</v>
      </c>
      <c r="D215" s="7" t="n">
        <v>68</v>
      </c>
      <c r="E215" s="7" t="n">
        <v>100</v>
      </c>
    </row>
    <row r="216" customFormat="false" ht="15" hidden="false" customHeight="true" outlineLevel="0" collapsed="false">
      <c r="A216" s="8" t="s">
        <v>492</v>
      </c>
      <c r="B216" s="8" t="s">
        <v>5</v>
      </c>
      <c r="C216" s="9"/>
      <c r="D216" s="9" t="n">
        <v>100</v>
      </c>
      <c r="E216" s="9" t="n">
        <v>100</v>
      </c>
    </row>
    <row r="217" customFormat="false" ht="15" hidden="false" customHeight="true" outlineLevel="0" collapsed="false">
      <c r="A217" s="6" t="s">
        <v>641</v>
      </c>
      <c r="B217" s="6" t="s">
        <v>8</v>
      </c>
      <c r="C217" s="7" t="n">
        <v>2160</v>
      </c>
      <c r="D217" s="7" t="n">
        <v>66</v>
      </c>
      <c r="E217" s="7" t="n">
        <v>100</v>
      </c>
    </row>
    <row r="218" customFormat="false" ht="15" hidden="false" customHeight="true" outlineLevel="0" collapsed="false">
      <c r="A218" s="8" t="s">
        <v>641</v>
      </c>
      <c r="B218" s="8" t="s">
        <v>9</v>
      </c>
      <c r="C218" s="9" t="n">
        <v>2112</v>
      </c>
      <c r="D218" s="9" t="n">
        <v>72</v>
      </c>
      <c r="E218" s="9" t="n">
        <v>100</v>
      </c>
    </row>
    <row r="219" customFormat="false" ht="15" hidden="false" customHeight="true" outlineLevel="0" collapsed="false">
      <c r="A219" s="6" t="s">
        <v>493</v>
      </c>
      <c r="B219" s="6" t="s">
        <v>4</v>
      </c>
      <c r="C219" s="7" t="n">
        <v>1251</v>
      </c>
      <c r="D219" s="7" t="n">
        <v>100</v>
      </c>
      <c r="E219" s="7" t="n">
        <v>100</v>
      </c>
    </row>
    <row r="220" customFormat="false" ht="15" hidden="false" customHeight="true" outlineLevel="0" collapsed="false">
      <c r="A220" s="8" t="s">
        <v>493</v>
      </c>
      <c r="B220" s="8" t="s">
        <v>5</v>
      </c>
      <c r="C220" s="9"/>
      <c r="D220" s="9" t="n">
        <v>100</v>
      </c>
      <c r="E220" s="9" t="n">
        <v>100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2" min="2" style="1" width="12"/>
  </cols>
  <sheetData>
    <row r="1" customFormat="false" ht="24" hidden="false" customHeight="true" outlineLevel="0" collapsed="false">
      <c r="A1" s="19" t="s">
        <v>642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30" hidden="false" customHeight="true" outlineLevel="0" collapsed="false">
      <c r="A2" s="20" t="s">
        <v>643</v>
      </c>
      <c r="B2" s="20" t="s">
        <v>644</v>
      </c>
      <c r="C2" s="21" t="s">
        <v>645</v>
      </c>
      <c r="D2" s="21" t="s">
        <v>646</v>
      </c>
      <c r="E2" s="21" t="s">
        <v>647</v>
      </c>
      <c r="F2" s="21" t="s">
        <v>648</v>
      </c>
      <c r="G2" s="21" t="s">
        <v>649</v>
      </c>
      <c r="H2" s="21" t="s">
        <v>650</v>
      </c>
      <c r="I2" s="21" t="s">
        <v>651</v>
      </c>
      <c r="J2" s="21" t="s">
        <v>652</v>
      </c>
      <c r="K2" s="21" t="s">
        <v>653</v>
      </c>
      <c r="L2" s="21" t="s">
        <v>654</v>
      </c>
    </row>
    <row r="3" customFormat="false" ht="15" hidden="false" customHeight="false" outlineLevel="0" collapsed="false">
      <c r="A3" s="22" t="s">
        <v>655</v>
      </c>
      <c r="B3" s="23" t="n">
        <v>8.2</v>
      </c>
      <c r="C3" s="24" t="n">
        <v>2192.9</v>
      </c>
      <c r="D3" s="24" t="n">
        <v>95.4</v>
      </c>
      <c r="E3" s="25" t="n">
        <v>2754.6</v>
      </c>
      <c r="F3" s="25" t="n">
        <v>84.4</v>
      </c>
      <c r="G3" s="24" t="n">
        <v>2222.8</v>
      </c>
      <c r="H3" s="24" t="n">
        <v>119</v>
      </c>
      <c r="I3" s="25" t="n">
        <v>2795.7</v>
      </c>
      <c r="J3" s="25" t="n">
        <v>83.3</v>
      </c>
      <c r="K3" s="25" t="n">
        <v>2779.8</v>
      </c>
      <c r="L3" s="25" t="n">
        <v>81.6</v>
      </c>
    </row>
    <row r="4" customFormat="false" ht="15" hidden="false" customHeight="false" outlineLevel="0" collapsed="false">
      <c r="A4" s="26" t="s">
        <v>656</v>
      </c>
      <c r="B4" s="27" t="n">
        <v>16.21</v>
      </c>
      <c r="C4" s="28" t="n">
        <v>2075.6</v>
      </c>
      <c r="D4" s="28" t="n">
        <v>33</v>
      </c>
      <c r="E4" s="28" t="n">
        <v>2391.9</v>
      </c>
      <c r="F4" s="28" t="n">
        <v>78.3</v>
      </c>
      <c r="G4" s="28" t="n">
        <v>2120.1</v>
      </c>
      <c r="H4" s="28" t="n">
        <v>19.6</v>
      </c>
      <c r="I4" s="28" t="n">
        <v>2411.2</v>
      </c>
      <c r="J4" s="28" t="n">
        <v>59.8</v>
      </c>
      <c r="K4" s="28" t="n">
        <v>2398.4</v>
      </c>
      <c r="L4" s="28" t="n">
        <v>42</v>
      </c>
    </row>
    <row r="5" customFormat="false" ht="15" hidden="false" customHeight="false" outlineLevel="0" collapsed="false">
      <c r="A5" s="22" t="s">
        <v>657</v>
      </c>
      <c r="B5" s="23" t="n">
        <v>58.42</v>
      </c>
      <c r="C5" s="24" t="n">
        <v>1366.7</v>
      </c>
      <c r="D5" s="24" t="n">
        <v>18.7</v>
      </c>
      <c r="E5" s="24" t="n">
        <v>2097.8</v>
      </c>
      <c r="F5" s="24" t="n">
        <v>93.8</v>
      </c>
      <c r="G5" s="24" t="n">
        <v>1554.2</v>
      </c>
      <c r="H5" s="24" t="n">
        <v>21.8</v>
      </c>
      <c r="I5" s="24" t="n">
        <v>2201.4</v>
      </c>
      <c r="J5" s="24" t="n">
        <v>78</v>
      </c>
      <c r="K5" s="24" t="n">
        <v>2113.9</v>
      </c>
      <c r="L5" s="24" t="n">
        <v>62</v>
      </c>
    </row>
    <row r="6" customFormat="false" ht="15" hidden="false" customHeight="false" outlineLevel="0" collapsed="false">
      <c r="A6" s="26" t="s">
        <v>658</v>
      </c>
      <c r="B6" s="27" t="n">
        <v>87.56</v>
      </c>
      <c r="C6" s="28" t="n">
        <v>1230.1</v>
      </c>
      <c r="D6" s="28" t="n">
        <v>201.2</v>
      </c>
      <c r="E6" s="25" t="n">
        <v>2035.3</v>
      </c>
      <c r="F6" s="25" t="n">
        <v>97.6</v>
      </c>
      <c r="G6" s="28" t="n">
        <v>1326.2</v>
      </c>
      <c r="H6" s="28" t="n">
        <v>264.5</v>
      </c>
      <c r="I6" s="25" t="n">
        <v>2137.2</v>
      </c>
      <c r="J6" s="25" t="n">
        <v>67</v>
      </c>
      <c r="K6" s="25" t="n">
        <v>2069.5</v>
      </c>
      <c r="L6" s="25" t="n">
        <v>86.7</v>
      </c>
    </row>
    <row r="7" customFormat="false" ht="15" hidden="false" customHeight="false" outlineLevel="0" collapsed="false">
      <c r="A7" s="22" t="s">
        <v>659</v>
      </c>
      <c r="B7" s="23" t="n">
        <v>100</v>
      </c>
      <c r="C7" s="24" t="n">
        <v>1185</v>
      </c>
      <c r="D7" s="24" t="n">
        <v>225.8</v>
      </c>
      <c r="E7" s="24" t="n">
        <v>2004.8</v>
      </c>
      <c r="F7" s="24" t="n">
        <v>76.1</v>
      </c>
      <c r="G7" s="24" t="n">
        <v>1272.2</v>
      </c>
      <c r="H7" s="24" t="n">
        <v>215.7</v>
      </c>
      <c r="I7" s="24" t="n">
        <v>2109.1</v>
      </c>
      <c r="J7" s="24" t="n">
        <v>110.9</v>
      </c>
      <c r="K7" s="24" t="n">
        <v>2034.7</v>
      </c>
      <c r="L7" s="24" t="n">
        <v>91.7</v>
      </c>
    </row>
    <row r="9" customFormat="false" ht="27.75" hidden="false" customHeight="true" outlineLevel="0" collapsed="false">
      <c r="A9" s="29" t="s">
        <v>660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1" customFormat="false" ht="24" hidden="false" customHeight="true" outlineLevel="0" collapsed="false">
      <c r="A11" s="19" t="s">
        <v>661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customFormat="false" ht="15" hidden="false" customHeight="true" outlineLevel="0" collapsed="false">
      <c r="A12" s="20" t="s">
        <v>662</v>
      </c>
      <c r="B12" s="20" t="s">
        <v>663</v>
      </c>
      <c r="C12" s="20" t="s">
        <v>664</v>
      </c>
      <c r="D12" s="20" t="s">
        <v>665</v>
      </c>
      <c r="E12" s="20" t="s">
        <v>666</v>
      </c>
      <c r="F12" s="20" t="s">
        <v>667</v>
      </c>
      <c r="G12" s="30" t="s">
        <v>668</v>
      </c>
      <c r="H12" s="30"/>
      <c r="I12" s="30"/>
      <c r="J12" s="30"/>
      <c r="K12" s="30"/>
      <c r="L12" s="30"/>
    </row>
    <row r="13" customFormat="false" ht="15" hidden="false" customHeight="false" outlineLevel="0" collapsed="false">
      <c r="A13" s="22" t="s">
        <v>4</v>
      </c>
      <c r="B13" s="31" t="n">
        <v>0.997</v>
      </c>
      <c r="C13" s="32" t="s">
        <v>669</v>
      </c>
      <c r="D13" s="32" t="s">
        <v>670</v>
      </c>
      <c r="E13" s="32" t="s">
        <v>671</v>
      </c>
      <c r="F13" s="33" t="s">
        <v>672</v>
      </c>
      <c r="G13" s="34" t="s">
        <v>673</v>
      </c>
      <c r="H13" s="34"/>
      <c r="I13" s="34"/>
      <c r="J13" s="34"/>
      <c r="K13" s="34"/>
      <c r="L13" s="34"/>
    </row>
    <row r="14" customFormat="false" ht="15" hidden="false" customHeight="false" outlineLevel="0" collapsed="false">
      <c r="A14" s="26" t="s">
        <v>6</v>
      </c>
      <c r="B14" s="35" t="n">
        <v>0.986</v>
      </c>
      <c r="C14" s="36" t="s">
        <v>674</v>
      </c>
      <c r="D14" s="36" t="s">
        <v>675</v>
      </c>
      <c r="E14" s="36" t="s">
        <v>671</v>
      </c>
      <c r="F14" s="33" t="s">
        <v>676</v>
      </c>
      <c r="G14" s="37" t="s">
        <v>677</v>
      </c>
      <c r="H14" s="37"/>
      <c r="I14" s="37"/>
      <c r="J14" s="37"/>
      <c r="K14" s="37"/>
      <c r="L14" s="37"/>
    </row>
    <row r="15" customFormat="false" ht="15" hidden="false" customHeight="false" outlineLevel="0" collapsed="false">
      <c r="A15" s="22" t="s">
        <v>7</v>
      </c>
      <c r="B15" s="31" t="n">
        <v>0.981</v>
      </c>
      <c r="C15" s="32" t="s">
        <v>678</v>
      </c>
      <c r="D15" s="32" t="s">
        <v>679</v>
      </c>
      <c r="E15" s="32" t="s">
        <v>680</v>
      </c>
      <c r="F15" s="38" t="s">
        <v>681</v>
      </c>
      <c r="G15" s="34" t="s">
        <v>682</v>
      </c>
      <c r="H15" s="34"/>
      <c r="I15" s="34"/>
      <c r="J15" s="34"/>
      <c r="K15" s="34"/>
      <c r="L15" s="34"/>
    </row>
    <row r="16" customFormat="false" ht="15" hidden="false" customHeight="false" outlineLevel="0" collapsed="false">
      <c r="A16" s="26" t="s">
        <v>8</v>
      </c>
      <c r="B16" s="35" t="n">
        <v>0.993</v>
      </c>
      <c r="C16" s="36" t="s">
        <v>683</v>
      </c>
      <c r="D16" s="36" t="s">
        <v>684</v>
      </c>
      <c r="E16" s="36" t="s">
        <v>680</v>
      </c>
      <c r="F16" s="38" t="s">
        <v>681</v>
      </c>
      <c r="G16" s="37" t="s">
        <v>685</v>
      </c>
      <c r="H16" s="37"/>
      <c r="I16" s="37"/>
      <c r="J16" s="37"/>
      <c r="K16" s="37"/>
      <c r="L16" s="37"/>
    </row>
    <row r="17" customFormat="false" ht="15" hidden="false" customHeight="false" outlineLevel="0" collapsed="false">
      <c r="A17" s="22" t="s">
        <v>9</v>
      </c>
      <c r="B17" s="31" t="n">
        <v>0.971</v>
      </c>
      <c r="C17" s="32" t="s">
        <v>686</v>
      </c>
      <c r="D17" s="32" t="s">
        <v>687</v>
      </c>
      <c r="E17" s="32" t="s">
        <v>680</v>
      </c>
      <c r="F17" s="39" t="s">
        <v>688</v>
      </c>
      <c r="G17" s="34" t="s">
        <v>689</v>
      </c>
      <c r="H17" s="34"/>
      <c r="I17" s="34"/>
      <c r="J17" s="34"/>
      <c r="K17" s="34"/>
      <c r="L17" s="34"/>
    </row>
  </sheetData>
  <mergeCells count="9">
    <mergeCell ref="A1:L1"/>
    <mergeCell ref="A9:L9"/>
    <mergeCell ref="A11:L11"/>
    <mergeCell ref="G12:L12"/>
    <mergeCell ref="G13:L13"/>
    <mergeCell ref="G14:L14"/>
    <mergeCell ref="G15:L15"/>
    <mergeCell ref="G16:L16"/>
    <mergeCell ref="G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5" min="4" style="1" width="12"/>
  </cols>
  <sheetData>
    <row r="1" customFormat="false" ht="21.75" hidden="false" customHeight="true" outlineLevel="0" collapsed="false">
      <c r="A1" s="4" t="s">
        <v>690</v>
      </c>
      <c r="B1" s="4"/>
      <c r="C1" s="4"/>
      <c r="D1" s="4"/>
      <c r="E1" s="4"/>
    </row>
    <row r="2" customFormat="false" ht="1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11</v>
      </c>
    </row>
    <row r="3" customFormat="false" ht="15" hidden="false" customHeight="true" outlineLevel="0" collapsed="false">
      <c r="A3" s="6" t="s">
        <v>211</v>
      </c>
      <c r="B3" s="6" t="s">
        <v>4</v>
      </c>
      <c r="C3" s="7" t="n">
        <v>2140</v>
      </c>
      <c r="D3" s="7" t="n">
        <v>44</v>
      </c>
      <c r="E3" s="7" t="n">
        <v>16.2</v>
      </c>
    </row>
    <row r="4" customFormat="false" ht="15" hidden="false" customHeight="true" outlineLevel="0" collapsed="false">
      <c r="A4" s="8" t="s">
        <v>211</v>
      </c>
      <c r="B4" s="8" t="s">
        <v>5</v>
      </c>
      <c r="C4" s="9"/>
      <c r="D4" s="9" t="n">
        <v>16.2</v>
      </c>
      <c r="E4" s="9" t="n">
        <v>16.2</v>
      </c>
    </row>
    <row r="5" customFormat="false" ht="15" hidden="false" customHeight="true" outlineLevel="0" collapsed="false">
      <c r="A5" s="6" t="s">
        <v>691</v>
      </c>
      <c r="B5" s="6" t="s">
        <v>6</v>
      </c>
      <c r="C5" s="7" t="n">
        <v>2081</v>
      </c>
      <c r="D5" s="7" t="n">
        <v>42</v>
      </c>
      <c r="E5" s="7" t="n">
        <v>16.2</v>
      </c>
    </row>
    <row r="6" customFormat="false" ht="15" hidden="false" customHeight="true" outlineLevel="0" collapsed="false">
      <c r="A6" s="8" t="s">
        <v>691</v>
      </c>
      <c r="B6" s="8" t="s">
        <v>7</v>
      </c>
      <c r="C6" s="9" t="n">
        <v>2085</v>
      </c>
      <c r="D6" s="9" t="n">
        <v>67</v>
      </c>
      <c r="E6" s="9" t="n">
        <v>16.2</v>
      </c>
    </row>
    <row r="7" customFormat="false" ht="15" hidden="false" customHeight="true" outlineLevel="0" collapsed="false">
      <c r="A7" s="6" t="s">
        <v>691</v>
      </c>
      <c r="B7" s="6" t="s">
        <v>8</v>
      </c>
      <c r="C7" s="7" t="n">
        <v>2157</v>
      </c>
      <c r="D7" s="7" t="n">
        <v>66</v>
      </c>
      <c r="E7" s="7" t="n">
        <v>16.2</v>
      </c>
    </row>
    <row r="8" customFormat="false" ht="15" hidden="false" customHeight="true" outlineLevel="0" collapsed="false">
      <c r="A8" s="8" t="s">
        <v>692</v>
      </c>
      <c r="B8" s="8" t="s">
        <v>9</v>
      </c>
      <c r="C8" s="9" t="n">
        <v>2244</v>
      </c>
      <c r="D8" s="9" t="n">
        <v>49</v>
      </c>
      <c r="E8" s="9" t="n">
        <v>16.2</v>
      </c>
    </row>
    <row r="9" customFormat="false" ht="15" hidden="false" customHeight="true" outlineLevel="0" collapsed="false">
      <c r="A9" s="6" t="s">
        <v>215</v>
      </c>
      <c r="B9" s="6" t="s">
        <v>5</v>
      </c>
      <c r="C9" s="7"/>
      <c r="D9" s="7" t="n">
        <v>16.2</v>
      </c>
      <c r="E9" s="7" t="n">
        <v>16.2</v>
      </c>
    </row>
    <row r="10" customFormat="false" ht="15" hidden="false" customHeight="true" outlineLevel="0" collapsed="false">
      <c r="A10" s="8" t="s">
        <v>693</v>
      </c>
      <c r="B10" s="8" t="s">
        <v>6</v>
      </c>
      <c r="C10" s="9" t="n">
        <v>2189</v>
      </c>
      <c r="D10" s="9" t="n">
        <v>35</v>
      </c>
      <c r="E10" s="9" t="n">
        <v>16.2</v>
      </c>
    </row>
    <row r="11" customFormat="false" ht="15" hidden="false" customHeight="true" outlineLevel="0" collapsed="false">
      <c r="A11" s="6" t="s">
        <v>693</v>
      </c>
      <c r="B11" s="6" t="s">
        <v>7</v>
      </c>
      <c r="C11" s="7" t="n">
        <v>2133</v>
      </c>
      <c r="D11" s="7" t="n">
        <v>62</v>
      </c>
      <c r="E11" s="7" t="n">
        <v>16.2</v>
      </c>
    </row>
    <row r="12" customFormat="false" ht="15" hidden="false" customHeight="true" outlineLevel="0" collapsed="false">
      <c r="A12" s="8" t="s">
        <v>693</v>
      </c>
      <c r="B12" s="8" t="s">
        <v>4</v>
      </c>
      <c r="C12" s="9" t="n">
        <v>2113</v>
      </c>
      <c r="D12" s="9" t="n">
        <v>46</v>
      </c>
      <c r="E12" s="9" t="n">
        <v>16.2</v>
      </c>
    </row>
    <row r="13" customFormat="false" ht="15" hidden="false" customHeight="true" outlineLevel="0" collapsed="false">
      <c r="A13" s="6" t="s">
        <v>694</v>
      </c>
      <c r="B13" s="6" t="s">
        <v>9</v>
      </c>
      <c r="C13" s="7" t="n">
        <v>2271</v>
      </c>
      <c r="D13" s="7" t="n">
        <v>45</v>
      </c>
      <c r="E13" s="7" t="n">
        <v>16.2</v>
      </c>
    </row>
    <row r="14" customFormat="false" ht="15" hidden="false" customHeight="true" outlineLevel="0" collapsed="false">
      <c r="A14" s="8" t="s">
        <v>694</v>
      </c>
      <c r="B14" s="8" t="s">
        <v>8</v>
      </c>
      <c r="C14" s="9" t="n">
        <v>2210</v>
      </c>
      <c r="D14" s="9" t="n">
        <v>60</v>
      </c>
      <c r="E14" s="9" t="n">
        <v>16.2</v>
      </c>
    </row>
    <row r="15" customFormat="false" ht="15" hidden="false" customHeight="true" outlineLevel="0" collapsed="false">
      <c r="A15" s="6" t="s">
        <v>216</v>
      </c>
      <c r="B15" s="6" t="s">
        <v>4</v>
      </c>
      <c r="C15" s="7" t="n">
        <v>2111</v>
      </c>
      <c r="D15" s="7" t="n">
        <v>46</v>
      </c>
      <c r="E15" s="7" t="n">
        <v>16.2</v>
      </c>
    </row>
    <row r="16" customFormat="false" ht="15" hidden="false" customHeight="true" outlineLevel="0" collapsed="false">
      <c r="A16" s="8" t="s">
        <v>216</v>
      </c>
      <c r="B16" s="8" t="s">
        <v>5</v>
      </c>
      <c r="C16" s="9"/>
      <c r="D16" s="9" t="n">
        <v>16.2</v>
      </c>
      <c r="E16" s="9" t="n">
        <v>16.2</v>
      </c>
    </row>
    <row r="17" customFormat="false" ht="15" hidden="false" customHeight="true" outlineLevel="0" collapsed="false">
      <c r="A17" s="6" t="s">
        <v>695</v>
      </c>
      <c r="B17" s="6" t="s">
        <v>6</v>
      </c>
      <c r="C17" s="7" t="n">
        <v>2096</v>
      </c>
      <c r="D17" s="7" t="n">
        <v>41</v>
      </c>
      <c r="E17" s="7" t="n">
        <v>16.2</v>
      </c>
    </row>
    <row r="18" customFormat="false" ht="15" hidden="false" customHeight="true" outlineLevel="0" collapsed="false">
      <c r="A18" s="8" t="s">
        <v>695</v>
      </c>
      <c r="B18" s="8" t="s">
        <v>7</v>
      </c>
      <c r="C18" s="9" t="n">
        <v>2173</v>
      </c>
      <c r="D18" s="9" t="n">
        <v>58</v>
      </c>
      <c r="E18" s="9" t="n">
        <v>16.2</v>
      </c>
    </row>
    <row r="19" customFormat="false" ht="15" hidden="false" customHeight="true" outlineLevel="0" collapsed="false">
      <c r="A19" s="6" t="s">
        <v>695</v>
      </c>
      <c r="B19" s="6" t="s">
        <v>8</v>
      </c>
      <c r="C19" s="7" t="n">
        <v>2251</v>
      </c>
      <c r="D19" s="7" t="n">
        <v>55</v>
      </c>
      <c r="E19" s="7" t="n">
        <v>16.2</v>
      </c>
    </row>
    <row r="20" customFormat="false" ht="15" hidden="false" customHeight="true" outlineLevel="0" collapsed="false">
      <c r="A20" s="8" t="s">
        <v>695</v>
      </c>
      <c r="B20" s="8" t="s">
        <v>9</v>
      </c>
      <c r="C20" s="9" t="n">
        <v>2294</v>
      </c>
      <c r="D20" s="9" t="n">
        <v>41</v>
      </c>
      <c r="E20" s="9" t="n">
        <v>16.2</v>
      </c>
    </row>
    <row r="21" customFormat="false" ht="15" hidden="false" customHeight="true" outlineLevel="0" collapsed="false">
      <c r="A21" s="6" t="s">
        <v>217</v>
      </c>
      <c r="B21" s="6" t="s">
        <v>5</v>
      </c>
      <c r="C21" s="7"/>
      <c r="D21" s="7" t="n">
        <v>16.3</v>
      </c>
      <c r="E21" s="7" t="n">
        <v>16.3</v>
      </c>
    </row>
    <row r="22" customFormat="false" ht="15" hidden="false" customHeight="true" outlineLevel="0" collapsed="false">
      <c r="A22" s="8" t="s">
        <v>696</v>
      </c>
      <c r="B22" s="8" t="s">
        <v>4</v>
      </c>
      <c r="C22" s="9" t="n">
        <v>2103</v>
      </c>
      <c r="D22" s="9" t="n">
        <v>46</v>
      </c>
      <c r="E22" s="9" t="n">
        <v>16.3</v>
      </c>
    </row>
    <row r="23" customFormat="false" ht="15" hidden="false" customHeight="true" outlineLevel="0" collapsed="false">
      <c r="A23" s="6" t="s">
        <v>697</v>
      </c>
      <c r="B23" s="6" t="s">
        <v>6</v>
      </c>
      <c r="C23" s="7" t="n">
        <v>2096</v>
      </c>
      <c r="D23" s="7" t="n">
        <v>41</v>
      </c>
      <c r="E23" s="7" t="n">
        <v>16.3</v>
      </c>
    </row>
    <row r="24" customFormat="false" ht="15" hidden="false" customHeight="true" outlineLevel="0" collapsed="false">
      <c r="A24" s="8" t="s">
        <v>697</v>
      </c>
      <c r="B24" s="8" t="s">
        <v>7</v>
      </c>
      <c r="C24" s="9" t="n">
        <v>2206</v>
      </c>
      <c r="D24" s="9" t="n">
        <v>55</v>
      </c>
      <c r="E24" s="9" t="n">
        <v>16.3</v>
      </c>
    </row>
    <row r="25" customFormat="false" ht="15" hidden="false" customHeight="true" outlineLevel="0" collapsed="false">
      <c r="A25" s="6" t="s">
        <v>698</v>
      </c>
      <c r="B25" s="6" t="s">
        <v>8</v>
      </c>
      <c r="C25" s="7" t="n">
        <v>2283</v>
      </c>
      <c r="D25" s="7" t="n">
        <v>51</v>
      </c>
      <c r="E25" s="7" t="n">
        <v>16.3</v>
      </c>
    </row>
    <row r="26" customFormat="false" ht="15" hidden="false" customHeight="true" outlineLevel="0" collapsed="false">
      <c r="A26" s="8" t="s">
        <v>698</v>
      </c>
      <c r="B26" s="8" t="s">
        <v>9</v>
      </c>
      <c r="C26" s="9" t="n">
        <v>2309</v>
      </c>
      <c r="D26" s="9" t="n">
        <v>38</v>
      </c>
      <c r="E26" s="9" t="n">
        <v>16.3</v>
      </c>
    </row>
    <row r="27" customFormat="false" ht="15" hidden="false" customHeight="true" outlineLevel="0" collapsed="false">
      <c r="A27" s="6" t="s">
        <v>218</v>
      </c>
      <c r="B27" s="6" t="s">
        <v>5</v>
      </c>
      <c r="C27" s="7"/>
      <c r="D27" s="7" t="n">
        <v>16.2</v>
      </c>
      <c r="E27" s="7" t="n">
        <v>16.2</v>
      </c>
    </row>
    <row r="28" customFormat="false" ht="15" hidden="false" customHeight="true" outlineLevel="0" collapsed="false">
      <c r="A28" s="8" t="s">
        <v>218</v>
      </c>
      <c r="B28" s="8" t="s">
        <v>4</v>
      </c>
      <c r="C28" s="9" t="n">
        <v>2128</v>
      </c>
      <c r="D28" s="9" t="n">
        <v>45</v>
      </c>
      <c r="E28" s="9" t="n">
        <v>16.2</v>
      </c>
    </row>
    <row r="29" customFormat="false" ht="15" hidden="false" customHeight="true" outlineLevel="0" collapsed="false">
      <c r="A29" s="6" t="s">
        <v>699</v>
      </c>
      <c r="B29" s="6" t="s">
        <v>6</v>
      </c>
      <c r="C29" s="7" t="n">
        <v>2087</v>
      </c>
      <c r="D29" s="7" t="n">
        <v>42</v>
      </c>
      <c r="E29" s="7" t="n">
        <v>16.2</v>
      </c>
    </row>
    <row r="30" customFormat="false" ht="15" hidden="false" customHeight="true" outlineLevel="0" collapsed="false">
      <c r="A30" s="8" t="s">
        <v>699</v>
      </c>
      <c r="B30" s="8" t="s">
        <v>7</v>
      </c>
      <c r="C30" s="9" t="n">
        <v>2243</v>
      </c>
      <c r="D30" s="9" t="n">
        <v>51</v>
      </c>
      <c r="E30" s="9" t="n">
        <v>16.2</v>
      </c>
    </row>
    <row r="31" customFormat="false" ht="15" hidden="false" customHeight="true" outlineLevel="0" collapsed="false">
      <c r="A31" s="6" t="s">
        <v>699</v>
      </c>
      <c r="B31" s="6" t="s">
        <v>8</v>
      </c>
      <c r="C31" s="7" t="n">
        <v>2302</v>
      </c>
      <c r="D31" s="7" t="n">
        <v>49</v>
      </c>
      <c r="E31" s="7" t="n">
        <v>16.2</v>
      </c>
    </row>
    <row r="32" customFormat="false" ht="15" hidden="false" customHeight="true" outlineLevel="0" collapsed="false">
      <c r="A32" s="8" t="s">
        <v>700</v>
      </c>
      <c r="B32" s="8" t="s">
        <v>9</v>
      </c>
      <c r="C32" s="9" t="n">
        <v>2321</v>
      </c>
      <c r="D32" s="9" t="n">
        <v>36</v>
      </c>
      <c r="E32" s="9" t="n">
        <v>16.2</v>
      </c>
    </row>
    <row r="33" customFormat="false" ht="15" hidden="false" customHeight="true" outlineLevel="0" collapsed="false">
      <c r="A33" s="6" t="s">
        <v>219</v>
      </c>
      <c r="B33" s="6" t="s">
        <v>6</v>
      </c>
      <c r="C33" s="7" t="n">
        <v>2035</v>
      </c>
      <c r="D33" s="7" t="n">
        <v>45</v>
      </c>
      <c r="E33" s="7" t="n">
        <v>16.3</v>
      </c>
    </row>
    <row r="34" customFormat="false" ht="15" hidden="false" customHeight="true" outlineLevel="0" collapsed="false">
      <c r="A34" s="8" t="s">
        <v>219</v>
      </c>
      <c r="B34" s="8" t="s">
        <v>4</v>
      </c>
      <c r="C34" s="9" t="n">
        <v>2126</v>
      </c>
      <c r="D34" s="9" t="n">
        <v>45</v>
      </c>
      <c r="E34" s="9" t="n">
        <v>16.3</v>
      </c>
    </row>
    <row r="35" customFormat="false" ht="15" hidden="false" customHeight="true" outlineLevel="0" collapsed="false">
      <c r="A35" s="6" t="s">
        <v>219</v>
      </c>
      <c r="B35" s="6" t="s">
        <v>5</v>
      </c>
      <c r="C35" s="7"/>
      <c r="D35" s="7" t="n">
        <v>16.3</v>
      </c>
      <c r="E35" s="7" t="n">
        <v>16.3</v>
      </c>
    </row>
    <row r="36" customFormat="false" ht="15" hidden="false" customHeight="true" outlineLevel="0" collapsed="false">
      <c r="A36" s="8" t="s">
        <v>701</v>
      </c>
      <c r="B36" s="8" t="s">
        <v>7</v>
      </c>
      <c r="C36" s="9" t="n">
        <v>2257</v>
      </c>
      <c r="D36" s="9" t="n">
        <v>50</v>
      </c>
      <c r="E36" s="9" t="n">
        <v>16.3</v>
      </c>
    </row>
    <row r="37" customFormat="false" ht="15" hidden="false" customHeight="true" outlineLevel="0" collapsed="false">
      <c r="A37" s="6" t="s">
        <v>701</v>
      </c>
      <c r="B37" s="6" t="s">
        <v>8</v>
      </c>
      <c r="C37" s="7" t="n">
        <v>2320</v>
      </c>
      <c r="D37" s="7" t="n">
        <v>47</v>
      </c>
      <c r="E37" s="7" t="n">
        <v>16.3</v>
      </c>
    </row>
    <row r="38" customFormat="false" ht="15" hidden="false" customHeight="true" outlineLevel="0" collapsed="false">
      <c r="A38" s="8" t="s">
        <v>701</v>
      </c>
      <c r="B38" s="8" t="s">
        <v>9</v>
      </c>
      <c r="C38" s="9" t="n">
        <v>2333</v>
      </c>
      <c r="D38" s="9" t="n">
        <v>34</v>
      </c>
      <c r="E38" s="9" t="n">
        <v>16.3</v>
      </c>
    </row>
    <row r="39" customFormat="false" ht="15" hidden="false" customHeight="true" outlineLevel="0" collapsed="false">
      <c r="A39" s="6" t="s">
        <v>220</v>
      </c>
      <c r="B39" s="6" t="s">
        <v>4</v>
      </c>
      <c r="C39" s="7" t="n">
        <v>2129</v>
      </c>
      <c r="D39" s="7" t="n">
        <v>45</v>
      </c>
      <c r="E39" s="7" t="n">
        <v>16.2</v>
      </c>
    </row>
    <row r="40" customFormat="false" ht="15" hidden="false" customHeight="true" outlineLevel="0" collapsed="false">
      <c r="A40" s="8" t="s">
        <v>220</v>
      </c>
      <c r="B40" s="8" t="s">
        <v>5</v>
      </c>
      <c r="C40" s="9"/>
      <c r="D40" s="9" t="n">
        <v>16.2</v>
      </c>
      <c r="E40" s="9" t="n">
        <v>16.2</v>
      </c>
    </row>
    <row r="41" customFormat="false" ht="15" hidden="false" customHeight="true" outlineLevel="0" collapsed="false">
      <c r="A41" s="6" t="s">
        <v>702</v>
      </c>
      <c r="B41" s="6" t="s">
        <v>7</v>
      </c>
      <c r="C41" s="7" t="n">
        <v>2281</v>
      </c>
      <c r="D41" s="7" t="n">
        <v>48</v>
      </c>
      <c r="E41" s="7" t="n">
        <v>16.2</v>
      </c>
    </row>
    <row r="42" customFormat="false" ht="15" hidden="false" customHeight="true" outlineLevel="0" collapsed="false">
      <c r="A42" s="8" t="s">
        <v>702</v>
      </c>
      <c r="B42" s="8" t="s">
        <v>6</v>
      </c>
      <c r="C42" s="9" t="n">
        <v>2087</v>
      </c>
      <c r="D42" s="9" t="n">
        <v>42</v>
      </c>
      <c r="E42" s="9" t="n">
        <v>16.2</v>
      </c>
    </row>
    <row r="43" customFormat="false" ht="15" hidden="false" customHeight="true" outlineLevel="0" collapsed="false">
      <c r="A43" s="6" t="s">
        <v>703</v>
      </c>
      <c r="B43" s="6" t="s">
        <v>8</v>
      </c>
      <c r="C43" s="7" t="n">
        <v>2331</v>
      </c>
      <c r="D43" s="7" t="n">
        <v>45</v>
      </c>
      <c r="E43" s="7" t="n">
        <v>16.2</v>
      </c>
    </row>
    <row r="44" customFormat="false" ht="15" hidden="false" customHeight="true" outlineLevel="0" collapsed="false">
      <c r="A44" s="8" t="s">
        <v>703</v>
      </c>
      <c r="B44" s="8" t="s">
        <v>9</v>
      </c>
      <c r="C44" s="9" t="n">
        <v>2341</v>
      </c>
      <c r="D44" s="9" t="n">
        <v>33</v>
      </c>
      <c r="E44" s="9" t="n">
        <v>16.2</v>
      </c>
    </row>
    <row r="45" customFormat="false" ht="15" hidden="false" customHeight="true" outlineLevel="0" collapsed="false">
      <c r="A45" s="6" t="s">
        <v>221</v>
      </c>
      <c r="B45" s="6" t="s">
        <v>5</v>
      </c>
      <c r="C45" s="7"/>
      <c r="D45" s="7" t="n">
        <v>16.2</v>
      </c>
      <c r="E45" s="7" t="n">
        <v>16.2</v>
      </c>
    </row>
    <row r="46" customFormat="false" ht="15" hidden="false" customHeight="true" outlineLevel="0" collapsed="false">
      <c r="A46" s="8" t="s">
        <v>704</v>
      </c>
      <c r="B46" s="8" t="s">
        <v>6</v>
      </c>
      <c r="C46" s="9" t="n">
        <v>2079</v>
      </c>
      <c r="D46" s="9" t="n">
        <v>42</v>
      </c>
      <c r="E46" s="9" t="n">
        <v>16.2</v>
      </c>
    </row>
    <row r="47" customFormat="false" ht="15" hidden="false" customHeight="true" outlineLevel="0" collapsed="false">
      <c r="A47" s="6" t="s">
        <v>704</v>
      </c>
      <c r="B47" s="6" t="s">
        <v>4</v>
      </c>
      <c r="C47" s="7" t="n">
        <v>2178</v>
      </c>
      <c r="D47" s="7" t="n">
        <v>41</v>
      </c>
      <c r="E47" s="7" t="n">
        <v>16.2</v>
      </c>
    </row>
    <row r="48" customFormat="false" ht="15" hidden="false" customHeight="true" outlineLevel="0" collapsed="false">
      <c r="A48" s="8" t="s">
        <v>705</v>
      </c>
      <c r="B48" s="8" t="s">
        <v>7</v>
      </c>
      <c r="C48" s="9" t="n">
        <v>2295</v>
      </c>
      <c r="D48" s="9" t="n">
        <v>46</v>
      </c>
      <c r="E48" s="9" t="n">
        <v>16.2</v>
      </c>
    </row>
    <row r="49" customFormat="false" ht="15" hidden="false" customHeight="true" outlineLevel="0" collapsed="false">
      <c r="A49" s="6" t="s">
        <v>705</v>
      </c>
      <c r="B49" s="6" t="s">
        <v>8</v>
      </c>
      <c r="C49" s="7" t="n">
        <v>2348</v>
      </c>
      <c r="D49" s="7" t="n">
        <v>43</v>
      </c>
      <c r="E49" s="7" t="n">
        <v>16.2</v>
      </c>
    </row>
    <row r="50" customFormat="false" ht="15" hidden="false" customHeight="true" outlineLevel="0" collapsed="false">
      <c r="A50" s="8" t="s">
        <v>706</v>
      </c>
      <c r="B50" s="8" t="s">
        <v>9</v>
      </c>
      <c r="C50" s="9" t="n">
        <v>2347</v>
      </c>
      <c r="D50" s="9" t="n">
        <v>32</v>
      </c>
      <c r="E50" s="9" t="n">
        <v>16.2</v>
      </c>
    </row>
    <row r="51" customFormat="false" ht="15" hidden="false" customHeight="true" outlineLevel="0" collapsed="false">
      <c r="A51" s="6" t="s">
        <v>222</v>
      </c>
      <c r="B51" s="6" t="s">
        <v>5</v>
      </c>
      <c r="C51" s="7"/>
      <c r="D51" s="7" t="n">
        <v>16.3</v>
      </c>
      <c r="E51" s="7" t="n">
        <v>16.3</v>
      </c>
    </row>
    <row r="52" customFormat="false" ht="15" hidden="false" customHeight="true" outlineLevel="0" collapsed="false">
      <c r="A52" s="8" t="s">
        <v>707</v>
      </c>
      <c r="B52" s="8" t="s">
        <v>4</v>
      </c>
      <c r="C52" s="9" t="n">
        <v>2134</v>
      </c>
      <c r="D52" s="9" t="n">
        <v>44</v>
      </c>
      <c r="E52" s="9" t="n">
        <v>16.3</v>
      </c>
    </row>
    <row r="53" customFormat="false" ht="15" hidden="false" customHeight="true" outlineLevel="0" collapsed="false">
      <c r="A53" s="6" t="s">
        <v>707</v>
      </c>
      <c r="B53" s="6" t="s">
        <v>6</v>
      </c>
      <c r="C53" s="7" t="n">
        <v>2075</v>
      </c>
      <c r="D53" s="7" t="n">
        <v>43</v>
      </c>
      <c r="E53" s="7" t="n">
        <v>16.3</v>
      </c>
    </row>
    <row r="54" customFormat="false" ht="15" hidden="false" customHeight="true" outlineLevel="0" collapsed="false">
      <c r="A54" s="8" t="s">
        <v>708</v>
      </c>
      <c r="B54" s="8" t="s">
        <v>9</v>
      </c>
      <c r="C54" s="9" t="n">
        <v>2336</v>
      </c>
      <c r="D54" s="9" t="n">
        <v>33</v>
      </c>
      <c r="E54" s="9" t="n">
        <v>16.3</v>
      </c>
    </row>
    <row r="55" customFormat="false" ht="15" hidden="false" customHeight="true" outlineLevel="0" collapsed="false">
      <c r="A55" s="6" t="s">
        <v>708</v>
      </c>
      <c r="B55" s="6" t="s">
        <v>7</v>
      </c>
      <c r="C55" s="7" t="n">
        <v>2309</v>
      </c>
      <c r="D55" s="7" t="n">
        <v>45</v>
      </c>
      <c r="E55" s="7" t="n">
        <v>16.3</v>
      </c>
    </row>
    <row r="56" customFormat="false" ht="15" hidden="false" customHeight="true" outlineLevel="0" collapsed="false">
      <c r="A56" s="8" t="s">
        <v>708</v>
      </c>
      <c r="B56" s="8" t="s">
        <v>8</v>
      </c>
      <c r="C56" s="9" t="n">
        <v>2368</v>
      </c>
      <c r="D56" s="9" t="n">
        <v>41</v>
      </c>
      <c r="E56" s="9" t="n">
        <v>16.3</v>
      </c>
    </row>
    <row r="57" customFormat="false" ht="15" hidden="false" customHeight="true" outlineLevel="0" collapsed="false">
      <c r="A57" s="6" t="s">
        <v>223</v>
      </c>
      <c r="B57" s="6" t="s">
        <v>4</v>
      </c>
      <c r="C57" s="7" t="n">
        <v>2126</v>
      </c>
      <c r="D57" s="7" t="n">
        <v>45</v>
      </c>
      <c r="E57" s="7" t="n">
        <v>16.2</v>
      </c>
    </row>
    <row r="58" customFormat="false" ht="15" hidden="false" customHeight="true" outlineLevel="0" collapsed="false">
      <c r="A58" s="8" t="s">
        <v>223</v>
      </c>
      <c r="B58" s="8" t="s">
        <v>5</v>
      </c>
      <c r="C58" s="9"/>
      <c r="D58" s="9" t="n">
        <v>16.2</v>
      </c>
      <c r="E58" s="9" t="n">
        <v>16.2</v>
      </c>
    </row>
    <row r="59" customFormat="false" ht="15" hidden="false" customHeight="true" outlineLevel="0" collapsed="false">
      <c r="A59" s="6" t="s">
        <v>709</v>
      </c>
      <c r="B59" s="6" t="s">
        <v>6</v>
      </c>
      <c r="C59" s="7" t="n">
        <v>2082</v>
      </c>
      <c r="D59" s="7" t="n">
        <v>42</v>
      </c>
      <c r="E59" s="7" t="n">
        <v>16.2</v>
      </c>
    </row>
    <row r="60" customFormat="false" ht="15" hidden="false" customHeight="true" outlineLevel="0" collapsed="false">
      <c r="A60" s="8" t="s">
        <v>709</v>
      </c>
      <c r="B60" s="8" t="s">
        <v>7</v>
      </c>
      <c r="C60" s="9" t="n">
        <v>2325</v>
      </c>
      <c r="D60" s="9" t="n">
        <v>44</v>
      </c>
      <c r="E60" s="9" t="n">
        <v>16.2</v>
      </c>
    </row>
    <row r="61" customFormat="false" ht="15" hidden="false" customHeight="true" outlineLevel="0" collapsed="false">
      <c r="A61" s="6" t="s">
        <v>709</v>
      </c>
      <c r="B61" s="6" t="s">
        <v>8</v>
      </c>
      <c r="C61" s="7" t="n">
        <v>2359</v>
      </c>
      <c r="D61" s="7" t="n">
        <v>42</v>
      </c>
      <c r="E61" s="7" t="n">
        <v>16.2</v>
      </c>
    </row>
    <row r="62" customFormat="false" ht="15" hidden="false" customHeight="true" outlineLevel="0" collapsed="false">
      <c r="A62" s="8" t="s">
        <v>709</v>
      </c>
      <c r="B62" s="8" t="s">
        <v>9</v>
      </c>
      <c r="C62" s="9" t="n">
        <v>2355</v>
      </c>
      <c r="D62" s="9" t="n">
        <v>30</v>
      </c>
      <c r="E62" s="9" t="n">
        <v>16.2</v>
      </c>
    </row>
    <row r="63" customFormat="false" ht="15" hidden="false" customHeight="true" outlineLevel="0" collapsed="false">
      <c r="A63" s="6" t="s">
        <v>224</v>
      </c>
      <c r="B63" s="6" t="s">
        <v>5</v>
      </c>
      <c r="C63" s="7"/>
      <c r="D63" s="7" t="n">
        <v>16.2</v>
      </c>
      <c r="E63" s="7" t="n">
        <v>16.2</v>
      </c>
    </row>
    <row r="64" customFormat="false" ht="15" hidden="false" customHeight="true" outlineLevel="0" collapsed="false">
      <c r="A64" s="8" t="s">
        <v>710</v>
      </c>
      <c r="B64" s="8" t="s">
        <v>6</v>
      </c>
      <c r="C64" s="9" t="n">
        <v>2079</v>
      </c>
      <c r="D64" s="9" t="n">
        <v>42</v>
      </c>
      <c r="E64" s="9" t="n">
        <v>16.2</v>
      </c>
    </row>
    <row r="65" customFormat="false" ht="15" hidden="false" customHeight="true" outlineLevel="0" collapsed="false">
      <c r="A65" s="6" t="s">
        <v>710</v>
      </c>
      <c r="B65" s="6" t="s">
        <v>7</v>
      </c>
      <c r="C65" s="7" t="n">
        <v>2337</v>
      </c>
      <c r="D65" s="7" t="n">
        <v>42</v>
      </c>
      <c r="E65" s="7" t="n">
        <v>16.2</v>
      </c>
    </row>
    <row r="66" customFormat="false" ht="15" hidden="false" customHeight="true" outlineLevel="0" collapsed="false">
      <c r="A66" s="8" t="s">
        <v>710</v>
      </c>
      <c r="B66" s="8" t="s">
        <v>4</v>
      </c>
      <c r="C66" s="9" t="n">
        <v>2217</v>
      </c>
      <c r="D66" s="9" t="n">
        <v>39</v>
      </c>
      <c r="E66" s="9" t="n">
        <v>16.2</v>
      </c>
    </row>
    <row r="67" customFormat="false" ht="15" hidden="false" customHeight="true" outlineLevel="0" collapsed="false">
      <c r="A67" s="6" t="s">
        <v>711</v>
      </c>
      <c r="B67" s="6" t="s">
        <v>9</v>
      </c>
      <c r="C67" s="7" t="n">
        <v>2368</v>
      </c>
      <c r="D67" s="7" t="n">
        <v>28</v>
      </c>
      <c r="E67" s="7" t="n">
        <v>16.2</v>
      </c>
    </row>
    <row r="68" customFormat="false" ht="15" hidden="false" customHeight="true" outlineLevel="0" collapsed="false">
      <c r="A68" s="8" t="s">
        <v>711</v>
      </c>
      <c r="B68" s="8" t="s">
        <v>8</v>
      </c>
      <c r="C68" s="9" t="n">
        <v>2367</v>
      </c>
      <c r="D68" s="9" t="n">
        <v>41</v>
      </c>
      <c r="E68" s="9" t="n">
        <v>16.2</v>
      </c>
    </row>
    <row r="69" customFormat="false" ht="15" hidden="false" customHeight="true" outlineLevel="0" collapsed="false">
      <c r="A69" s="6" t="s">
        <v>225</v>
      </c>
      <c r="B69" s="6" t="s">
        <v>4</v>
      </c>
      <c r="C69" s="7" t="n">
        <v>2125</v>
      </c>
      <c r="D69" s="7" t="n">
        <v>45</v>
      </c>
      <c r="E69" s="7" t="n">
        <v>16.2</v>
      </c>
    </row>
    <row r="70" customFormat="false" ht="15" hidden="false" customHeight="true" outlineLevel="0" collapsed="false">
      <c r="A70" s="8" t="s">
        <v>225</v>
      </c>
      <c r="B70" s="8" t="s">
        <v>5</v>
      </c>
      <c r="C70" s="9"/>
      <c r="D70" s="9" t="n">
        <v>16.2</v>
      </c>
      <c r="E70" s="9" t="n">
        <v>16.2</v>
      </c>
    </row>
    <row r="71" customFormat="false" ht="15" hidden="false" customHeight="true" outlineLevel="0" collapsed="false">
      <c r="A71" s="6" t="s">
        <v>712</v>
      </c>
      <c r="B71" s="6" t="s">
        <v>6</v>
      </c>
      <c r="C71" s="7" t="n">
        <v>2083</v>
      </c>
      <c r="D71" s="7" t="n">
        <v>42</v>
      </c>
      <c r="E71" s="7" t="n">
        <v>16.2</v>
      </c>
    </row>
    <row r="72" customFormat="false" ht="15" hidden="false" customHeight="true" outlineLevel="0" collapsed="false">
      <c r="A72" s="8" t="s">
        <v>712</v>
      </c>
      <c r="B72" s="8" t="s">
        <v>7</v>
      </c>
      <c r="C72" s="9" t="n">
        <v>2341</v>
      </c>
      <c r="D72" s="9" t="n">
        <v>42</v>
      </c>
      <c r="E72" s="9" t="n">
        <v>16.2</v>
      </c>
    </row>
    <row r="73" customFormat="false" ht="15" hidden="false" customHeight="true" outlineLevel="0" collapsed="false">
      <c r="A73" s="6" t="s">
        <v>713</v>
      </c>
      <c r="B73" s="6" t="s">
        <v>8</v>
      </c>
      <c r="C73" s="7" t="n">
        <v>2369</v>
      </c>
      <c r="D73" s="7" t="n">
        <v>41</v>
      </c>
      <c r="E73" s="7" t="n">
        <v>16.2</v>
      </c>
    </row>
    <row r="74" customFormat="false" ht="15" hidden="false" customHeight="true" outlineLevel="0" collapsed="false">
      <c r="A74" s="8" t="s">
        <v>713</v>
      </c>
      <c r="B74" s="8" t="s">
        <v>9</v>
      </c>
      <c r="C74" s="9" t="n">
        <v>2367</v>
      </c>
      <c r="D74" s="9" t="n">
        <v>28</v>
      </c>
      <c r="E74" s="9" t="n">
        <v>16.2</v>
      </c>
    </row>
    <row r="75" customFormat="false" ht="15" hidden="false" customHeight="true" outlineLevel="0" collapsed="false">
      <c r="A75" s="6" t="s">
        <v>226</v>
      </c>
      <c r="B75" s="6" t="s">
        <v>4</v>
      </c>
      <c r="C75" s="7" t="n">
        <v>2132</v>
      </c>
      <c r="D75" s="7" t="n">
        <v>44</v>
      </c>
      <c r="E75" s="7" t="n">
        <v>16.2</v>
      </c>
    </row>
    <row r="76" customFormat="false" ht="15" hidden="false" customHeight="true" outlineLevel="0" collapsed="false">
      <c r="A76" s="8" t="s">
        <v>226</v>
      </c>
      <c r="B76" s="8" t="s">
        <v>5</v>
      </c>
      <c r="C76" s="9"/>
      <c r="D76" s="9" t="n">
        <v>16.2</v>
      </c>
      <c r="E76" s="9" t="n">
        <v>16.2</v>
      </c>
    </row>
    <row r="77" customFormat="false" ht="15" hidden="false" customHeight="true" outlineLevel="0" collapsed="false">
      <c r="A77" s="6" t="s">
        <v>714</v>
      </c>
      <c r="B77" s="6" t="s">
        <v>6</v>
      </c>
      <c r="C77" s="7" t="n">
        <v>2019</v>
      </c>
      <c r="D77" s="7" t="n">
        <v>46</v>
      </c>
      <c r="E77" s="7" t="n">
        <v>16.2</v>
      </c>
    </row>
    <row r="78" customFormat="false" ht="15" hidden="false" customHeight="true" outlineLevel="0" collapsed="false">
      <c r="A78" s="8" t="s">
        <v>714</v>
      </c>
      <c r="B78" s="8" t="s">
        <v>7</v>
      </c>
      <c r="C78" s="9" t="n">
        <v>2351</v>
      </c>
      <c r="D78" s="9" t="n">
        <v>41</v>
      </c>
      <c r="E78" s="9" t="n">
        <v>16.2</v>
      </c>
    </row>
    <row r="79" customFormat="false" ht="15" hidden="false" customHeight="true" outlineLevel="0" collapsed="false">
      <c r="A79" s="6" t="s">
        <v>714</v>
      </c>
      <c r="B79" s="6" t="s">
        <v>8</v>
      </c>
      <c r="C79" s="7" t="n">
        <v>2386</v>
      </c>
      <c r="D79" s="7" t="n">
        <v>39</v>
      </c>
      <c r="E79" s="7" t="n">
        <v>16.2</v>
      </c>
    </row>
    <row r="80" customFormat="false" ht="15" hidden="false" customHeight="true" outlineLevel="0" collapsed="false">
      <c r="A80" s="8" t="s">
        <v>714</v>
      </c>
      <c r="B80" s="8" t="s">
        <v>9</v>
      </c>
      <c r="C80" s="9" t="n">
        <v>2370</v>
      </c>
      <c r="D80" s="9" t="n">
        <v>28</v>
      </c>
      <c r="E80" s="9" t="n">
        <v>16.2</v>
      </c>
    </row>
    <row r="81" customFormat="false" ht="15" hidden="false" customHeight="true" outlineLevel="0" collapsed="false">
      <c r="A81" s="6" t="s">
        <v>227</v>
      </c>
      <c r="B81" s="6" t="s">
        <v>5</v>
      </c>
      <c r="C81" s="7"/>
      <c r="D81" s="7" t="n">
        <v>16.2</v>
      </c>
      <c r="E81" s="7" t="n">
        <v>16.2</v>
      </c>
    </row>
    <row r="82" customFormat="false" ht="15" hidden="false" customHeight="true" outlineLevel="0" collapsed="false">
      <c r="A82" s="8" t="s">
        <v>227</v>
      </c>
      <c r="B82" s="8" t="s">
        <v>4</v>
      </c>
      <c r="C82" s="9" t="n">
        <v>2126</v>
      </c>
      <c r="D82" s="9" t="n">
        <v>45</v>
      </c>
      <c r="E82" s="9" t="n">
        <v>16.2</v>
      </c>
    </row>
    <row r="83" customFormat="false" ht="15" hidden="false" customHeight="true" outlineLevel="0" collapsed="false">
      <c r="A83" s="6" t="s">
        <v>715</v>
      </c>
      <c r="B83" s="6" t="s">
        <v>6</v>
      </c>
      <c r="C83" s="7" t="n">
        <v>2081</v>
      </c>
      <c r="D83" s="7" t="n">
        <v>42</v>
      </c>
      <c r="E83" s="7" t="n">
        <v>16.2</v>
      </c>
    </row>
    <row r="84" customFormat="false" ht="15" hidden="false" customHeight="true" outlineLevel="0" collapsed="false">
      <c r="A84" s="8" t="s">
        <v>715</v>
      </c>
      <c r="B84" s="8" t="s">
        <v>7</v>
      </c>
      <c r="C84" s="9" t="n">
        <v>2357</v>
      </c>
      <c r="D84" s="9" t="n">
        <v>41</v>
      </c>
      <c r="E84" s="9" t="n">
        <v>16.2</v>
      </c>
    </row>
    <row r="85" customFormat="false" ht="15" hidden="false" customHeight="true" outlineLevel="0" collapsed="false">
      <c r="A85" s="6" t="s">
        <v>715</v>
      </c>
      <c r="B85" s="6" t="s">
        <v>8</v>
      </c>
      <c r="C85" s="7" t="n">
        <v>2383</v>
      </c>
      <c r="D85" s="7" t="n">
        <v>39</v>
      </c>
      <c r="E85" s="7" t="n">
        <v>16.2</v>
      </c>
    </row>
    <row r="86" customFormat="false" ht="15" hidden="false" customHeight="true" outlineLevel="0" collapsed="false">
      <c r="A86" s="8" t="s">
        <v>716</v>
      </c>
      <c r="B86" s="8" t="s">
        <v>9</v>
      </c>
      <c r="C86" s="9" t="n">
        <v>2384</v>
      </c>
      <c r="D86" s="9" t="n">
        <v>25</v>
      </c>
      <c r="E86" s="9" t="n">
        <v>16.2</v>
      </c>
    </row>
    <row r="87" customFormat="false" ht="15" hidden="false" customHeight="true" outlineLevel="0" collapsed="false">
      <c r="A87" s="6" t="s">
        <v>228</v>
      </c>
      <c r="B87" s="6" t="s">
        <v>4</v>
      </c>
      <c r="C87" s="7" t="n">
        <v>2064</v>
      </c>
      <c r="D87" s="7" t="n">
        <v>49</v>
      </c>
      <c r="E87" s="7" t="n">
        <v>16.2</v>
      </c>
    </row>
    <row r="88" customFormat="false" ht="15" hidden="false" customHeight="true" outlineLevel="0" collapsed="false">
      <c r="A88" s="8" t="s">
        <v>228</v>
      </c>
      <c r="B88" s="8" t="s">
        <v>5</v>
      </c>
      <c r="C88" s="9"/>
      <c r="D88" s="9" t="n">
        <v>16.2</v>
      </c>
      <c r="E88" s="9" t="n">
        <v>16.2</v>
      </c>
    </row>
    <row r="89" customFormat="false" ht="15" hidden="false" customHeight="true" outlineLevel="0" collapsed="false">
      <c r="A89" s="6" t="s">
        <v>717</v>
      </c>
      <c r="B89" s="6" t="s">
        <v>6</v>
      </c>
      <c r="C89" s="7" t="n">
        <v>2076</v>
      </c>
      <c r="D89" s="7" t="n">
        <v>43</v>
      </c>
      <c r="E89" s="7" t="n">
        <v>16.2</v>
      </c>
    </row>
    <row r="90" customFormat="false" ht="15" hidden="false" customHeight="true" outlineLevel="0" collapsed="false">
      <c r="A90" s="8" t="s">
        <v>718</v>
      </c>
      <c r="B90" s="8" t="s">
        <v>7</v>
      </c>
      <c r="C90" s="9" t="n">
        <v>2364</v>
      </c>
      <c r="D90" s="9" t="n">
        <v>40</v>
      </c>
      <c r="E90" s="9" t="n">
        <v>16.2</v>
      </c>
    </row>
    <row r="91" customFormat="false" ht="15" hidden="false" customHeight="true" outlineLevel="0" collapsed="false">
      <c r="A91" s="6" t="s">
        <v>718</v>
      </c>
      <c r="B91" s="6" t="s">
        <v>8</v>
      </c>
      <c r="C91" s="7" t="n">
        <v>2384</v>
      </c>
      <c r="D91" s="7" t="n">
        <v>39</v>
      </c>
      <c r="E91" s="7" t="n">
        <v>16.2</v>
      </c>
    </row>
    <row r="92" customFormat="false" ht="15" hidden="false" customHeight="true" outlineLevel="0" collapsed="false">
      <c r="A92" s="8" t="s">
        <v>718</v>
      </c>
      <c r="B92" s="8" t="s">
        <v>9</v>
      </c>
      <c r="C92" s="9" t="n">
        <v>2375</v>
      </c>
      <c r="D92" s="9" t="n">
        <v>27</v>
      </c>
      <c r="E92" s="9" t="n">
        <v>16.2</v>
      </c>
    </row>
    <row r="93" customFormat="false" ht="15" hidden="false" customHeight="true" outlineLevel="0" collapsed="false">
      <c r="A93" s="6" t="s">
        <v>229</v>
      </c>
      <c r="B93" s="6" t="s">
        <v>5</v>
      </c>
      <c r="C93" s="7"/>
      <c r="D93" s="7" t="n">
        <v>16.2</v>
      </c>
      <c r="E93" s="7" t="n">
        <v>16.2</v>
      </c>
    </row>
    <row r="94" customFormat="false" ht="15" hidden="false" customHeight="true" outlineLevel="0" collapsed="false">
      <c r="A94" s="8" t="s">
        <v>229</v>
      </c>
      <c r="B94" s="8" t="s">
        <v>6</v>
      </c>
      <c r="C94" s="9" t="n">
        <v>2096</v>
      </c>
      <c r="D94" s="9" t="n">
        <v>41</v>
      </c>
      <c r="E94" s="9" t="n">
        <v>16.2</v>
      </c>
    </row>
    <row r="95" customFormat="false" ht="15" hidden="false" customHeight="true" outlineLevel="0" collapsed="false">
      <c r="A95" s="6" t="s">
        <v>229</v>
      </c>
      <c r="B95" s="6" t="s">
        <v>4</v>
      </c>
      <c r="C95" s="7" t="n">
        <v>2119</v>
      </c>
      <c r="D95" s="7" t="n">
        <v>45</v>
      </c>
      <c r="E95" s="7" t="n">
        <v>16.2</v>
      </c>
    </row>
    <row r="96" customFormat="false" ht="15" hidden="false" customHeight="true" outlineLevel="0" collapsed="false">
      <c r="A96" s="8" t="s">
        <v>719</v>
      </c>
      <c r="B96" s="8" t="s">
        <v>7</v>
      </c>
      <c r="C96" s="9" t="n">
        <v>2369</v>
      </c>
      <c r="D96" s="9" t="n">
        <v>39</v>
      </c>
      <c r="E96" s="9" t="n">
        <v>16.2</v>
      </c>
    </row>
    <row r="97" customFormat="false" ht="15" hidden="false" customHeight="true" outlineLevel="0" collapsed="false">
      <c r="A97" s="6" t="s">
        <v>719</v>
      </c>
      <c r="B97" s="6" t="s">
        <v>8</v>
      </c>
      <c r="C97" s="7" t="n">
        <v>2401</v>
      </c>
      <c r="D97" s="7" t="n">
        <v>37</v>
      </c>
      <c r="E97" s="7" t="n">
        <v>16.2</v>
      </c>
    </row>
    <row r="98" customFormat="false" ht="15" hidden="false" customHeight="true" outlineLevel="0" collapsed="false">
      <c r="A98" s="8" t="s">
        <v>719</v>
      </c>
      <c r="B98" s="8" t="s">
        <v>9</v>
      </c>
      <c r="C98" s="9" t="n">
        <v>2378</v>
      </c>
      <c r="D98" s="9" t="n">
        <v>26</v>
      </c>
      <c r="E98" s="9" t="n">
        <v>16.2</v>
      </c>
    </row>
    <row r="99" customFormat="false" ht="15" hidden="false" customHeight="true" outlineLevel="0" collapsed="false">
      <c r="A99" s="6" t="s">
        <v>230</v>
      </c>
      <c r="B99" s="6" t="s">
        <v>4</v>
      </c>
      <c r="C99" s="7" t="n">
        <v>2101</v>
      </c>
      <c r="D99" s="7" t="n">
        <v>46</v>
      </c>
      <c r="E99" s="7" t="n">
        <v>16.3</v>
      </c>
    </row>
    <row r="100" customFormat="false" ht="15" hidden="false" customHeight="true" outlineLevel="0" collapsed="false">
      <c r="A100" s="8" t="s">
        <v>230</v>
      </c>
      <c r="B100" s="8" t="s">
        <v>5</v>
      </c>
      <c r="C100" s="9"/>
      <c r="D100" s="9" t="n">
        <v>16.3</v>
      </c>
      <c r="E100" s="9" t="n">
        <v>16.3</v>
      </c>
    </row>
    <row r="101" customFormat="false" ht="15" hidden="false" customHeight="true" outlineLevel="0" collapsed="false">
      <c r="A101" s="6" t="s">
        <v>720</v>
      </c>
      <c r="B101" s="6" t="s">
        <v>8</v>
      </c>
      <c r="C101" s="7" t="n">
        <v>2395</v>
      </c>
      <c r="D101" s="7" t="n">
        <v>38</v>
      </c>
      <c r="E101" s="7" t="n">
        <v>16.3</v>
      </c>
    </row>
    <row r="102" customFormat="false" ht="15" hidden="false" customHeight="true" outlineLevel="0" collapsed="false">
      <c r="A102" s="8" t="s">
        <v>720</v>
      </c>
      <c r="B102" s="8" t="s">
        <v>6</v>
      </c>
      <c r="C102" s="9" t="n">
        <v>2081</v>
      </c>
      <c r="D102" s="9" t="n">
        <v>42</v>
      </c>
      <c r="E102" s="9" t="n">
        <v>16.3</v>
      </c>
    </row>
    <row r="103" customFormat="false" ht="15" hidden="false" customHeight="true" outlineLevel="0" collapsed="false">
      <c r="A103" s="6" t="s">
        <v>720</v>
      </c>
      <c r="B103" s="6" t="s">
        <v>7</v>
      </c>
      <c r="C103" s="7" t="n">
        <v>2379</v>
      </c>
      <c r="D103" s="7" t="n">
        <v>38</v>
      </c>
      <c r="E103" s="7" t="n">
        <v>16.3</v>
      </c>
    </row>
    <row r="104" customFormat="false" ht="15" hidden="false" customHeight="true" outlineLevel="0" collapsed="false">
      <c r="A104" s="8" t="s">
        <v>721</v>
      </c>
      <c r="B104" s="8" t="s">
        <v>9</v>
      </c>
      <c r="C104" s="9" t="n">
        <v>2384</v>
      </c>
      <c r="D104" s="9" t="n">
        <v>25</v>
      </c>
      <c r="E104" s="9" t="n">
        <v>16.3</v>
      </c>
    </row>
    <row r="105" customFormat="false" ht="15" hidden="false" customHeight="true" outlineLevel="0" collapsed="false">
      <c r="A105" s="6" t="s">
        <v>231</v>
      </c>
      <c r="B105" s="6" t="s">
        <v>5</v>
      </c>
      <c r="C105" s="7"/>
      <c r="D105" s="7" t="n">
        <v>16.2</v>
      </c>
      <c r="E105" s="7" t="n">
        <v>16.2</v>
      </c>
    </row>
    <row r="106" customFormat="false" ht="15" hidden="false" customHeight="true" outlineLevel="0" collapsed="false">
      <c r="A106" s="8" t="s">
        <v>722</v>
      </c>
      <c r="B106" s="8" t="s">
        <v>4</v>
      </c>
      <c r="C106" s="9" t="n">
        <v>2170</v>
      </c>
      <c r="D106" s="9" t="n">
        <v>42</v>
      </c>
      <c r="E106" s="9" t="n">
        <v>16.2</v>
      </c>
    </row>
    <row r="107" customFormat="false" ht="15" hidden="false" customHeight="true" outlineLevel="0" collapsed="false">
      <c r="A107" s="6" t="s">
        <v>722</v>
      </c>
      <c r="B107" s="6" t="s">
        <v>6</v>
      </c>
      <c r="C107" s="7" t="n">
        <v>2081</v>
      </c>
      <c r="D107" s="7" t="n">
        <v>42</v>
      </c>
      <c r="E107" s="7" t="n">
        <v>16.2</v>
      </c>
    </row>
    <row r="108" customFormat="false" ht="15" hidden="false" customHeight="true" outlineLevel="0" collapsed="false">
      <c r="A108" s="8" t="s">
        <v>723</v>
      </c>
      <c r="B108" s="8" t="s">
        <v>7</v>
      </c>
      <c r="C108" s="9" t="n">
        <v>2381</v>
      </c>
      <c r="D108" s="9" t="n">
        <v>38</v>
      </c>
      <c r="E108" s="9" t="n">
        <v>16.2</v>
      </c>
    </row>
    <row r="109" customFormat="false" ht="15" hidden="false" customHeight="true" outlineLevel="0" collapsed="false">
      <c r="A109" s="6" t="s">
        <v>723</v>
      </c>
      <c r="B109" s="6" t="s">
        <v>8</v>
      </c>
      <c r="C109" s="7" t="n">
        <v>2431</v>
      </c>
      <c r="D109" s="7" t="n">
        <v>33</v>
      </c>
      <c r="E109" s="7" t="n">
        <v>16.2</v>
      </c>
    </row>
    <row r="110" customFormat="false" ht="15" hidden="false" customHeight="true" outlineLevel="0" collapsed="false">
      <c r="A110" s="8" t="s">
        <v>723</v>
      </c>
      <c r="B110" s="8" t="s">
        <v>9</v>
      </c>
      <c r="C110" s="9" t="n">
        <v>2384</v>
      </c>
      <c r="D110" s="9" t="n">
        <v>25</v>
      </c>
      <c r="E110" s="9" t="n">
        <v>16.2</v>
      </c>
    </row>
    <row r="111" customFormat="false" ht="15" hidden="false" customHeight="true" outlineLevel="0" collapsed="false">
      <c r="A111" s="6" t="s">
        <v>232</v>
      </c>
      <c r="B111" s="6" t="s">
        <v>4</v>
      </c>
      <c r="C111" s="7" t="n">
        <v>2126</v>
      </c>
      <c r="D111" s="7" t="n">
        <v>45</v>
      </c>
      <c r="E111" s="7" t="n">
        <v>16.3</v>
      </c>
    </row>
    <row r="112" customFormat="false" ht="15" hidden="false" customHeight="true" outlineLevel="0" collapsed="false">
      <c r="A112" s="8" t="s">
        <v>232</v>
      </c>
      <c r="B112" s="8" t="s">
        <v>5</v>
      </c>
      <c r="C112" s="9"/>
      <c r="D112" s="9" t="n">
        <v>16.3</v>
      </c>
      <c r="E112" s="9" t="n">
        <v>16.3</v>
      </c>
    </row>
    <row r="113" customFormat="false" ht="15" hidden="false" customHeight="true" outlineLevel="0" collapsed="false">
      <c r="A113" s="6" t="s">
        <v>724</v>
      </c>
      <c r="B113" s="6" t="s">
        <v>6</v>
      </c>
      <c r="C113" s="7" t="n">
        <v>2078</v>
      </c>
      <c r="D113" s="7" t="n">
        <v>43</v>
      </c>
      <c r="E113" s="7" t="n">
        <v>16.3</v>
      </c>
    </row>
    <row r="114" customFormat="false" ht="15" hidden="false" customHeight="true" outlineLevel="0" collapsed="false">
      <c r="A114" s="8" t="s">
        <v>724</v>
      </c>
      <c r="B114" s="8" t="s">
        <v>7</v>
      </c>
      <c r="C114" s="9" t="n">
        <v>2382</v>
      </c>
      <c r="D114" s="9" t="n">
        <v>38</v>
      </c>
      <c r="E114" s="9" t="n">
        <v>16.3</v>
      </c>
    </row>
    <row r="115" customFormat="false" ht="15" hidden="false" customHeight="true" outlineLevel="0" collapsed="false">
      <c r="A115" s="6" t="s">
        <v>724</v>
      </c>
      <c r="B115" s="6" t="s">
        <v>8</v>
      </c>
      <c r="C115" s="7" t="n">
        <v>2403</v>
      </c>
      <c r="D115" s="7" t="n">
        <v>37</v>
      </c>
      <c r="E115" s="7" t="n">
        <v>16.3</v>
      </c>
    </row>
    <row r="116" customFormat="false" ht="15" hidden="false" customHeight="true" outlineLevel="0" collapsed="false">
      <c r="A116" s="8" t="s">
        <v>724</v>
      </c>
      <c r="B116" s="8" t="s">
        <v>9</v>
      </c>
      <c r="C116" s="9" t="n">
        <v>2384</v>
      </c>
      <c r="D116" s="9" t="n">
        <v>25</v>
      </c>
      <c r="E116" s="9" t="n">
        <v>16.3</v>
      </c>
    </row>
    <row r="117" customFormat="false" ht="15" hidden="false" customHeight="true" outlineLevel="0" collapsed="false">
      <c r="A117" s="6" t="s">
        <v>233</v>
      </c>
      <c r="B117" s="6" t="s">
        <v>4</v>
      </c>
      <c r="C117" s="7" t="n">
        <v>2122</v>
      </c>
      <c r="D117" s="7" t="n">
        <v>45</v>
      </c>
      <c r="E117" s="7" t="n">
        <v>16.2</v>
      </c>
    </row>
    <row r="118" customFormat="false" ht="15" hidden="false" customHeight="true" outlineLevel="0" collapsed="false">
      <c r="A118" s="8" t="s">
        <v>233</v>
      </c>
      <c r="B118" s="8" t="s">
        <v>5</v>
      </c>
      <c r="C118" s="9"/>
      <c r="D118" s="9" t="n">
        <v>16.2</v>
      </c>
      <c r="E118" s="9" t="n">
        <v>16.2</v>
      </c>
    </row>
    <row r="119" customFormat="false" ht="15" hidden="false" customHeight="true" outlineLevel="0" collapsed="false">
      <c r="A119" s="6" t="s">
        <v>725</v>
      </c>
      <c r="B119" s="6" t="s">
        <v>7</v>
      </c>
      <c r="C119" s="7" t="n">
        <v>2384</v>
      </c>
      <c r="D119" s="7" t="n">
        <v>38</v>
      </c>
      <c r="E119" s="7" t="n">
        <v>16.2</v>
      </c>
    </row>
    <row r="120" customFormat="false" ht="15" hidden="false" customHeight="true" outlineLevel="0" collapsed="false">
      <c r="A120" s="8" t="s">
        <v>725</v>
      </c>
      <c r="B120" s="8" t="s">
        <v>6</v>
      </c>
      <c r="C120" s="9" t="n">
        <v>2079</v>
      </c>
      <c r="D120" s="9" t="n">
        <v>42</v>
      </c>
      <c r="E120" s="9" t="n">
        <v>16.2</v>
      </c>
    </row>
    <row r="121" customFormat="false" ht="15" hidden="false" customHeight="true" outlineLevel="0" collapsed="false">
      <c r="A121" s="6" t="s">
        <v>726</v>
      </c>
      <c r="B121" s="6" t="s">
        <v>8</v>
      </c>
      <c r="C121" s="7" t="n">
        <v>2403</v>
      </c>
      <c r="D121" s="7" t="n">
        <v>37</v>
      </c>
      <c r="E121" s="7" t="n">
        <v>16.2</v>
      </c>
    </row>
    <row r="122" customFormat="false" ht="15" hidden="false" customHeight="true" outlineLevel="0" collapsed="false">
      <c r="A122" s="8" t="s">
        <v>726</v>
      </c>
      <c r="B122" s="8" t="s">
        <v>9</v>
      </c>
      <c r="C122" s="9" t="n">
        <v>2388</v>
      </c>
      <c r="D122" s="9" t="n">
        <v>24</v>
      </c>
      <c r="E122" s="9" t="n">
        <v>16.2</v>
      </c>
    </row>
    <row r="123" customFormat="false" ht="15" hidden="false" customHeight="true" outlineLevel="0" collapsed="false">
      <c r="A123" s="6" t="s">
        <v>234</v>
      </c>
      <c r="B123" s="6" t="s">
        <v>6</v>
      </c>
      <c r="C123" s="7" t="n">
        <v>2079</v>
      </c>
      <c r="D123" s="7" t="n">
        <v>42</v>
      </c>
      <c r="E123" s="7" t="n">
        <v>16.2</v>
      </c>
    </row>
    <row r="124" customFormat="false" ht="15" hidden="false" customHeight="true" outlineLevel="0" collapsed="false">
      <c r="A124" s="8" t="s">
        <v>234</v>
      </c>
      <c r="B124" s="8" t="s">
        <v>4</v>
      </c>
      <c r="C124" s="9" t="n">
        <v>2128</v>
      </c>
      <c r="D124" s="9" t="n">
        <v>45</v>
      </c>
      <c r="E124" s="9" t="n">
        <v>16.2</v>
      </c>
    </row>
    <row r="125" customFormat="false" ht="15" hidden="false" customHeight="true" outlineLevel="0" collapsed="false">
      <c r="A125" s="6" t="s">
        <v>234</v>
      </c>
      <c r="B125" s="6" t="s">
        <v>5</v>
      </c>
      <c r="C125" s="7"/>
      <c r="D125" s="7" t="n">
        <v>16.2</v>
      </c>
      <c r="E125" s="7" t="n">
        <v>16.2</v>
      </c>
    </row>
    <row r="126" customFormat="false" ht="15" hidden="false" customHeight="true" outlineLevel="0" collapsed="false">
      <c r="A126" s="8" t="s">
        <v>727</v>
      </c>
      <c r="B126" s="8" t="s">
        <v>7</v>
      </c>
      <c r="C126" s="9" t="n">
        <v>2387</v>
      </c>
      <c r="D126" s="9" t="n">
        <v>38</v>
      </c>
      <c r="E126" s="9" t="n">
        <v>16.2</v>
      </c>
    </row>
    <row r="127" customFormat="false" ht="15" hidden="false" customHeight="true" outlineLevel="0" collapsed="false">
      <c r="A127" s="6" t="s">
        <v>727</v>
      </c>
      <c r="B127" s="6" t="s">
        <v>8</v>
      </c>
      <c r="C127" s="7" t="n">
        <v>2405</v>
      </c>
      <c r="D127" s="7" t="n">
        <v>36</v>
      </c>
      <c r="E127" s="7" t="n">
        <v>16.2</v>
      </c>
    </row>
    <row r="128" customFormat="false" ht="15" hidden="false" customHeight="true" outlineLevel="0" collapsed="false">
      <c r="A128" s="8" t="s">
        <v>727</v>
      </c>
      <c r="B128" s="8" t="s">
        <v>9</v>
      </c>
      <c r="C128" s="9" t="n">
        <v>2390</v>
      </c>
      <c r="D128" s="9" t="n">
        <v>24</v>
      </c>
      <c r="E128" s="9" t="n">
        <v>16.2</v>
      </c>
    </row>
    <row r="129" customFormat="false" ht="15" hidden="false" customHeight="true" outlineLevel="0" collapsed="false">
      <c r="A129" s="6" t="s">
        <v>235</v>
      </c>
      <c r="B129" s="6" t="s">
        <v>4</v>
      </c>
      <c r="C129" s="7" t="n">
        <v>2119</v>
      </c>
      <c r="D129" s="7" t="n">
        <v>45</v>
      </c>
      <c r="E129" s="7" t="n">
        <v>16.2</v>
      </c>
    </row>
    <row r="130" customFormat="false" ht="15" hidden="false" customHeight="true" outlineLevel="0" collapsed="false">
      <c r="A130" s="8" t="s">
        <v>235</v>
      </c>
      <c r="B130" s="8" t="s">
        <v>5</v>
      </c>
      <c r="C130" s="9"/>
      <c r="D130" s="9" t="n">
        <v>16.2</v>
      </c>
      <c r="E130" s="9" t="n">
        <v>16.2</v>
      </c>
    </row>
    <row r="131" customFormat="false" ht="15" hidden="false" customHeight="true" outlineLevel="0" collapsed="false">
      <c r="A131" s="6" t="s">
        <v>728</v>
      </c>
      <c r="B131" s="6" t="s">
        <v>7</v>
      </c>
      <c r="C131" s="7" t="n">
        <v>2390</v>
      </c>
      <c r="D131" s="7" t="n">
        <v>37</v>
      </c>
      <c r="E131" s="7" t="n">
        <v>16.2</v>
      </c>
    </row>
    <row r="132" customFormat="false" ht="15" hidden="false" customHeight="true" outlineLevel="0" collapsed="false">
      <c r="A132" s="8" t="s">
        <v>728</v>
      </c>
      <c r="B132" s="8" t="s">
        <v>8</v>
      </c>
      <c r="C132" s="9" t="n">
        <v>2401</v>
      </c>
      <c r="D132" s="9" t="n">
        <v>37</v>
      </c>
      <c r="E132" s="9" t="n">
        <v>16.2</v>
      </c>
    </row>
    <row r="133" customFormat="false" ht="15" hidden="false" customHeight="true" outlineLevel="0" collapsed="false">
      <c r="A133" s="6" t="s">
        <v>728</v>
      </c>
      <c r="B133" s="6" t="s">
        <v>6</v>
      </c>
      <c r="C133" s="7" t="n">
        <v>2080</v>
      </c>
      <c r="D133" s="7" t="n">
        <v>42</v>
      </c>
      <c r="E133" s="7" t="n">
        <v>16.2</v>
      </c>
    </row>
    <row r="134" customFormat="false" ht="15" hidden="false" customHeight="true" outlineLevel="0" collapsed="false">
      <c r="A134" s="8" t="s">
        <v>729</v>
      </c>
      <c r="B134" s="8" t="s">
        <v>9</v>
      </c>
      <c r="C134" s="9" t="n">
        <v>2391</v>
      </c>
      <c r="D134" s="9" t="n">
        <v>24</v>
      </c>
      <c r="E134" s="9" t="n">
        <v>16.2</v>
      </c>
    </row>
    <row r="135" customFormat="false" ht="15" hidden="false" customHeight="true" outlineLevel="0" collapsed="false">
      <c r="A135" s="6" t="s">
        <v>236</v>
      </c>
      <c r="B135" s="6" t="s">
        <v>4</v>
      </c>
      <c r="C135" s="7" t="n">
        <v>2117</v>
      </c>
      <c r="D135" s="7" t="n">
        <v>45</v>
      </c>
      <c r="E135" s="7" t="n">
        <v>16.2</v>
      </c>
    </row>
    <row r="136" customFormat="false" ht="15" hidden="false" customHeight="true" outlineLevel="0" collapsed="false">
      <c r="A136" s="8" t="s">
        <v>236</v>
      </c>
      <c r="B136" s="8" t="s">
        <v>5</v>
      </c>
      <c r="C136" s="9"/>
      <c r="D136" s="9" t="n">
        <v>16.2</v>
      </c>
      <c r="E136" s="9" t="n">
        <v>16.2</v>
      </c>
    </row>
    <row r="137" customFormat="false" ht="15" hidden="false" customHeight="true" outlineLevel="0" collapsed="false">
      <c r="A137" s="6" t="s">
        <v>730</v>
      </c>
      <c r="B137" s="6" t="s">
        <v>6</v>
      </c>
      <c r="C137" s="7" t="n">
        <v>2081</v>
      </c>
      <c r="D137" s="7" t="n">
        <v>42</v>
      </c>
      <c r="E137" s="7" t="n">
        <v>16.2</v>
      </c>
    </row>
    <row r="138" customFormat="false" ht="15" hidden="false" customHeight="true" outlineLevel="0" collapsed="false">
      <c r="A138" s="8" t="s">
        <v>730</v>
      </c>
      <c r="B138" s="8" t="s">
        <v>7</v>
      </c>
      <c r="C138" s="9" t="n">
        <v>2402</v>
      </c>
      <c r="D138" s="9" t="n">
        <v>36</v>
      </c>
      <c r="E138" s="9" t="n">
        <v>16.2</v>
      </c>
    </row>
    <row r="139" customFormat="false" ht="15" hidden="false" customHeight="true" outlineLevel="0" collapsed="false">
      <c r="A139" s="6" t="s">
        <v>730</v>
      </c>
      <c r="B139" s="6" t="s">
        <v>8</v>
      </c>
      <c r="C139" s="7" t="n">
        <v>2411</v>
      </c>
      <c r="D139" s="7" t="n">
        <v>36</v>
      </c>
      <c r="E139" s="7" t="n">
        <v>16.2</v>
      </c>
    </row>
    <row r="140" customFormat="false" ht="15" hidden="false" customHeight="true" outlineLevel="0" collapsed="false">
      <c r="A140" s="8" t="s">
        <v>731</v>
      </c>
      <c r="B140" s="8" t="s">
        <v>9</v>
      </c>
      <c r="C140" s="9" t="n">
        <v>2385</v>
      </c>
      <c r="D140" s="9" t="n">
        <v>25</v>
      </c>
      <c r="E140" s="9" t="n">
        <v>16.2</v>
      </c>
    </row>
    <row r="141" customFormat="false" ht="15" hidden="false" customHeight="true" outlineLevel="0" collapsed="false">
      <c r="A141" s="6" t="s">
        <v>237</v>
      </c>
      <c r="B141" s="6" t="s">
        <v>4</v>
      </c>
      <c r="C141" s="7" t="n">
        <v>2117</v>
      </c>
      <c r="D141" s="7" t="n">
        <v>45</v>
      </c>
      <c r="E141" s="7" t="n">
        <v>16.2</v>
      </c>
    </row>
    <row r="142" customFormat="false" ht="15" hidden="false" customHeight="true" outlineLevel="0" collapsed="false">
      <c r="A142" s="8" t="s">
        <v>237</v>
      </c>
      <c r="B142" s="8" t="s">
        <v>5</v>
      </c>
      <c r="C142" s="9"/>
      <c r="D142" s="9" t="n">
        <v>16.2</v>
      </c>
      <c r="E142" s="9" t="n">
        <v>16.2</v>
      </c>
    </row>
    <row r="143" customFormat="false" ht="15" hidden="false" customHeight="true" outlineLevel="0" collapsed="false">
      <c r="A143" s="6" t="s">
        <v>732</v>
      </c>
      <c r="B143" s="6" t="s">
        <v>8</v>
      </c>
      <c r="C143" s="7" t="n">
        <v>2414</v>
      </c>
      <c r="D143" s="7" t="n">
        <v>35</v>
      </c>
      <c r="E143" s="7" t="n">
        <v>16.2</v>
      </c>
    </row>
    <row r="144" customFormat="false" ht="15" hidden="false" customHeight="true" outlineLevel="0" collapsed="false">
      <c r="A144" s="8" t="s">
        <v>732</v>
      </c>
      <c r="B144" s="8" t="s">
        <v>6</v>
      </c>
      <c r="C144" s="9" t="n">
        <v>2077</v>
      </c>
      <c r="D144" s="9" t="n">
        <v>43</v>
      </c>
      <c r="E144" s="9" t="n">
        <v>16.2</v>
      </c>
    </row>
    <row r="145" customFormat="false" ht="15" hidden="false" customHeight="true" outlineLevel="0" collapsed="false">
      <c r="A145" s="6" t="s">
        <v>732</v>
      </c>
      <c r="B145" s="6" t="s">
        <v>7</v>
      </c>
      <c r="C145" s="7" t="n">
        <v>2399</v>
      </c>
      <c r="D145" s="7" t="n">
        <v>37</v>
      </c>
      <c r="E145" s="7" t="n">
        <v>16.2</v>
      </c>
    </row>
    <row r="146" customFormat="false" ht="15" hidden="false" customHeight="true" outlineLevel="0" collapsed="false">
      <c r="A146" s="8" t="s">
        <v>733</v>
      </c>
      <c r="B146" s="8" t="s">
        <v>9</v>
      </c>
      <c r="C146" s="9" t="n">
        <v>2388</v>
      </c>
      <c r="D146" s="9" t="n">
        <v>24</v>
      </c>
      <c r="E146" s="9" t="n">
        <v>16.2</v>
      </c>
    </row>
    <row r="147" customFormat="false" ht="15" hidden="false" customHeight="true" outlineLevel="0" collapsed="false">
      <c r="A147" s="6" t="s">
        <v>238</v>
      </c>
      <c r="B147" s="6" t="s">
        <v>5</v>
      </c>
      <c r="C147" s="7"/>
      <c r="D147" s="7" t="n">
        <v>16.3</v>
      </c>
      <c r="E147" s="7" t="n">
        <v>16.3</v>
      </c>
    </row>
    <row r="148" customFormat="false" ht="15" hidden="false" customHeight="true" outlineLevel="0" collapsed="false">
      <c r="A148" s="8" t="s">
        <v>734</v>
      </c>
      <c r="B148" s="8" t="s">
        <v>6</v>
      </c>
      <c r="C148" s="9" t="n">
        <v>2032</v>
      </c>
      <c r="D148" s="9" t="n">
        <v>46</v>
      </c>
      <c r="E148" s="9" t="n">
        <v>16.3</v>
      </c>
    </row>
    <row r="149" customFormat="false" ht="15" hidden="false" customHeight="true" outlineLevel="0" collapsed="false">
      <c r="A149" s="6" t="s">
        <v>734</v>
      </c>
      <c r="B149" s="6" t="s">
        <v>7</v>
      </c>
      <c r="C149" s="7" t="n">
        <v>2400</v>
      </c>
      <c r="D149" s="7" t="n">
        <v>36</v>
      </c>
      <c r="E149" s="7" t="n">
        <v>16.3</v>
      </c>
    </row>
    <row r="150" customFormat="false" ht="15" hidden="false" customHeight="true" outlineLevel="0" collapsed="false">
      <c r="A150" s="8" t="s">
        <v>734</v>
      </c>
      <c r="B150" s="8" t="s">
        <v>4</v>
      </c>
      <c r="C150" s="9" t="n">
        <v>2116</v>
      </c>
      <c r="D150" s="9" t="n">
        <v>45</v>
      </c>
      <c r="E150" s="9" t="n">
        <v>16.3</v>
      </c>
    </row>
    <row r="151" customFormat="false" ht="15" hidden="false" customHeight="true" outlineLevel="0" collapsed="false">
      <c r="A151" s="6" t="s">
        <v>735</v>
      </c>
      <c r="B151" s="6" t="s">
        <v>8</v>
      </c>
      <c r="C151" s="7" t="n">
        <v>2415</v>
      </c>
      <c r="D151" s="7" t="n">
        <v>35</v>
      </c>
      <c r="E151" s="7" t="n">
        <v>16.3</v>
      </c>
    </row>
    <row r="152" customFormat="false" ht="15" hidden="false" customHeight="true" outlineLevel="0" collapsed="false">
      <c r="A152" s="8" t="s">
        <v>735</v>
      </c>
      <c r="B152" s="8" t="s">
        <v>9</v>
      </c>
      <c r="C152" s="9" t="n">
        <v>2401</v>
      </c>
      <c r="D152" s="9" t="n">
        <v>22</v>
      </c>
      <c r="E152" s="9" t="n">
        <v>16.3</v>
      </c>
    </row>
    <row r="153" customFormat="false" ht="15" hidden="false" customHeight="true" outlineLevel="0" collapsed="false">
      <c r="A153" s="6" t="s">
        <v>239</v>
      </c>
      <c r="B153" s="6" t="s">
        <v>6</v>
      </c>
      <c r="C153" s="7" t="n">
        <v>2080</v>
      </c>
      <c r="D153" s="7" t="n">
        <v>42</v>
      </c>
      <c r="E153" s="7" t="n">
        <v>16.3</v>
      </c>
    </row>
    <row r="154" customFormat="false" ht="15" hidden="false" customHeight="true" outlineLevel="0" collapsed="false">
      <c r="A154" s="8" t="s">
        <v>239</v>
      </c>
      <c r="B154" s="8" t="s">
        <v>4</v>
      </c>
      <c r="C154" s="9" t="n">
        <v>2125</v>
      </c>
      <c r="D154" s="9" t="n">
        <v>45</v>
      </c>
      <c r="E154" s="9" t="n">
        <v>16.3</v>
      </c>
    </row>
    <row r="155" customFormat="false" ht="15" hidden="false" customHeight="true" outlineLevel="0" collapsed="false">
      <c r="A155" s="6" t="s">
        <v>239</v>
      </c>
      <c r="B155" s="6" t="s">
        <v>5</v>
      </c>
      <c r="C155" s="7"/>
      <c r="D155" s="7" t="n">
        <v>16.3</v>
      </c>
      <c r="E155" s="7" t="n">
        <v>16.3</v>
      </c>
    </row>
    <row r="156" customFormat="false" ht="15" hidden="false" customHeight="true" outlineLevel="0" collapsed="false">
      <c r="A156" s="8" t="s">
        <v>736</v>
      </c>
      <c r="B156" s="8" t="s">
        <v>7</v>
      </c>
      <c r="C156" s="9" t="n">
        <v>2416</v>
      </c>
      <c r="D156" s="9" t="n">
        <v>35</v>
      </c>
      <c r="E156" s="9" t="n">
        <v>16.3</v>
      </c>
    </row>
    <row r="157" customFormat="false" ht="15" hidden="false" customHeight="true" outlineLevel="0" collapsed="false">
      <c r="A157" s="6" t="s">
        <v>736</v>
      </c>
      <c r="B157" s="6" t="s">
        <v>8</v>
      </c>
      <c r="C157" s="7" t="n">
        <v>2402</v>
      </c>
      <c r="D157" s="7" t="n">
        <v>37</v>
      </c>
      <c r="E157" s="7" t="n">
        <v>16.3</v>
      </c>
    </row>
    <row r="158" customFormat="false" ht="15" hidden="false" customHeight="true" outlineLevel="0" collapsed="false">
      <c r="A158" s="8" t="s">
        <v>737</v>
      </c>
      <c r="B158" s="8" t="s">
        <v>9</v>
      </c>
      <c r="C158" s="9" t="n">
        <v>2399</v>
      </c>
      <c r="D158" s="9" t="n">
        <v>23</v>
      </c>
      <c r="E158" s="9" t="n">
        <v>16.3</v>
      </c>
    </row>
    <row r="159" customFormat="false" ht="15" hidden="false" customHeight="true" outlineLevel="0" collapsed="false">
      <c r="A159" s="6" t="s">
        <v>240</v>
      </c>
      <c r="B159" s="6" t="s">
        <v>5</v>
      </c>
      <c r="C159" s="7"/>
      <c r="D159" s="7" t="n">
        <v>16.2</v>
      </c>
      <c r="E159" s="7" t="n">
        <v>16.2</v>
      </c>
    </row>
    <row r="160" customFormat="false" ht="15" hidden="false" customHeight="true" outlineLevel="0" collapsed="false">
      <c r="A160" s="8" t="s">
        <v>240</v>
      </c>
      <c r="B160" s="8" t="s">
        <v>4</v>
      </c>
      <c r="C160" s="9" t="n">
        <v>2102</v>
      </c>
      <c r="D160" s="9" t="n">
        <v>46</v>
      </c>
      <c r="E160" s="9" t="n">
        <v>16.2</v>
      </c>
    </row>
    <row r="161" customFormat="false" ht="15" hidden="false" customHeight="true" outlineLevel="0" collapsed="false">
      <c r="A161" s="6" t="s">
        <v>738</v>
      </c>
      <c r="B161" s="6" t="s">
        <v>6</v>
      </c>
      <c r="C161" s="7" t="n">
        <v>2096</v>
      </c>
      <c r="D161" s="7" t="n">
        <v>41</v>
      </c>
      <c r="E161" s="7" t="n">
        <v>16.2</v>
      </c>
    </row>
    <row r="162" customFormat="false" ht="15" hidden="false" customHeight="true" outlineLevel="0" collapsed="false">
      <c r="A162" s="8" t="s">
        <v>738</v>
      </c>
      <c r="B162" s="8" t="s">
        <v>7</v>
      </c>
      <c r="C162" s="9" t="n">
        <v>2403</v>
      </c>
      <c r="D162" s="9" t="n">
        <v>36</v>
      </c>
      <c r="E162" s="9" t="n">
        <v>16.2</v>
      </c>
    </row>
    <row r="163" customFormat="false" ht="15" hidden="false" customHeight="true" outlineLevel="0" collapsed="false">
      <c r="A163" s="6" t="s">
        <v>739</v>
      </c>
      <c r="B163" s="6" t="s">
        <v>8</v>
      </c>
      <c r="C163" s="7" t="n">
        <v>2417</v>
      </c>
      <c r="D163" s="7" t="n">
        <v>35</v>
      </c>
      <c r="E163" s="7" t="n">
        <v>16.2</v>
      </c>
    </row>
    <row r="164" customFormat="false" ht="15" hidden="false" customHeight="true" outlineLevel="0" collapsed="false">
      <c r="A164" s="8" t="s">
        <v>739</v>
      </c>
      <c r="B164" s="8" t="s">
        <v>9</v>
      </c>
      <c r="C164" s="9" t="n">
        <v>2398</v>
      </c>
      <c r="D164" s="9" t="n">
        <v>23</v>
      </c>
      <c r="E164" s="9" t="n">
        <v>16.2</v>
      </c>
    </row>
    <row r="165" customFormat="false" ht="15" hidden="false" customHeight="true" outlineLevel="0" collapsed="false">
      <c r="A165" s="6" t="s">
        <v>241</v>
      </c>
      <c r="B165" s="6" t="s">
        <v>5</v>
      </c>
      <c r="C165" s="7"/>
      <c r="D165" s="7" t="n">
        <v>16.2</v>
      </c>
      <c r="E165" s="7" t="n">
        <v>16.2</v>
      </c>
    </row>
    <row r="166" customFormat="false" ht="15" hidden="false" customHeight="true" outlineLevel="0" collapsed="false">
      <c r="A166" s="8" t="s">
        <v>740</v>
      </c>
      <c r="B166" s="8" t="s">
        <v>6</v>
      </c>
      <c r="C166" s="9" t="n">
        <v>2076</v>
      </c>
      <c r="D166" s="9" t="n">
        <v>43</v>
      </c>
      <c r="E166" s="9" t="n">
        <v>16.2</v>
      </c>
    </row>
    <row r="167" customFormat="false" ht="15" hidden="false" customHeight="true" outlineLevel="0" collapsed="false">
      <c r="A167" s="6" t="s">
        <v>740</v>
      </c>
      <c r="B167" s="6" t="s">
        <v>7</v>
      </c>
      <c r="C167" s="7" t="n">
        <v>2411</v>
      </c>
      <c r="D167" s="7" t="n">
        <v>35</v>
      </c>
      <c r="E167" s="7" t="n">
        <v>16.2</v>
      </c>
    </row>
    <row r="168" customFormat="false" ht="15" hidden="false" customHeight="true" outlineLevel="0" collapsed="false">
      <c r="A168" s="8" t="s">
        <v>740</v>
      </c>
      <c r="B168" s="8" t="s">
        <v>4</v>
      </c>
      <c r="C168" s="9" t="n">
        <v>2127</v>
      </c>
      <c r="D168" s="9" t="n">
        <v>45</v>
      </c>
      <c r="E168" s="9" t="n">
        <v>16.2</v>
      </c>
    </row>
    <row r="169" customFormat="false" ht="15" hidden="false" customHeight="true" outlineLevel="0" collapsed="false">
      <c r="A169" s="6" t="s">
        <v>741</v>
      </c>
      <c r="B169" s="6" t="s">
        <v>8</v>
      </c>
      <c r="C169" s="7" t="n">
        <v>2419</v>
      </c>
      <c r="D169" s="7" t="n">
        <v>35</v>
      </c>
      <c r="E169" s="7" t="n">
        <v>16.2</v>
      </c>
    </row>
    <row r="170" customFormat="false" ht="15" hidden="false" customHeight="true" outlineLevel="0" collapsed="false">
      <c r="A170" s="8" t="s">
        <v>741</v>
      </c>
      <c r="B170" s="8" t="s">
        <v>9</v>
      </c>
      <c r="C170" s="9" t="n">
        <v>2400</v>
      </c>
      <c r="D170" s="9" t="n">
        <v>22</v>
      </c>
      <c r="E170" s="9" t="n">
        <v>16.2</v>
      </c>
    </row>
    <row r="171" customFormat="false" ht="15" hidden="false" customHeight="true" outlineLevel="0" collapsed="false">
      <c r="A171" s="6" t="s">
        <v>242</v>
      </c>
      <c r="B171" s="6" t="s">
        <v>5</v>
      </c>
      <c r="C171" s="7"/>
      <c r="D171" s="7" t="n">
        <v>16.2</v>
      </c>
      <c r="E171" s="7" t="n">
        <v>16.2</v>
      </c>
    </row>
    <row r="172" customFormat="false" ht="15" hidden="false" customHeight="true" outlineLevel="0" collapsed="false">
      <c r="A172" s="8" t="s">
        <v>242</v>
      </c>
      <c r="B172" s="8" t="s">
        <v>4</v>
      </c>
      <c r="C172" s="9" t="n">
        <v>2125</v>
      </c>
      <c r="D172" s="9" t="n">
        <v>45</v>
      </c>
      <c r="E172" s="9" t="n">
        <v>16.2</v>
      </c>
    </row>
    <row r="173" customFormat="false" ht="15" hidden="false" customHeight="true" outlineLevel="0" collapsed="false">
      <c r="A173" s="6" t="s">
        <v>742</v>
      </c>
      <c r="B173" s="6" t="s">
        <v>6</v>
      </c>
      <c r="C173" s="7" t="n">
        <v>2083</v>
      </c>
      <c r="D173" s="7" t="n">
        <v>42</v>
      </c>
      <c r="E173" s="7" t="n">
        <v>16.2</v>
      </c>
    </row>
    <row r="174" customFormat="false" ht="15" hidden="false" customHeight="true" outlineLevel="0" collapsed="false">
      <c r="A174" s="8" t="s">
        <v>742</v>
      </c>
      <c r="B174" s="8" t="s">
        <v>7</v>
      </c>
      <c r="C174" s="9" t="n">
        <v>2411</v>
      </c>
      <c r="D174" s="9" t="n">
        <v>35</v>
      </c>
      <c r="E174" s="9" t="n">
        <v>16.2</v>
      </c>
    </row>
    <row r="175" customFormat="false" ht="15" hidden="false" customHeight="true" outlineLevel="0" collapsed="false">
      <c r="A175" s="6" t="s">
        <v>743</v>
      </c>
      <c r="B175" s="6" t="s">
        <v>8</v>
      </c>
      <c r="C175" s="7" t="n">
        <v>2420</v>
      </c>
      <c r="D175" s="7" t="n">
        <v>35</v>
      </c>
      <c r="E175" s="7" t="n">
        <v>16.2</v>
      </c>
    </row>
    <row r="176" customFormat="false" ht="15" hidden="false" customHeight="true" outlineLevel="0" collapsed="false">
      <c r="A176" s="8" t="s">
        <v>743</v>
      </c>
      <c r="B176" s="8" t="s">
        <v>9</v>
      </c>
      <c r="C176" s="9" t="n">
        <v>2401</v>
      </c>
      <c r="D176" s="9" t="n">
        <v>22</v>
      </c>
      <c r="E176" s="9" t="n">
        <v>16.2</v>
      </c>
    </row>
    <row r="177" customFormat="false" ht="15" hidden="false" customHeight="true" outlineLevel="0" collapsed="false">
      <c r="A177" s="6" t="s">
        <v>243</v>
      </c>
      <c r="B177" s="6" t="s">
        <v>6</v>
      </c>
      <c r="C177" s="7" t="n">
        <v>2043</v>
      </c>
      <c r="D177" s="7" t="n">
        <v>45</v>
      </c>
      <c r="E177" s="7" t="n">
        <v>16.2</v>
      </c>
    </row>
    <row r="178" customFormat="false" ht="15" hidden="false" customHeight="true" outlineLevel="0" collapsed="false">
      <c r="A178" s="8" t="s">
        <v>243</v>
      </c>
      <c r="B178" s="8" t="s">
        <v>4</v>
      </c>
      <c r="C178" s="9" t="n">
        <v>2118</v>
      </c>
      <c r="D178" s="9" t="n">
        <v>45</v>
      </c>
      <c r="E178" s="9" t="n">
        <v>16.2</v>
      </c>
    </row>
    <row r="179" customFormat="false" ht="15" hidden="false" customHeight="true" outlineLevel="0" collapsed="false">
      <c r="A179" s="6" t="s">
        <v>243</v>
      </c>
      <c r="B179" s="6" t="s">
        <v>5</v>
      </c>
      <c r="C179" s="7"/>
      <c r="D179" s="7" t="n">
        <v>16.2</v>
      </c>
      <c r="E179" s="7" t="n">
        <v>16.2</v>
      </c>
    </row>
    <row r="180" customFormat="false" ht="15" hidden="false" customHeight="true" outlineLevel="0" collapsed="false">
      <c r="A180" s="8" t="s">
        <v>744</v>
      </c>
      <c r="B180" s="8" t="s">
        <v>9</v>
      </c>
      <c r="C180" s="9" t="n">
        <v>2402</v>
      </c>
      <c r="D180" s="9" t="n">
        <v>22</v>
      </c>
      <c r="E180" s="9" t="n">
        <v>16.2</v>
      </c>
    </row>
    <row r="181" customFormat="false" ht="15" hidden="false" customHeight="true" outlineLevel="0" collapsed="false">
      <c r="A181" s="6" t="s">
        <v>744</v>
      </c>
      <c r="B181" s="6" t="s">
        <v>7</v>
      </c>
      <c r="C181" s="7" t="n">
        <v>2413</v>
      </c>
      <c r="D181" s="7" t="n">
        <v>35</v>
      </c>
      <c r="E181" s="7" t="n">
        <v>16.2</v>
      </c>
    </row>
    <row r="182" customFormat="false" ht="15" hidden="false" customHeight="true" outlineLevel="0" collapsed="false">
      <c r="A182" s="8" t="s">
        <v>744</v>
      </c>
      <c r="B182" s="8" t="s">
        <v>8</v>
      </c>
      <c r="C182" s="9" t="n">
        <v>2416</v>
      </c>
      <c r="D182" s="9" t="n">
        <v>35</v>
      </c>
      <c r="E182" s="9" t="n">
        <v>16.2</v>
      </c>
    </row>
    <row r="183" customFormat="false" ht="15" hidden="false" customHeight="true" outlineLevel="0" collapsed="false">
      <c r="A183" s="6" t="s">
        <v>244</v>
      </c>
      <c r="B183" s="6" t="s">
        <v>4</v>
      </c>
      <c r="C183" s="7" t="n">
        <v>2101</v>
      </c>
      <c r="D183" s="7" t="n">
        <v>46</v>
      </c>
      <c r="E183" s="7" t="n">
        <v>16.2</v>
      </c>
    </row>
    <row r="184" customFormat="false" ht="15" hidden="false" customHeight="true" outlineLevel="0" collapsed="false">
      <c r="A184" s="8" t="s">
        <v>244</v>
      </c>
      <c r="B184" s="8" t="s">
        <v>5</v>
      </c>
      <c r="C184" s="9"/>
      <c r="D184" s="9" t="n">
        <v>16.2</v>
      </c>
      <c r="E184" s="9" t="n">
        <v>16.2</v>
      </c>
    </row>
    <row r="185" customFormat="false" ht="15" hidden="false" customHeight="true" outlineLevel="0" collapsed="false">
      <c r="A185" s="6" t="s">
        <v>244</v>
      </c>
      <c r="B185" s="6" t="s">
        <v>6</v>
      </c>
      <c r="C185" s="7" t="n">
        <v>2080</v>
      </c>
      <c r="D185" s="7" t="n">
        <v>42</v>
      </c>
      <c r="E185" s="7" t="n">
        <v>16.2</v>
      </c>
    </row>
    <row r="186" customFormat="false" ht="15" hidden="false" customHeight="true" outlineLevel="0" collapsed="false">
      <c r="A186" s="8" t="s">
        <v>745</v>
      </c>
      <c r="B186" s="8" t="s">
        <v>7</v>
      </c>
      <c r="C186" s="9" t="n">
        <v>2416</v>
      </c>
      <c r="D186" s="9" t="n">
        <v>35</v>
      </c>
      <c r="E186" s="9" t="n">
        <v>16.2</v>
      </c>
    </row>
    <row r="187" customFormat="false" ht="15" hidden="false" customHeight="true" outlineLevel="0" collapsed="false">
      <c r="A187" s="6" t="s">
        <v>745</v>
      </c>
      <c r="B187" s="6" t="s">
        <v>8</v>
      </c>
      <c r="C187" s="7" t="n">
        <v>2423</v>
      </c>
      <c r="D187" s="7" t="n">
        <v>34</v>
      </c>
      <c r="E187" s="7" t="n">
        <v>16.2</v>
      </c>
    </row>
    <row r="188" customFormat="false" ht="15" hidden="false" customHeight="true" outlineLevel="0" collapsed="false">
      <c r="A188" s="8" t="s">
        <v>745</v>
      </c>
      <c r="B188" s="8" t="s">
        <v>9</v>
      </c>
      <c r="C188" s="9" t="n">
        <v>2402</v>
      </c>
      <c r="D188" s="9" t="n">
        <v>22</v>
      </c>
      <c r="E188" s="9" t="n">
        <v>16.2</v>
      </c>
    </row>
    <row r="189" customFormat="false" ht="15" hidden="false" customHeight="true" outlineLevel="0" collapsed="false">
      <c r="A189" s="6" t="s">
        <v>245</v>
      </c>
      <c r="B189" s="6" t="s">
        <v>6</v>
      </c>
      <c r="C189" s="7" t="n">
        <v>2081</v>
      </c>
      <c r="D189" s="7" t="n">
        <v>42</v>
      </c>
      <c r="E189" s="7" t="n">
        <v>16.2</v>
      </c>
    </row>
    <row r="190" customFormat="false" ht="15" hidden="false" customHeight="true" outlineLevel="0" collapsed="false">
      <c r="A190" s="8" t="s">
        <v>245</v>
      </c>
      <c r="B190" s="8" t="s">
        <v>7</v>
      </c>
      <c r="C190" s="9" t="n">
        <v>2416</v>
      </c>
      <c r="D190" s="9" t="n">
        <v>35</v>
      </c>
      <c r="E190" s="9" t="n">
        <v>16.2</v>
      </c>
    </row>
    <row r="191" customFormat="false" ht="15" hidden="false" customHeight="true" outlineLevel="0" collapsed="false">
      <c r="A191" s="6" t="s">
        <v>245</v>
      </c>
      <c r="B191" s="6" t="s">
        <v>4</v>
      </c>
      <c r="C191" s="7" t="n">
        <v>2125</v>
      </c>
      <c r="D191" s="7" t="n">
        <v>45</v>
      </c>
      <c r="E191" s="7" t="n">
        <v>16.2</v>
      </c>
    </row>
    <row r="192" customFormat="false" ht="15" hidden="false" customHeight="true" outlineLevel="0" collapsed="false">
      <c r="A192" s="8" t="s">
        <v>245</v>
      </c>
      <c r="B192" s="8" t="s">
        <v>5</v>
      </c>
      <c r="C192" s="9"/>
      <c r="D192" s="9" t="n">
        <v>16.2</v>
      </c>
      <c r="E192" s="9" t="n">
        <v>16.2</v>
      </c>
    </row>
    <row r="193" customFormat="false" ht="15" hidden="false" customHeight="true" outlineLevel="0" collapsed="false">
      <c r="A193" s="6" t="s">
        <v>746</v>
      </c>
      <c r="B193" s="6" t="s">
        <v>8</v>
      </c>
      <c r="C193" s="7" t="n">
        <v>2426</v>
      </c>
      <c r="D193" s="7" t="n">
        <v>34</v>
      </c>
      <c r="E193" s="7" t="n">
        <v>16.2</v>
      </c>
    </row>
    <row r="194" customFormat="false" ht="15" hidden="false" customHeight="true" outlineLevel="0" collapsed="false">
      <c r="A194" s="8" t="s">
        <v>746</v>
      </c>
      <c r="B194" s="8" t="s">
        <v>9</v>
      </c>
      <c r="C194" s="9" t="n">
        <v>2405</v>
      </c>
      <c r="D194" s="9" t="n">
        <v>22</v>
      </c>
      <c r="E194" s="9" t="n">
        <v>16.2</v>
      </c>
    </row>
    <row r="195" customFormat="false" ht="15" hidden="false" customHeight="true" outlineLevel="0" collapsed="false">
      <c r="A195" s="6" t="s">
        <v>246</v>
      </c>
      <c r="B195" s="6" t="s">
        <v>5</v>
      </c>
      <c r="C195" s="7"/>
      <c r="D195" s="7" t="n">
        <v>16.2</v>
      </c>
      <c r="E195" s="7" t="n">
        <v>16.2</v>
      </c>
    </row>
    <row r="196" customFormat="false" ht="15" hidden="false" customHeight="true" outlineLevel="0" collapsed="false">
      <c r="A196" s="8" t="s">
        <v>246</v>
      </c>
      <c r="B196" s="8" t="s">
        <v>4</v>
      </c>
      <c r="C196" s="9" t="n">
        <v>2116</v>
      </c>
      <c r="D196" s="9" t="n">
        <v>45</v>
      </c>
      <c r="E196" s="9" t="n">
        <v>16.2</v>
      </c>
    </row>
    <row r="197" customFormat="false" ht="15" hidden="false" customHeight="true" outlineLevel="0" collapsed="false">
      <c r="A197" s="6" t="s">
        <v>747</v>
      </c>
      <c r="B197" s="6" t="s">
        <v>9</v>
      </c>
      <c r="C197" s="7" t="n">
        <v>2406</v>
      </c>
      <c r="D197" s="7" t="n">
        <v>21</v>
      </c>
      <c r="E197" s="7" t="n">
        <v>16.2</v>
      </c>
    </row>
    <row r="198" customFormat="false" ht="15" hidden="false" customHeight="true" outlineLevel="0" collapsed="false">
      <c r="A198" s="8" t="s">
        <v>747</v>
      </c>
      <c r="B198" s="8" t="s">
        <v>8</v>
      </c>
      <c r="C198" s="9" t="n">
        <v>2427</v>
      </c>
      <c r="D198" s="9" t="n">
        <v>34</v>
      </c>
      <c r="E198" s="9" t="n">
        <v>16.2</v>
      </c>
    </row>
    <row r="199" customFormat="false" ht="15" hidden="false" customHeight="true" outlineLevel="0" collapsed="false">
      <c r="A199" s="6" t="s">
        <v>747</v>
      </c>
      <c r="B199" s="6" t="s">
        <v>6</v>
      </c>
      <c r="C199" s="7" t="n">
        <v>2067</v>
      </c>
      <c r="D199" s="7" t="n">
        <v>43</v>
      </c>
      <c r="E199" s="7" t="n">
        <v>16.2</v>
      </c>
    </row>
    <row r="200" customFormat="false" ht="15" hidden="false" customHeight="true" outlineLevel="0" collapsed="false">
      <c r="A200" s="8" t="s">
        <v>747</v>
      </c>
      <c r="B200" s="8" t="s">
        <v>7</v>
      </c>
      <c r="C200" s="9" t="n">
        <v>2416</v>
      </c>
      <c r="D200" s="9" t="n">
        <v>35</v>
      </c>
      <c r="E200" s="9" t="n">
        <v>16.2</v>
      </c>
    </row>
    <row r="201" customFormat="false" ht="15" hidden="false" customHeight="true" outlineLevel="0" collapsed="false">
      <c r="A201" s="6" t="s">
        <v>247</v>
      </c>
      <c r="B201" s="6" t="s">
        <v>5</v>
      </c>
      <c r="C201" s="7"/>
      <c r="D201" s="7" t="n">
        <v>16.2</v>
      </c>
      <c r="E201" s="7" t="n">
        <v>16.2</v>
      </c>
    </row>
    <row r="202" customFormat="false" ht="15" hidden="false" customHeight="true" outlineLevel="0" collapsed="false">
      <c r="A202" s="8" t="s">
        <v>748</v>
      </c>
      <c r="B202" s="8" t="s">
        <v>4</v>
      </c>
      <c r="C202" s="9" t="n">
        <v>2096</v>
      </c>
      <c r="D202" s="9" t="n">
        <v>47</v>
      </c>
      <c r="E202" s="9" t="n">
        <v>16.2</v>
      </c>
    </row>
    <row r="203" customFormat="false" ht="15" hidden="false" customHeight="true" outlineLevel="0" collapsed="false">
      <c r="A203" s="6" t="s">
        <v>749</v>
      </c>
      <c r="B203" s="6" t="s">
        <v>6</v>
      </c>
      <c r="C203" s="7" t="n">
        <v>2064</v>
      </c>
      <c r="D203" s="7" t="n">
        <v>43</v>
      </c>
      <c r="E203" s="7" t="n">
        <v>16.2</v>
      </c>
    </row>
    <row r="204" customFormat="false" ht="15" hidden="false" customHeight="true" outlineLevel="0" collapsed="false">
      <c r="A204" s="8" t="s">
        <v>749</v>
      </c>
      <c r="B204" s="8" t="s">
        <v>7</v>
      </c>
      <c r="C204" s="9" t="n">
        <v>2416</v>
      </c>
      <c r="D204" s="9" t="n">
        <v>35</v>
      </c>
      <c r="E204" s="9" t="n">
        <v>16.2</v>
      </c>
    </row>
    <row r="205" customFormat="false" ht="15" hidden="false" customHeight="true" outlineLevel="0" collapsed="false">
      <c r="A205" s="6" t="s">
        <v>749</v>
      </c>
      <c r="B205" s="6" t="s">
        <v>8</v>
      </c>
      <c r="C205" s="7" t="n">
        <v>2430</v>
      </c>
      <c r="D205" s="7" t="n">
        <v>33</v>
      </c>
      <c r="E205" s="7" t="n">
        <v>16.2</v>
      </c>
    </row>
    <row r="206" customFormat="false" ht="15" hidden="false" customHeight="true" outlineLevel="0" collapsed="false">
      <c r="A206" s="8" t="s">
        <v>749</v>
      </c>
      <c r="B206" s="8" t="s">
        <v>9</v>
      </c>
      <c r="C206" s="9" t="n">
        <v>2413</v>
      </c>
      <c r="D206" s="9" t="n">
        <v>20</v>
      </c>
      <c r="E206" s="9" t="n">
        <v>16.2</v>
      </c>
    </row>
    <row r="207" customFormat="false" ht="15" hidden="false" customHeight="true" outlineLevel="0" collapsed="false">
      <c r="A207" s="6" t="s">
        <v>248</v>
      </c>
      <c r="B207" s="6" t="s">
        <v>4</v>
      </c>
      <c r="C207" s="7" t="n">
        <v>2124</v>
      </c>
      <c r="D207" s="7" t="n">
        <v>45</v>
      </c>
      <c r="E207" s="7" t="n">
        <v>16.2</v>
      </c>
    </row>
    <row r="208" customFormat="false" ht="15" hidden="false" customHeight="true" outlineLevel="0" collapsed="false">
      <c r="A208" s="8" t="s">
        <v>248</v>
      </c>
      <c r="B208" s="8" t="s">
        <v>5</v>
      </c>
      <c r="C208" s="9"/>
      <c r="D208" s="9" t="n">
        <v>16.2</v>
      </c>
      <c r="E208" s="9" t="n">
        <v>16.2</v>
      </c>
    </row>
    <row r="209" customFormat="false" ht="15" hidden="false" customHeight="true" outlineLevel="0" collapsed="false">
      <c r="A209" s="6" t="s">
        <v>750</v>
      </c>
      <c r="B209" s="6" t="s">
        <v>9</v>
      </c>
      <c r="C209" s="7" t="n">
        <v>2410</v>
      </c>
      <c r="D209" s="7" t="n">
        <v>21</v>
      </c>
      <c r="E209" s="7" t="n">
        <v>16.2</v>
      </c>
    </row>
    <row r="210" customFormat="false" ht="15" hidden="false" customHeight="true" outlineLevel="0" collapsed="false">
      <c r="A210" s="8" t="s">
        <v>750</v>
      </c>
      <c r="B210" s="8" t="s">
        <v>8</v>
      </c>
      <c r="C210" s="9" t="n">
        <v>2432</v>
      </c>
      <c r="D210" s="9" t="n">
        <v>33</v>
      </c>
      <c r="E210" s="9" t="n">
        <v>16.2</v>
      </c>
    </row>
    <row r="211" customFormat="false" ht="15" hidden="false" customHeight="true" outlineLevel="0" collapsed="false">
      <c r="A211" s="6" t="s">
        <v>750</v>
      </c>
      <c r="B211" s="6" t="s">
        <v>7</v>
      </c>
      <c r="C211" s="7" t="n">
        <v>2419</v>
      </c>
      <c r="D211" s="7" t="n">
        <v>35</v>
      </c>
      <c r="E211" s="7" t="n">
        <v>16.2</v>
      </c>
    </row>
    <row r="212" customFormat="false" ht="15" hidden="false" customHeight="true" outlineLevel="0" collapsed="false">
      <c r="A212" s="8" t="s">
        <v>750</v>
      </c>
      <c r="B212" s="8" t="s">
        <v>6</v>
      </c>
      <c r="C212" s="9" t="n">
        <v>2078</v>
      </c>
      <c r="D212" s="9" t="n">
        <v>43</v>
      </c>
      <c r="E212" s="9" t="n">
        <v>16.2</v>
      </c>
    </row>
    <row r="213" customFormat="false" ht="15" hidden="false" customHeight="true" outlineLevel="0" collapsed="false">
      <c r="A213" s="6" t="s">
        <v>249</v>
      </c>
      <c r="B213" s="6" t="s">
        <v>5</v>
      </c>
      <c r="C213" s="7"/>
      <c r="D213" s="7" t="n">
        <v>16.2</v>
      </c>
      <c r="E213" s="7" t="n">
        <v>16.2</v>
      </c>
    </row>
    <row r="214" customFormat="false" ht="15" hidden="false" customHeight="true" outlineLevel="0" collapsed="false">
      <c r="A214" s="8" t="s">
        <v>751</v>
      </c>
      <c r="B214" s="8" t="s">
        <v>6</v>
      </c>
      <c r="C214" s="9" t="n">
        <v>2075</v>
      </c>
      <c r="D214" s="9" t="n">
        <v>43</v>
      </c>
      <c r="E214" s="9" t="n">
        <v>16.2</v>
      </c>
    </row>
    <row r="215" customFormat="false" ht="15" hidden="false" customHeight="true" outlineLevel="0" collapsed="false">
      <c r="A215" s="6" t="s">
        <v>751</v>
      </c>
      <c r="B215" s="6" t="s">
        <v>7</v>
      </c>
      <c r="C215" s="7" t="n">
        <v>2418</v>
      </c>
      <c r="D215" s="7" t="n">
        <v>35</v>
      </c>
      <c r="E215" s="7" t="n">
        <v>16.2</v>
      </c>
    </row>
    <row r="216" customFormat="false" ht="15" hidden="false" customHeight="true" outlineLevel="0" collapsed="false">
      <c r="A216" s="8" t="s">
        <v>751</v>
      </c>
      <c r="B216" s="8" t="s">
        <v>4</v>
      </c>
      <c r="C216" s="9" t="n">
        <v>2123</v>
      </c>
      <c r="D216" s="9" t="n">
        <v>45</v>
      </c>
      <c r="E216" s="9" t="n">
        <v>16.2</v>
      </c>
    </row>
    <row r="217" customFormat="false" ht="15" hidden="false" customHeight="true" outlineLevel="0" collapsed="false">
      <c r="A217" s="6" t="s">
        <v>752</v>
      </c>
      <c r="B217" s="6" t="s">
        <v>8</v>
      </c>
      <c r="C217" s="7" t="n">
        <v>2432</v>
      </c>
      <c r="D217" s="7" t="n">
        <v>33</v>
      </c>
      <c r="E217" s="7" t="n">
        <v>16.2</v>
      </c>
    </row>
    <row r="218" customFormat="false" ht="15" hidden="false" customHeight="true" outlineLevel="0" collapsed="false">
      <c r="A218" s="8" t="s">
        <v>752</v>
      </c>
      <c r="B218" s="8" t="s">
        <v>9</v>
      </c>
      <c r="C218" s="9" t="n">
        <v>2412</v>
      </c>
      <c r="D218" s="9" t="n">
        <v>20</v>
      </c>
      <c r="E218" s="9" t="n">
        <v>16.2</v>
      </c>
    </row>
    <row r="219" customFormat="false" ht="15" hidden="false" customHeight="true" outlineLevel="0" collapsed="false">
      <c r="A219" s="6" t="s">
        <v>250</v>
      </c>
      <c r="B219" s="6" t="s">
        <v>6</v>
      </c>
      <c r="C219" s="7" t="n">
        <v>2074</v>
      </c>
      <c r="D219" s="7" t="n">
        <v>43</v>
      </c>
      <c r="E219" s="7" t="n">
        <v>16.2</v>
      </c>
    </row>
    <row r="220" customFormat="false" ht="15" hidden="false" customHeight="true" outlineLevel="0" collapsed="false">
      <c r="A220" s="8" t="s">
        <v>250</v>
      </c>
      <c r="B220" s="8" t="s">
        <v>4</v>
      </c>
      <c r="C220" s="9" t="n">
        <v>2118</v>
      </c>
      <c r="D220" s="9" t="n">
        <v>45</v>
      </c>
      <c r="E220" s="9" t="n">
        <v>16.2</v>
      </c>
    </row>
    <row r="221" customFormat="false" ht="15" hidden="false" customHeight="true" outlineLevel="0" collapsed="false">
      <c r="A221" s="6" t="s">
        <v>250</v>
      </c>
      <c r="B221" s="6" t="s">
        <v>5</v>
      </c>
      <c r="C221" s="7"/>
      <c r="D221" s="7" t="n">
        <v>16.2</v>
      </c>
      <c r="E221" s="7" t="n">
        <v>16.2</v>
      </c>
    </row>
    <row r="222" customFormat="false" ht="15" hidden="false" customHeight="true" outlineLevel="0" collapsed="false">
      <c r="A222" s="8" t="s">
        <v>753</v>
      </c>
      <c r="B222" s="8" t="s">
        <v>8</v>
      </c>
      <c r="C222" s="9" t="n">
        <v>2432</v>
      </c>
      <c r="D222" s="9" t="n">
        <v>33</v>
      </c>
      <c r="E222" s="9" t="n">
        <v>16.2</v>
      </c>
    </row>
    <row r="223" customFormat="false" ht="15" hidden="false" customHeight="true" outlineLevel="0" collapsed="false">
      <c r="A223" s="6" t="s">
        <v>753</v>
      </c>
      <c r="B223" s="6" t="s">
        <v>9</v>
      </c>
      <c r="C223" s="7" t="n">
        <v>2413</v>
      </c>
      <c r="D223" s="7" t="n">
        <v>20</v>
      </c>
      <c r="E223" s="7" t="n">
        <v>16.2</v>
      </c>
    </row>
    <row r="224" customFormat="false" ht="15" hidden="false" customHeight="true" outlineLevel="0" collapsed="false">
      <c r="A224" s="8" t="s">
        <v>753</v>
      </c>
      <c r="B224" s="8" t="s">
        <v>7</v>
      </c>
      <c r="C224" s="9" t="n">
        <v>2422</v>
      </c>
      <c r="D224" s="9" t="n">
        <v>34</v>
      </c>
      <c r="E224" s="9" t="n">
        <v>16.2</v>
      </c>
    </row>
    <row r="225" customFormat="false" ht="15" hidden="false" customHeight="true" outlineLevel="0" collapsed="false">
      <c r="A225" s="6" t="s">
        <v>251</v>
      </c>
      <c r="B225" s="6" t="s">
        <v>6</v>
      </c>
      <c r="C225" s="7" t="n">
        <v>2077</v>
      </c>
      <c r="D225" s="7" t="n">
        <v>43</v>
      </c>
      <c r="E225" s="7" t="n">
        <v>16.2</v>
      </c>
    </row>
    <row r="226" customFormat="false" ht="15" hidden="false" customHeight="true" outlineLevel="0" collapsed="false">
      <c r="A226" s="8" t="s">
        <v>251</v>
      </c>
      <c r="B226" s="8" t="s">
        <v>4</v>
      </c>
      <c r="C226" s="9" t="n">
        <v>2116</v>
      </c>
      <c r="D226" s="9" t="n">
        <v>45</v>
      </c>
      <c r="E226" s="9" t="n">
        <v>16.2</v>
      </c>
    </row>
    <row r="227" customFormat="false" ht="15" hidden="false" customHeight="true" outlineLevel="0" collapsed="false">
      <c r="A227" s="6" t="s">
        <v>251</v>
      </c>
      <c r="B227" s="6" t="s">
        <v>5</v>
      </c>
      <c r="C227" s="7"/>
      <c r="D227" s="7" t="n">
        <v>16.2</v>
      </c>
      <c r="E227" s="7" t="n">
        <v>16.2</v>
      </c>
    </row>
    <row r="228" customFormat="false" ht="15" hidden="false" customHeight="true" outlineLevel="0" collapsed="false">
      <c r="A228" s="8" t="s">
        <v>754</v>
      </c>
      <c r="B228" s="8" t="s">
        <v>7</v>
      </c>
      <c r="C228" s="9" t="n">
        <v>2426</v>
      </c>
      <c r="D228" s="9" t="n">
        <v>34</v>
      </c>
      <c r="E228" s="9" t="n">
        <v>16.2</v>
      </c>
    </row>
    <row r="229" customFormat="false" ht="15" hidden="false" customHeight="true" outlineLevel="0" collapsed="false">
      <c r="A229" s="6" t="s">
        <v>754</v>
      </c>
      <c r="B229" s="6" t="s">
        <v>8</v>
      </c>
      <c r="C229" s="7" t="n">
        <v>2437</v>
      </c>
      <c r="D229" s="7" t="n">
        <v>32</v>
      </c>
      <c r="E229" s="7" t="n">
        <v>16.2</v>
      </c>
    </row>
    <row r="230" customFormat="false" ht="15" hidden="false" customHeight="true" outlineLevel="0" collapsed="false">
      <c r="A230" s="8" t="s">
        <v>754</v>
      </c>
      <c r="B230" s="8" t="s">
        <v>9</v>
      </c>
      <c r="C230" s="9" t="n">
        <v>2416</v>
      </c>
      <c r="D230" s="9" t="n">
        <v>20</v>
      </c>
      <c r="E230" s="9" t="n">
        <v>16.2</v>
      </c>
    </row>
    <row r="231" customFormat="false" ht="15" hidden="false" customHeight="true" outlineLevel="0" collapsed="false">
      <c r="A231" s="6" t="s">
        <v>252</v>
      </c>
      <c r="B231" s="6" t="s">
        <v>6</v>
      </c>
      <c r="C231" s="7" t="n">
        <v>2033</v>
      </c>
      <c r="D231" s="7" t="n">
        <v>45</v>
      </c>
      <c r="E231" s="7" t="n">
        <v>16.2</v>
      </c>
    </row>
    <row r="232" customFormat="false" ht="15" hidden="false" customHeight="true" outlineLevel="0" collapsed="false">
      <c r="A232" s="8" t="s">
        <v>252</v>
      </c>
      <c r="B232" s="8" t="s">
        <v>4</v>
      </c>
      <c r="C232" s="9" t="n">
        <v>2122</v>
      </c>
      <c r="D232" s="9" t="n">
        <v>45</v>
      </c>
      <c r="E232" s="9" t="n">
        <v>16.2</v>
      </c>
    </row>
    <row r="233" customFormat="false" ht="15" hidden="false" customHeight="true" outlineLevel="0" collapsed="false">
      <c r="A233" s="6" t="s">
        <v>252</v>
      </c>
      <c r="B233" s="6" t="s">
        <v>5</v>
      </c>
      <c r="C233" s="7"/>
      <c r="D233" s="7" t="n">
        <v>16.2</v>
      </c>
      <c r="E233" s="7" t="n">
        <v>16.2</v>
      </c>
    </row>
    <row r="234" customFormat="false" ht="15" hidden="false" customHeight="true" outlineLevel="0" collapsed="false">
      <c r="A234" s="8" t="s">
        <v>755</v>
      </c>
      <c r="B234" s="8" t="s">
        <v>7</v>
      </c>
      <c r="C234" s="9" t="n">
        <v>2435</v>
      </c>
      <c r="D234" s="9" t="n">
        <v>33</v>
      </c>
      <c r="E234" s="9" t="n">
        <v>16.2</v>
      </c>
    </row>
    <row r="235" customFormat="false" ht="15" hidden="false" customHeight="true" outlineLevel="0" collapsed="false">
      <c r="A235" s="6" t="s">
        <v>755</v>
      </c>
      <c r="B235" s="6" t="s">
        <v>8</v>
      </c>
      <c r="C235" s="7" t="n">
        <v>2435</v>
      </c>
      <c r="D235" s="7" t="n">
        <v>33</v>
      </c>
      <c r="E235" s="7" t="n">
        <v>16.2</v>
      </c>
    </row>
    <row r="236" customFormat="false" ht="15" hidden="false" customHeight="true" outlineLevel="0" collapsed="false">
      <c r="A236" s="8" t="s">
        <v>756</v>
      </c>
      <c r="B236" s="8" t="s">
        <v>9</v>
      </c>
      <c r="C236" s="9" t="n">
        <v>2416</v>
      </c>
      <c r="D236" s="9" t="n">
        <v>20</v>
      </c>
      <c r="E236" s="9" t="n">
        <v>16.2</v>
      </c>
    </row>
    <row r="237" customFormat="false" ht="15" hidden="false" customHeight="true" outlineLevel="0" collapsed="false">
      <c r="A237" s="6" t="s">
        <v>253</v>
      </c>
      <c r="B237" s="6" t="s">
        <v>5</v>
      </c>
      <c r="C237" s="7"/>
      <c r="D237" s="7" t="n">
        <v>16.2</v>
      </c>
      <c r="E237" s="7" t="n">
        <v>16.2</v>
      </c>
    </row>
    <row r="238" customFormat="false" ht="15" hidden="false" customHeight="true" outlineLevel="0" collapsed="false">
      <c r="A238" s="8" t="s">
        <v>253</v>
      </c>
      <c r="B238" s="8" t="s">
        <v>4</v>
      </c>
      <c r="C238" s="9" t="n">
        <v>2119</v>
      </c>
      <c r="D238" s="9" t="n">
        <v>45</v>
      </c>
      <c r="E238" s="9" t="n">
        <v>16.2</v>
      </c>
    </row>
    <row r="239" customFormat="false" ht="15" hidden="false" customHeight="true" outlineLevel="0" collapsed="false">
      <c r="A239" s="6" t="s">
        <v>757</v>
      </c>
      <c r="B239" s="6" t="s">
        <v>6</v>
      </c>
      <c r="C239" s="7" t="n">
        <v>2078</v>
      </c>
      <c r="D239" s="7" t="n">
        <v>43</v>
      </c>
      <c r="E239" s="7" t="n">
        <v>16.2</v>
      </c>
    </row>
    <row r="240" customFormat="false" ht="15" hidden="false" customHeight="true" outlineLevel="0" collapsed="false">
      <c r="A240" s="8" t="s">
        <v>757</v>
      </c>
      <c r="B240" s="8" t="s">
        <v>7</v>
      </c>
      <c r="C240" s="9" t="n">
        <v>2431</v>
      </c>
      <c r="D240" s="9" t="n">
        <v>34</v>
      </c>
      <c r="E240" s="9" t="n">
        <v>16.2</v>
      </c>
    </row>
    <row r="241" customFormat="false" ht="15" hidden="false" customHeight="true" outlineLevel="0" collapsed="false">
      <c r="A241" s="6" t="s">
        <v>757</v>
      </c>
      <c r="B241" s="6" t="s">
        <v>8</v>
      </c>
      <c r="C241" s="7" t="n">
        <v>2429</v>
      </c>
      <c r="D241" s="7" t="n">
        <v>33</v>
      </c>
      <c r="E241" s="7" t="n">
        <v>16.2</v>
      </c>
    </row>
    <row r="242" customFormat="false" ht="15" hidden="false" customHeight="true" outlineLevel="0" collapsed="false">
      <c r="A242" s="8" t="s">
        <v>757</v>
      </c>
      <c r="B242" s="8" t="s">
        <v>9</v>
      </c>
      <c r="C242" s="9" t="n">
        <v>2419</v>
      </c>
      <c r="D242" s="9" t="n">
        <v>19</v>
      </c>
      <c r="E242" s="9" t="n">
        <v>16.2</v>
      </c>
    </row>
    <row r="243" customFormat="false" ht="15" hidden="false" customHeight="true" outlineLevel="0" collapsed="false">
      <c r="A243" s="6" t="s">
        <v>254</v>
      </c>
      <c r="B243" s="6" t="s">
        <v>4</v>
      </c>
      <c r="C243" s="7" t="n">
        <v>2100</v>
      </c>
      <c r="D243" s="7" t="n">
        <v>46</v>
      </c>
      <c r="E243" s="7" t="n">
        <v>16.2</v>
      </c>
    </row>
    <row r="244" customFormat="false" ht="15" hidden="false" customHeight="true" outlineLevel="0" collapsed="false">
      <c r="A244" s="8" t="s">
        <v>254</v>
      </c>
      <c r="B244" s="8" t="s">
        <v>5</v>
      </c>
      <c r="C244" s="9"/>
      <c r="D244" s="9" t="n">
        <v>16.2</v>
      </c>
      <c r="E244" s="9" t="n">
        <v>16.2</v>
      </c>
    </row>
    <row r="245" customFormat="false" ht="15" hidden="false" customHeight="true" outlineLevel="0" collapsed="false">
      <c r="A245" s="6" t="s">
        <v>758</v>
      </c>
      <c r="B245" s="6" t="s">
        <v>6</v>
      </c>
      <c r="C245" s="7" t="n">
        <v>2004</v>
      </c>
      <c r="D245" s="7" t="n">
        <v>47</v>
      </c>
      <c r="E245" s="7" t="n">
        <v>16.2</v>
      </c>
    </row>
    <row r="246" customFormat="false" ht="15" hidden="false" customHeight="true" outlineLevel="0" collapsed="false">
      <c r="A246" s="8" t="s">
        <v>758</v>
      </c>
      <c r="B246" s="8" t="s">
        <v>7</v>
      </c>
      <c r="C246" s="9" t="n">
        <v>2431</v>
      </c>
      <c r="D246" s="9" t="n">
        <v>34</v>
      </c>
      <c r="E246" s="9" t="n">
        <v>16.2</v>
      </c>
    </row>
    <row r="247" customFormat="false" ht="15" hidden="false" customHeight="true" outlineLevel="0" collapsed="false">
      <c r="A247" s="6" t="s">
        <v>758</v>
      </c>
      <c r="B247" s="6" t="s">
        <v>8</v>
      </c>
      <c r="C247" s="7" t="n">
        <v>2441</v>
      </c>
      <c r="D247" s="7" t="n">
        <v>32</v>
      </c>
      <c r="E247" s="7" t="n">
        <v>16.2</v>
      </c>
    </row>
    <row r="248" customFormat="false" ht="15" hidden="false" customHeight="true" outlineLevel="0" collapsed="false">
      <c r="A248" s="8" t="s">
        <v>758</v>
      </c>
      <c r="B248" s="8" t="s">
        <v>9</v>
      </c>
      <c r="C248" s="9" t="n">
        <v>2416</v>
      </c>
      <c r="D248" s="9" t="n">
        <v>20</v>
      </c>
      <c r="E248" s="9" t="n">
        <v>16.2</v>
      </c>
    </row>
    <row r="249" customFormat="false" ht="15" hidden="false" customHeight="true" outlineLevel="0" collapsed="false">
      <c r="A249" s="6" t="s">
        <v>255</v>
      </c>
      <c r="B249" s="6" t="s">
        <v>5</v>
      </c>
      <c r="C249" s="7"/>
      <c r="D249" s="7" t="n">
        <v>16.2</v>
      </c>
      <c r="E249" s="7" t="n">
        <v>16.2</v>
      </c>
    </row>
    <row r="250" customFormat="false" ht="15" hidden="false" customHeight="true" outlineLevel="0" collapsed="false">
      <c r="A250" s="8" t="s">
        <v>759</v>
      </c>
      <c r="B250" s="8" t="s">
        <v>8</v>
      </c>
      <c r="C250" s="9" t="n">
        <v>2437</v>
      </c>
      <c r="D250" s="9" t="n">
        <v>32</v>
      </c>
      <c r="E250" s="9" t="n">
        <v>16.2</v>
      </c>
    </row>
    <row r="251" customFormat="false" ht="15" hidden="false" customHeight="true" outlineLevel="0" collapsed="false">
      <c r="A251" s="6" t="s">
        <v>759</v>
      </c>
      <c r="B251" s="6" t="s">
        <v>4</v>
      </c>
      <c r="C251" s="7" t="n">
        <v>2125</v>
      </c>
      <c r="D251" s="7" t="n">
        <v>45</v>
      </c>
      <c r="E251" s="7" t="n">
        <v>16.2</v>
      </c>
    </row>
    <row r="252" customFormat="false" ht="15" hidden="false" customHeight="true" outlineLevel="0" collapsed="false">
      <c r="A252" s="8" t="s">
        <v>759</v>
      </c>
      <c r="B252" s="8" t="s">
        <v>7</v>
      </c>
      <c r="C252" s="9" t="n">
        <v>2421</v>
      </c>
      <c r="D252" s="9" t="n">
        <v>34</v>
      </c>
      <c r="E252" s="9" t="n">
        <v>16.2</v>
      </c>
    </row>
    <row r="253" customFormat="false" ht="15" hidden="false" customHeight="true" outlineLevel="0" collapsed="false">
      <c r="A253" s="6" t="s">
        <v>759</v>
      </c>
      <c r="B253" s="6" t="s">
        <v>6</v>
      </c>
      <c r="C253" s="7" t="n">
        <v>2082</v>
      </c>
      <c r="D253" s="7" t="n">
        <v>42</v>
      </c>
      <c r="E253" s="7" t="n">
        <v>16.2</v>
      </c>
    </row>
    <row r="254" customFormat="false" ht="15" hidden="false" customHeight="true" outlineLevel="0" collapsed="false">
      <c r="A254" s="8" t="s">
        <v>760</v>
      </c>
      <c r="B254" s="8" t="s">
        <v>9</v>
      </c>
      <c r="C254" s="9" t="n">
        <v>2417</v>
      </c>
      <c r="D254" s="9" t="n">
        <v>19</v>
      </c>
      <c r="E254" s="9" t="n">
        <v>16.2</v>
      </c>
    </row>
    <row r="255" customFormat="false" ht="15" hidden="false" customHeight="true" outlineLevel="0" collapsed="false">
      <c r="A255" s="6" t="s">
        <v>256</v>
      </c>
      <c r="B255" s="6" t="s">
        <v>5</v>
      </c>
      <c r="C255" s="7"/>
      <c r="D255" s="7" t="n">
        <v>16.2</v>
      </c>
      <c r="E255" s="7" t="n">
        <v>16.2</v>
      </c>
    </row>
    <row r="256" customFormat="false" ht="15" hidden="false" customHeight="true" outlineLevel="0" collapsed="false">
      <c r="A256" s="8" t="s">
        <v>761</v>
      </c>
      <c r="B256" s="8" t="s">
        <v>6</v>
      </c>
      <c r="C256" s="9" t="n">
        <v>2080</v>
      </c>
      <c r="D256" s="9" t="n">
        <v>42</v>
      </c>
      <c r="E256" s="9" t="n">
        <v>16.2</v>
      </c>
    </row>
    <row r="257" customFormat="false" ht="15" hidden="false" customHeight="true" outlineLevel="0" collapsed="false">
      <c r="A257" s="6" t="s">
        <v>761</v>
      </c>
      <c r="B257" s="6" t="s">
        <v>7</v>
      </c>
      <c r="C257" s="7" t="n">
        <v>2432</v>
      </c>
      <c r="D257" s="7" t="n">
        <v>33</v>
      </c>
      <c r="E257" s="7" t="n">
        <v>16.2</v>
      </c>
    </row>
    <row r="258" customFormat="false" ht="15" hidden="false" customHeight="true" outlineLevel="0" collapsed="false">
      <c r="A258" s="8" t="s">
        <v>761</v>
      </c>
      <c r="B258" s="8" t="s">
        <v>4</v>
      </c>
      <c r="C258" s="9" t="n">
        <v>2129</v>
      </c>
      <c r="D258" s="9" t="n">
        <v>45</v>
      </c>
      <c r="E258" s="9" t="n">
        <v>16.2</v>
      </c>
    </row>
    <row r="259" customFormat="false" ht="15" hidden="false" customHeight="true" outlineLevel="0" collapsed="false">
      <c r="A259" s="6" t="s">
        <v>761</v>
      </c>
      <c r="B259" s="6" t="s">
        <v>8</v>
      </c>
      <c r="C259" s="7" t="n">
        <v>2441</v>
      </c>
      <c r="D259" s="7" t="n">
        <v>32</v>
      </c>
      <c r="E259" s="7" t="n">
        <v>16.2</v>
      </c>
    </row>
    <row r="260" customFormat="false" ht="15" hidden="false" customHeight="true" outlineLevel="0" collapsed="false">
      <c r="A260" s="8" t="s">
        <v>761</v>
      </c>
      <c r="B260" s="8" t="s">
        <v>9</v>
      </c>
      <c r="C260" s="9" t="n">
        <v>2418</v>
      </c>
      <c r="D260" s="9" t="n">
        <v>19</v>
      </c>
      <c r="E260" s="9" t="n">
        <v>16.2</v>
      </c>
    </row>
    <row r="261" customFormat="false" ht="15" hidden="false" customHeight="true" outlineLevel="0" collapsed="false">
      <c r="A261" s="6" t="s">
        <v>257</v>
      </c>
      <c r="B261" s="6" t="s">
        <v>5</v>
      </c>
      <c r="C261" s="7"/>
      <c r="D261" s="7" t="n">
        <v>16.2</v>
      </c>
      <c r="E261" s="7" t="n">
        <v>16.2</v>
      </c>
    </row>
    <row r="262" customFormat="false" ht="15" hidden="false" customHeight="true" outlineLevel="0" collapsed="false">
      <c r="A262" s="8" t="s">
        <v>762</v>
      </c>
      <c r="B262" s="8" t="s">
        <v>8</v>
      </c>
      <c r="C262" s="9" t="n">
        <v>2442</v>
      </c>
      <c r="D262" s="9" t="n">
        <v>32</v>
      </c>
      <c r="E262" s="9" t="n">
        <v>16.2</v>
      </c>
    </row>
    <row r="263" customFormat="false" ht="15" hidden="false" customHeight="true" outlineLevel="0" collapsed="false">
      <c r="A263" s="6" t="s">
        <v>762</v>
      </c>
      <c r="B263" s="6" t="s">
        <v>4</v>
      </c>
      <c r="C263" s="7" t="n">
        <v>2096</v>
      </c>
      <c r="D263" s="7" t="n">
        <v>47</v>
      </c>
      <c r="E263" s="7" t="n">
        <v>16.2</v>
      </c>
    </row>
    <row r="264" customFormat="false" ht="15" hidden="false" customHeight="true" outlineLevel="0" collapsed="false">
      <c r="A264" s="8" t="s">
        <v>762</v>
      </c>
      <c r="B264" s="8" t="s">
        <v>6</v>
      </c>
      <c r="C264" s="9" t="n">
        <v>2073</v>
      </c>
      <c r="D264" s="9" t="n">
        <v>43</v>
      </c>
      <c r="E264" s="9" t="n">
        <v>16.2</v>
      </c>
    </row>
    <row r="265" customFormat="false" ht="15" hidden="false" customHeight="true" outlineLevel="0" collapsed="false">
      <c r="A265" s="6" t="s">
        <v>762</v>
      </c>
      <c r="B265" s="6" t="s">
        <v>7</v>
      </c>
      <c r="C265" s="7" t="n">
        <v>2417</v>
      </c>
      <c r="D265" s="7" t="n">
        <v>35</v>
      </c>
      <c r="E265" s="7" t="n">
        <v>16.2</v>
      </c>
    </row>
    <row r="266" customFormat="false" ht="15" hidden="false" customHeight="true" outlineLevel="0" collapsed="false">
      <c r="A266" s="8" t="s">
        <v>763</v>
      </c>
      <c r="B266" s="8" t="s">
        <v>9</v>
      </c>
      <c r="C266" s="9" t="n">
        <v>2422</v>
      </c>
      <c r="D266" s="9" t="n">
        <v>19</v>
      </c>
      <c r="E266" s="9" t="n">
        <v>16.2</v>
      </c>
    </row>
    <row r="267" customFormat="false" ht="15" hidden="false" customHeight="true" outlineLevel="0" collapsed="false">
      <c r="A267" s="6" t="s">
        <v>258</v>
      </c>
      <c r="B267" s="6" t="s">
        <v>5</v>
      </c>
      <c r="C267" s="7"/>
      <c r="D267" s="7" t="n">
        <v>16.2</v>
      </c>
      <c r="E267" s="7" t="n">
        <v>16.2</v>
      </c>
    </row>
    <row r="268" customFormat="false" ht="15" hidden="false" customHeight="true" outlineLevel="0" collapsed="false">
      <c r="A268" s="8" t="s">
        <v>764</v>
      </c>
      <c r="B268" s="8" t="s">
        <v>6</v>
      </c>
      <c r="C268" s="9" t="n">
        <v>2069</v>
      </c>
      <c r="D268" s="9" t="n">
        <v>43</v>
      </c>
      <c r="E268" s="9" t="n">
        <v>16.2</v>
      </c>
    </row>
    <row r="269" customFormat="false" ht="15" hidden="false" customHeight="true" outlineLevel="0" collapsed="false">
      <c r="A269" s="6" t="s">
        <v>764</v>
      </c>
      <c r="B269" s="6" t="s">
        <v>7</v>
      </c>
      <c r="C269" s="7" t="n">
        <v>2432</v>
      </c>
      <c r="D269" s="7" t="n">
        <v>33</v>
      </c>
      <c r="E269" s="7" t="n">
        <v>16.2</v>
      </c>
    </row>
    <row r="270" customFormat="false" ht="15" hidden="false" customHeight="true" outlineLevel="0" collapsed="false">
      <c r="A270" s="8" t="s">
        <v>764</v>
      </c>
      <c r="B270" s="8" t="s">
        <v>4</v>
      </c>
      <c r="C270" s="9" t="n">
        <v>2112</v>
      </c>
      <c r="D270" s="9" t="n">
        <v>46</v>
      </c>
      <c r="E270" s="9" t="n">
        <v>16.2</v>
      </c>
    </row>
    <row r="271" customFormat="false" ht="15" hidden="false" customHeight="true" outlineLevel="0" collapsed="false">
      <c r="A271" s="6" t="s">
        <v>764</v>
      </c>
      <c r="B271" s="6" t="s">
        <v>8</v>
      </c>
      <c r="C271" s="7" t="n">
        <v>2445</v>
      </c>
      <c r="D271" s="7" t="n">
        <v>32</v>
      </c>
      <c r="E271" s="7" t="n">
        <v>16.2</v>
      </c>
    </row>
    <row r="272" customFormat="false" ht="15" hidden="false" customHeight="true" outlineLevel="0" collapsed="false">
      <c r="A272" s="8" t="s">
        <v>765</v>
      </c>
      <c r="B272" s="8" t="s">
        <v>9</v>
      </c>
      <c r="C272" s="9" t="n">
        <v>2422</v>
      </c>
      <c r="D272" s="9" t="n">
        <v>19</v>
      </c>
      <c r="E272" s="9" t="n">
        <v>16.2</v>
      </c>
    </row>
    <row r="273" customFormat="false" ht="15" hidden="false" customHeight="true" outlineLevel="0" collapsed="false">
      <c r="A273" s="6" t="s">
        <v>259</v>
      </c>
      <c r="B273" s="6" t="s">
        <v>5</v>
      </c>
      <c r="C273" s="7"/>
      <c r="D273" s="7" t="n">
        <v>16.2</v>
      </c>
      <c r="E273" s="7" t="n">
        <v>16.2</v>
      </c>
    </row>
    <row r="274" customFormat="false" ht="15" hidden="false" customHeight="true" outlineLevel="0" collapsed="false">
      <c r="A274" s="8" t="s">
        <v>766</v>
      </c>
      <c r="B274" s="8" t="s">
        <v>6</v>
      </c>
      <c r="C274" s="9" t="n">
        <v>2077</v>
      </c>
      <c r="D274" s="9" t="n">
        <v>43</v>
      </c>
      <c r="E274" s="9" t="n">
        <v>16.2</v>
      </c>
    </row>
    <row r="275" customFormat="false" ht="15" hidden="false" customHeight="true" outlineLevel="0" collapsed="false">
      <c r="A275" s="6" t="s">
        <v>766</v>
      </c>
      <c r="B275" s="6" t="s">
        <v>4</v>
      </c>
      <c r="C275" s="7" t="n">
        <v>2126</v>
      </c>
      <c r="D275" s="7" t="n">
        <v>45</v>
      </c>
      <c r="E275" s="7" t="n">
        <v>16.2</v>
      </c>
    </row>
    <row r="276" customFormat="false" ht="15" hidden="false" customHeight="true" outlineLevel="0" collapsed="false">
      <c r="A276" s="8" t="s">
        <v>767</v>
      </c>
      <c r="B276" s="8" t="s">
        <v>9</v>
      </c>
      <c r="C276" s="9" t="n">
        <v>2426</v>
      </c>
      <c r="D276" s="9" t="n">
        <v>18</v>
      </c>
      <c r="E276" s="9" t="n">
        <v>16.2</v>
      </c>
    </row>
    <row r="277" customFormat="false" ht="15" hidden="false" customHeight="true" outlineLevel="0" collapsed="false">
      <c r="A277" s="6" t="s">
        <v>767</v>
      </c>
      <c r="B277" s="6" t="s">
        <v>8</v>
      </c>
      <c r="C277" s="7" t="n">
        <v>2444</v>
      </c>
      <c r="D277" s="7" t="n">
        <v>32</v>
      </c>
      <c r="E277" s="7" t="n">
        <v>16.2</v>
      </c>
    </row>
    <row r="278" customFormat="false" ht="15" hidden="false" customHeight="true" outlineLevel="0" collapsed="false">
      <c r="A278" s="8" t="s">
        <v>767</v>
      </c>
      <c r="B278" s="8" t="s">
        <v>7</v>
      </c>
      <c r="C278" s="9" t="n">
        <v>2434</v>
      </c>
      <c r="D278" s="9" t="n">
        <v>33</v>
      </c>
      <c r="E278" s="9" t="n">
        <v>16.2</v>
      </c>
    </row>
    <row r="279" customFormat="false" ht="15" hidden="false" customHeight="true" outlineLevel="0" collapsed="false">
      <c r="A279" s="6" t="s">
        <v>260</v>
      </c>
      <c r="B279" s="6" t="s">
        <v>4</v>
      </c>
      <c r="C279" s="7" t="n">
        <v>2124</v>
      </c>
      <c r="D279" s="7" t="n">
        <v>45</v>
      </c>
      <c r="E279" s="7" t="n">
        <v>16.2</v>
      </c>
    </row>
    <row r="280" customFormat="false" ht="15" hidden="false" customHeight="true" outlineLevel="0" collapsed="false">
      <c r="A280" s="8" t="s">
        <v>260</v>
      </c>
      <c r="B280" s="8" t="s">
        <v>5</v>
      </c>
      <c r="C280" s="9"/>
      <c r="D280" s="9" t="n">
        <v>16.2</v>
      </c>
      <c r="E280" s="9" t="n">
        <v>16.2</v>
      </c>
    </row>
    <row r="281" customFormat="false" ht="15" hidden="false" customHeight="true" outlineLevel="0" collapsed="false">
      <c r="A281" s="6" t="s">
        <v>768</v>
      </c>
      <c r="B281" s="6" t="s">
        <v>6</v>
      </c>
      <c r="C281" s="7" t="n">
        <v>2157</v>
      </c>
      <c r="D281" s="7" t="n">
        <v>37</v>
      </c>
      <c r="E281" s="7" t="n">
        <v>16.2</v>
      </c>
    </row>
    <row r="282" customFormat="false" ht="15" hidden="false" customHeight="true" outlineLevel="0" collapsed="false">
      <c r="A282" s="8" t="s">
        <v>768</v>
      </c>
      <c r="B282" s="8" t="s">
        <v>7</v>
      </c>
      <c r="C282" s="9" t="n">
        <v>2434</v>
      </c>
      <c r="D282" s="9" t="n">
        <v>33</v>
      </c>
      <c r="E282" s="9" t="n">
        <v>16.2</v>
      </c>
    </row>
    <row r="283" customFormat="false" ht="15" hidden="false" customHeight="true" outlineLevel="0" collapsed="false">
      <c r="A283" s="6" t="s">
        <v>768</v>
      </c>
      <c r="B283" s="6" t="s">
        <v>8</v>
      </c>
      <c r="C283" s="7" t="n">
        <v>2447</v>
      </c>
      <c r="D283" s="7" t="n">
        <v>31</v>
      </c>
      <c r="E283" s="7" t="n">
        <v>16.2</v>
      </c>
    </row>
    <row r="284" customFormat="false" ht="15" hidden="false" customHeight="true" outlineLevel="0" collapsed="false">
      <c r="A284" s="8" t="s">
        <v>768</v>
      </c>
      <c r="B284" s="8" t="s">
        <v>9</v>
      </c>
      <c r="C284" s="9" t="n">
        <v>2426</v>
      </c>
      <c r="D284" s="9" t="n">
        <v>18</v>
      </c>
      <c r="E284" s="9" t="n">
        <v>16.2</v>
      </c>
    </row>
    <row r="285" customFormat="false" ht="15" hidden="false" customHeight="true" outlineLevel="0" collapsed="false">
      <c r="A285" s="6" t="s">
        <v>261</v>
      </c>
      <c r="B285" s="6" t="s">
        <v>4</v>
      </c>
      <c r="C285" s="7" t="n">
        <v>2102</v>
      </c>
      <c r="D285" s="7" t="n">
        <v>46</v>
      </c>
      <c r="E285" s="7" t="n">
        <v>16.2</v>
      </c>
    </row>
    <row r="286" customFormat="false" ht="15" hidden="false" customHeight="true" outlineLevel="0" collapsed="false">
      <c r="A286" s="8" t="s">
        <v>261</v>
      </c>
      <c r="B286" s="8" t="s">
        <v>5</v>
      </c>
      <c r="C286" s="9"/>
      <c r="D286" s="9" t="n">
        <v>16.2</v>
      </c>
      <c r="E286" s="9" t="n">
        <v>16.2</v>
      </c>
    </row>
    <row r="287" customFormat="false" ht="15" hidden="false" customHeight="true" outlineLevel="0" collapsed="false">
      <c r="A287" s="6" t="s">
        <v>769</v>
      </c>
      <c r="B287" s="6" t="s">
        <v>6</v>
      </c>
      <c r="C287" s="7" t="n">
        <v>2074</v>
      </c>
      <c r="D287" s="7" t="n">
        <v>43</v>
      </c>
      <c r="E287" s="7" t="n">
        <v>16.2</v>
      </c>
    </row>
    <row r="288" customFormat="false" ht="15" hidden="false" customHeight="true" outlineLevel="0" collapsed="false">
      <c r="A288" s="8" t="s">
        <v>769</v>
      </c>
      <c r="B288" s="8" t="s">
        <v>7</v>
      </c>
      <c r="C288" s="9" t="n">
        <v>2439</v>
      </c>
      <c r="D288" s="9" t="n">
        <v>33</v>
      </c>
      <c r="E288" s="9" t="n">
        <v>16.2</v>
      </c>
    </row>
    <row r="289" customFormat="false" ht="15" hidden="false" customHeight="true" outlineLevel="0" collapsed="false">
      <c r="A289" s="6" t="s">
        <v>770</v>
      </c>
      <c r="B289" s="6" t="s">
        <v>9</v>
      </c>
      <c r="C289" s="7" t="n">
        <v>2427</v>
      </c>
      <c r="D289" s="7" t="n">
        <v>18</v>
      </c>
      <c r="E289" s="7" t="n">
        <v>16.2</v>
      </c>
    </row>
    <row r="290" customFormat="false" ht="15" hidden="false" customHeight="true" outlineLevel="0" collapsed="false">
      <c r="A290" s="8" t="s">
        <v>770</v>
      </c>
      <c r="B290" s="8" t="s">
        <v>8</v>
      </c>
      <c r="C290" s="9" t="n">
        <v>2444</v>
      </c>
      <c r="D290" s="9" t="n">
        <v>32</v>
      </c>
      <c r="E290" s="9" t="n">
        <v>16.2</v>
      </c>
    </row>
    <row r="291" customFormat="false" ht="15" hidden="false" customHeight="true" outlineLevel="0" collapsed="false">
      <c r="A291" s="6" t="s">
        <v>262</v>
      </c>
      <c r="B291" s="6" t="s">
        <v>5</v>
      </c>
      <c r="C291" s="7"/>
      <c r="D291" s="7" t="n">
        <v>16.2</v>
      </c>
      <c r="E291" s="7" t="n">
        <v>16.2</v>
      </c>
    </row>
    <row r="292" customFormat="false" ht="15" hidden="false" customHeight="true" outlineLevel="0" collapsed="false">
      <c r="A292" s="8" t="s">
        <v>771</v>
      </c>
      <c r="B292" s="8" t="s">
        <v>6</v>
      </c>
      <c r="C292" s="9" t="n">
        <v>2063</v>
      </c>
      <c r="D292" s="9" t="n">
        <v>44</v>
      </c>
      <c r="E292" s="9" t="n">
        <v>16.2</v>
      </c>
    </row>
    <row r="293" customFormat="false" ht="15" hidden="false" customHeight="true" outlineLevel="0" collapsed="false">
      <c r="A293" s="6" t="s">
        <v>771</v>
      </c>
      <c r="B293" s="6" t="s">
        <v>7</v>
      </c>
      <c r="C293" s="7" t="n">
        <v>2437</v>
      </c>
      <c r="D293" s="7" t="n">
        <v>33</v>
      </c>
      <c r="E293" s="7" t="n">
        <v>16.2</v>
      </c>
    </row>
    <row r="294" customFormat="false" ht="15" hidden="false" customHeight="true" outlineLevel="0" collapsed="false">
      <c r="A294" s="8" t="s">
        <v>771</v>
      </c>
      <c r="B294" s="8" t="s">
        <v>4</v>
      </c>
      <c r="C294" s="9" t="n">
        <v>2112</v>
      </c>
      <c r="D294" s="9" t="n">
        <v>46</v>
      </c>
      <c r="E294" s="9" t="n">
        <v>16.2</v>
      </c>
    </row>
    <row r="295" customFormat="false" ht="15" hidden="false" customHeight="true" outlineLevel="0" collapsed="false">
      <c r="A295" s="6" t="s">
        <v>771</v>
      </c>
      <c r="B295" s="6" t="s">
        <v>8</v>
      </c>
      <c r="C295" s="7" t="n">
        <v>2448</v>
      </c>
      <c r="D295" s="7" t="n">
        <v>31</v>
      </c>
      <c r="E295" s="7" t="n">
        <v>16.2</v>
      </c>
    </row>
    <row r="296" customFormat="false" ht="15" hidden="false" customHeight="true" outlineLevel="0" collapsed="false">
      <c r="A296" s="8" t="s">
        <v>772</v>
      </c>
      <c r="B296" s="8" t="s">
        <v>9</v>
      </c>
      <c r="C296" s="9" t="n">
        <v>2429</v>
      </c>
      <c r="D296" s="9" t="n">
        <v>17</v>
      </c>
      <c r="E296" s="9" t="n">
        <v>16.2</v>
      </c>
    </row>
    <row r="297" customFormat="false" ht="15" hidden="false" customHeight="true" outlineLevel="0" collapsed="false">
      <c r="A297" s="6" t="s">
        <v>263</v>
      </c>
      <c r="B297" s="6" t="s">
        <v>6</v>
      </c>
      <c r="C297" s="7" t="n">
        <v>2061</v>
      </c>
      <c r="D297" s="7" t="n">
        <v>44</v>
      </c>
      <c r="E297" s="7" t="n">
        <v>16.2</v>
      </c>
    </row>
    <row r="298" customFormat="false" ht="15" hidden="false" customHeight="true" outlineLevel="0" collapsed="false">
      <c r="A298" s="8" t="s">
        <v>263</v>
      </c>
      <c r="B298" s="8" t="s">
        <v>4</v>
      </c>
      <c r="C298" s="9" t="n">
        <v>2112</v>
      </c>
      <c r="D298" s="9" t="n">
        <v>46</v>
      </c>
      <c r="E298" s="9" t="n">
        <v>16.2</v>
      </c>
    </row>
    <row r="299" customFormat="false" ht="15" hidden="false" customHeight="true" outlineLevel="0" collapsed="false">
      <c r="A299" s="6" t="s">
        <v>263</v>
      </c>
      <c r="B299" s="6" t="s">
        <v>5</v>
      </c>
      <c r="C299" s="7"/>
      <c r="D299" s="7" t="n">
        <v>16.2</v>
      </c>
      <c r="E299" s="7" t="n">
        <v>16.2</v>
      </c>
    </row>
    <row r="300" customFormat="false" ht="15" hidden="false" customHeight="true" outlineLevel="0" collapsed="false">
      <c r="A300" s="8" t="s">
        <v>773</v>
      </c>
      <c r="B300" s="8" t="s">
        <v>9</v>
      </c>
      <c r="C300" s="9" t="n">
        <v>2426</v>
      </c>
      <c r="D300" s="9" t="n">
        <v>18</v>
      </c>
      <c r="E300" s="9" t="n">
        <v>16.2</v>
      </c>
    </row>
    <row r="301" customFormat="false" ht="15" hidden="false" customHeight="true" outlineLevel="0" collapsed="false">
      <c r="A301" s="6" t="s">
        <v>773</v>
      </c>
      <c r="B301" s="6" t="s">
        <v>8</v>
      </c>
      <c r="C301" s="7" t="n">
        <v>2459</v>
      </c>
      <c r="D301" s="7" t="n">
        <v>30</v>
      </c>
      <c r="E301" s="7" t="n">
        <v>16.2</v>
      </c>
    </row>
    <row r="302" customFormat="false" ht="15" hidden="false" customHeight="true" outlineLevel="0" collapsed="false">
      <c r="A302" s="8" t="s">
        <v>773</v>
      </c>
      <c r="B302" s="8" t="s">
        <v>7</v>
      </c>
      <c r="C302" s="9" t="n">
        <v>2442</v>
      </c>
      <c r="D302" s="9" t="n">
        <v>32</v>
      </c>
      <c r="E302" s="9" t="n">
        <v>16.2</v>
      </c>
    </row>
    <row r="303" customFormat="false" ht="15" hidden="false" customHeight="true" outlineLevel="0" collapsed="false">
      <c r="A303" s="6" t="s">
        <v>264</v>
      </c>
      <c r="B303" s="6" t="s">
        <v>4</v>
      </c>
      <c r="C303" s="7" t="n">
        <v>2123</v>
      </c>
      <c r="D303" s="7" t="n">
        <v>45</v>
      </c>
      <c r="E303" s="7" t="n">
        <v>16.2</v>
      </c>
    </row>
    <row r="304" customFormat="false" ht="15" hidden="false" customHeight="true" outlineLevel="0" collapsed="false">
      <c r="A304" s="8" t="s">
        <v>264</v>
      </c>
      <c r="B304" s="8" t="s">
        <v>5</v>
      </c>
      <c r="C304" s="9"/>
      <c r="D304" s="9" t="n">
        <v>16.2</v>
      </c>
      <c r="E304" s="9" t="n">
        <v>16.2</v>
      </c>
    </row>
    <row r="305" customFormat="false" ht="15" hidden="false" customHeight="true" outlineLevel="0" collapsed="false">
      <c r="A305" s="6" t="s">
        <v>774</v>
      </c>
      <c r="B305" s="6" t="s">
        <v>6</v>
      </c>
      <c r="C305" s="7" t="n">
        <v>2078</v>
      </c>
      <c r="D305" s="7" t="n">
        <v>43</v>
      </c>
      <c r="E305" s="7" t="n">
        <v>16.2</v>
      </c>
    </row>
    <row r="306" customFormat="false" ht="15" hidden="false" customHeight="true" outlineLevel="0" collapsed="false">
      <c r="A306" s="8" t="s">
        <v>774</v>
      </c>
      <c r="B306" s="8" t="s">
        <v>7</v>
      </c>
      <c r="C306" s="9" t="n">
        <v>2430</v>
      </c>
      <c r="D306" s="9" t="n">
        <v>34</v>
      </c>
      <c r="E306" s="9" t="n">
        <v>16.2</v>
      </c>
    </row>
    <row r="307" customFormat="false" ht="15" hidden="false" customHeight="true" outlineLevel="0" collapsed="false">
      <c r="A307" s="6" t="s">
        <v>774</v>
      </c>
      <c r="B307" s="6" t="s">
        <v>8</v>
      </c>
      <c r="C307" s="7" t="n">
        <v>2448</v>
      </c>
      <c r="D307" s="7" t="n">
        <v>31</v>
      </c>
      <c r="E307" s="7" t="n">
        <v>16.2</v>
      </c>
    </row>
    <row r="308" customFormat="false" ht="15" hidden="false" customHeight="true" outlineLevel="0" collapsed="false">
      <c r="A308" s="8" t="s">
        <v>775</v>
      </c>
      <c r="B308" s="8" t="s">
        <v>9</v>
      </c>
      <c r="C308" s="9" t="n">
        <v>2431</v>
      </c>
      <c r="D308" s="9" t="n">
        <v>17</v>
      </c>
      <c r="E308" s="9" t="n">
        <v>16.2</v>
      </c>
    </row>
    <row r="309" customFormat="false" ht="15" hidden="false" customHeight="true" outlineLevel="0" collapsed="false">
      <c r="A309" s="6" t="s">
        <v>265</v>
      </c>
      <c r="B309" s="6" t="s">
        <v>5</v>
      </c>
      <c r="C309" s="7"/>
      <c r="D309" s="7" t="n">
        <v>16.2</v>
      </c>
      <c r="E309" s="7" t="n">
        <v>16.2</v>
      </c>
    </row>
    <row r="310" customFormat="false" ht="15" hidden="false" customHeight="true" outlineLevel="0" collapsed="false">
      <c r="A310" s="8" t="s">
        <v>776</v>
      </c>
      <c r="B310" s="8" t="s">
        <v>6</v>
      </c>
      <c r="C310" s="9" t="n">
        <v>2222</v>
      </c>
      <c r="D310" s="9" t="n">
        <v>33</v>
      </c>
      <c r="E310" s="9" t="n">
        <v>16.2</v>
      </c>
    </row>
    <row r="311" customFormat="false" ht="15" hidden="false" customHeight="true" outlineLevel="0" collapsed="false">
      <c r="A311" s="6" t="s">
        <v>776</v>
      </c>
      <c r="B311" s="6" t="s">
        <v>4</v>
      </c>
      <c r="C311" s="7" t="n">
        <v>2112</v>
      </c>
      <c r="D311" s="7" t="n">
        <v>46</v>
      </c>
      <c r="E311" s="7" t="n">
        <v>16.2</v>
      </c>
    </row>
    <row r="312" customFormat="false" ht="15" hidden="false" customHeight="true" outlineLevel="0" collapsed="false">
      <c r="A312" s="8" t="s">
        <v>777</v>
      </c>
      <c r="B312" s="8" t="s">
        <v>7</v>
      </c>
      <c r="C312" s="9" t="n">
        <v>2443</v>
      </c>
      <c r="D312" s="9" t="n">
        <v>32</v>
      </c>
      <c r="E312" s="9" t="n">
        <v>16.2</v>
      </c>
    </row>
    <row r="313" customFormat="false" ht="15" hidden="false" customHeight="true" outlineLevel="0" collapsed="false">
      <c r="A313" s="6" t="s">
        <v>777</v>
      </c>
      <c r="B313" s="6" t="s">
        <v>8</v>
      </c>
      <c r="C313" s="7" t="n">
        <v>2449</v>
      </c>
      <c r="D313" s="7" t="n">
        <v>31</v>
      </c>
      <c r="E313" s="7" t="n">
        <v>16.2</v>
      </c>
    </row>
    <row r="314" customFormat="false" ht="15" hidden="false" customHeight="true" outlineLevel="0" collapsed="false">
      <c r="A314" s="8" t="s">
        <v>778</v>
      </c>
      <c r="B314" s="8" t="s">
        <v>9</v>
      </c>
      <c r="C314" s="9" t="n">
        <v>2434</v>
      </c>
      <c r="D314" s="9" t="n">
        <v>16</v>
      </c>
      <c r="E314" s="9" t="n">
        <v>16.2</v>
      </c>
    </row>
    <row r="315" customFormat="false" ht="15" hidden="false" customHeight="true" outlineLevel="0" collapsed="false">
      <c r="A315" s="6" t="s">
        <v>266</v>
      </c>
      <c r="B315" s="6" t="s">
        <v>5</v>
      </c>
      <c r="C315" s="7"/>
      <c r="D315" s="7" t="n">
        <v>16.2</v>
      </c>
      <c r="E315" s="7" t="n">
        <v>16.2</v>
      </c>
    </row>
    <row r="316" customFormat="false" ht="15" hidden="false" customHeight="true" outlineLevel="0" collapsed="false">
      <c r="A316" s="8" t="s">
        <v>779</v>
      </c>
      <c r="B316" s="8" t="s">
        <v>6</v>
      </c>
      <c r="C316" s="9" t="n">
        <v>1984</v>
      </c>
      <c r="D316" s="9" t="n">
        <v>49</v>
      </c>
      <c r="E316" s="9" t="n">
        <v>16.2</v>
      </c>
    </row>
    <row r="317" customFormat="false" ht="15" hidden="false" customHeight="true" outlineLevel="0" collapsed="false">
      <c r="A317" s="6" t="s">
        <v>779</v>
      </c>
      <c r="B317" s="6" t="s">
        <v>7</v>
      </c>
      <c r="C317" s="7" t="n">
        <v>2443</v>
      </c>
      <c r="D317" s="7" t="n">
        <v>32</v>
      </c>
      <c r="E317" s="7" t="n">
        <v>16.2</v>
      </c>
    </row>
    <row r="318" customFormat="false" ht="15" hidden="false" customHeight="true" outlineLevel="0" collapsed="false">
      <c r="A318" s="8" t="s">
        <v>779</v>
      </c>
      <c r="B318" s="8" t="s">
        <v>4</v>
      </c>
      <c r="C318" s="9" t="n">
        <v>2085</v>
      </c>
      <c r="D318" s="9" t="n">
        <v>47</v>
      </c>
      <c r="E318" s="9" t="n">
        <v>16.2</v>
      </c>
    </row>
    <row r="319" customFormat="false" ht="15" hidden="false" customHeight="true" outlineLevel="0" collapsed="false">
      <c r="A319" s="6" t="s">
        <v>780</v>
      </c>
      <c r="B319" s="6" t="s">
        <v>8</v>
      </c>
      <c r="C319" s="7" t="n">
        <v>2448</v>
      </c>
      <c r="D319" s="7" t="n">
        <v>31</v>
      </c>
      <c r="E319" s="7" t="n">
        <v>16.2</v>
      </c>
    </row>
    <row r="320" customFormat="false" ht="15" hidden="false" customHeight="true" outlineLevel="0" collapsed="false">
      <c r="A320" s="8" t="s">
        <v>780</v>
      </c>
      <c r="B320" s="8" t="s">
        <v>9</v>
      </c>
      <c r="C320" s="9" t="n">
        <v>2429</v>
      </c>
      <c r="D320" s="9" t="n">
        <v>17</v>
      </c>
      <c r="E320" s="9" t="n">
        <v>16.2</v>
      </c>
    </row>
    <row r="321" customFormat="false" ht="15" hidden="false" customHeight="true" outlineLevel="0" collapsed="false">
      <c r="A321" s="6" t="s">
        <v>267</v>
      </c>
      <c r="B321" s="6" t="s">
        <v>4</v>
      </c>
      <c r="C321" s="7" t="n">
        <v>2129</v>
      </c>
      <c r="D321" s="7" t="n">
        <v>45</v>
      </c>
      <c r="E321" s="7" t="n">
        <v>16.2</v>
      </c>
    </row>
    <row r="322" customFormat="false" ht="15" hidden="false" customHeight="true" outlineLevel="0" collapsed="false">
      <c r="A322" s="8" t="s">
        <v>267</v>
      </c>
      <c r="B322" s="8" t="s">
        <v>5</v>
      </c>
      <c r="C322" s="9"/>
      <c r="D322" s="9" t="n">
        <v>16.2</v>
      </c>
      <c r="E322" s="9" t="n">
        <v>16.2</v>
      </c>
    </row>
    <row r="323" customFormat="false" ht="15" hidden="false" customHeight="true" outlineLevel="0" collapsed="false">
      <c r="A323" s="6" t="s">
        <v>781</v>
      </c>
      <c r="B323" s="6" t="s">
        <v>6</v>
      </c>
      <c r="C323" s="7" t="n">
        <v>2073</v>
      </c>
      <c r="D323" s="7" t="n">
        <v>43</v>
      </c>
      <c r="E323" s="7" t="n">
        <v>16.2</v>
      </c>
    </row>
    <row r="324" customFormat="false" ht="15" hidden="false" customHeight="true" outlineLevel="0" collapsed="false">
      <c r="A324" s="8" t="s">
        <v>781</v>
      </c>
      <c r="B324" s="8" t="s">
        <v>7</v>
      </c>
      <c r="C324" s="9" t="n">
        <v>2444</v>
      </c>
      <c r="D324" s="9" t="n">
        <v>32</v>
      </c>
      <c r="E324" s="9" t="n">
        <v>16.2</v>
      </c>
    </row>
    <row r="325" customFormat="false" ht="15" hidden="false" customHeight="true" outlineLevel="0" collapsed="false">
      <c r="A325" s="6" t="s">
        <v>782</v>
      </c>
      <c r="B325" s="6" t="s">
        <v>9</v>
      </c>
      <c r="C325" s="7" t="n">
        <v>2431</v>
      </c>
      <c r="D325" s="7" t="n">
        <v>17</v>
      </c>
      <c r="E325" s="7" t="n">
        <v>16.2</v>
      </c>
    </row>
    <row r="326" customFormat="false" ht="15" hidden="false" customHeight="true" outlineLevel="0" collapsed="false">
      <c r="A326" s="8" t="s">
        <v>782</v>
      </c>
      <c r="B326" s="8" t="s">
        <v>8</v>
      </c>
      <c r="C326" s="9" t="n">
        <v>2454</v>
      </c>
      <c r="D326" s="9" t="n">
        <v>30</v>
      </c>
      <c r="E326" s="9" t="n">
        <v>16.2</v>
      </c>
    </row>
    <row r="327" customFormat="false" ht="15" hidden="false" customHeight="true" outlineLevel="0" collapsed="false">
      <c r="A327" s="6" t="s">
        <v>268</v>
      </c>
      <c r="B327" s="6" t="s">
        <v>4</v>
      </c>
      <c r="C327" s="7" t="n">
        <v>2128</v>
      </c>
      <c r="D327" s="7" t="n">
        <v>45</v>
      </c>
      <c r="E327" s="7" t="n">
        <v>16.2</v>
      </c>
    </row>
    <row r="328" customFormat="false" ht="15" hidden="false" customHeight="true" outlineLevel="0" collapsed="false">
      <c r="A328" s="8" t="s">
        <v>268</v>
      </c>
      <c r="B328" s="8" t="s">
        <v>5</v>
      </c>
      <c r="C328" s="9"/>
      <c r="D328" s="9" t="n">
        <v>16.2</v>
      </c>
      <c r="E328" s="9" t="n">
        <v>16.2</v>
      </c>
    </row>
    <row r="329" customFormat="false" ht="15" hidden="false" customHeight="true" outlineLevel="0" collapsed="false">
      <c r="A329" s="6" t="s">
        <v>783</v>
      </c>
      <c r="B329" s="6" t="s">
        <v>6</v>
      </c>
      <c r="C329" s="7" t="n">
        <v>2075</v>
      </c>
      <c r="D329" s="7" t="n">
        <v>43</v>
      </c>
      <c r="E329" s="7" t="n">
        <v>16.2</v>
      </c>
    </row>
    <row r="330" customFormat="false" ht="15" hidden="false" customHeight="true" outlineLevel="0" collapsed="false">
      <c r="A330" s="8" t="s">
        <v>783</v>
      </c>
      <c r="B330" s="8" t="s">
        <v>7</v>
      </c>
      <c r="C330" s="9" t="n">
        <v>2445</v>
      </c>
      <c r="D330" s="9" t="n">
        <v>32</v>
      </c>
      <c r="E330" s="9" t="n">
        <v>16.2</v>
      </c>
    </row>
    <row r="331" customFormat="false" ht="15" hidden="false" customHeight="true" outlineLevel="0" collapsed="false">
      <c r="A331" s="6" t="s">
        <v>784</v>
      </c>
      <c r="B331" s="6" t="s">
        <v>8</v>
      </c>
      <c r="C331" s="7" t="n">
        <v>2450</v>
      </c>
      <c r="D331" s="7" t="n">
        <v>31</v>
      </c>
      <c r="E331" s="7" t="n">
        <v>16.2</v>
      </c>
    </row>
    <row r="332" customFormat="false" ht="15" hidden="false" customHeight="true" outlineLevel="0" collapsed="false">
      <c r="A332" s="8" t="s">
        <v>784</v>
      </c>
      <c r="B332" s="8" t="s">
        <v>9</v>
      </c>
      <c r="C332" s="9" t="n">
        <v>2432</v>
      </c>
      <c r="D332" s="9" t="n">
        <v>17</v>
      </c>
      <c r="E332" s="9" t="n">
        <v>16.2</v>
      </c>
    </row>
    <row r="333" customFormat="false" ht="15" hidden="false" customHeight="true" outlineLevel="0" collapsed="false">
      <c r="A333" s="6" t="s">
        <v>269</v>
      </c>
      <c r="B333" s="6" t="s">
        <v>5</v>
      </c>
      <c r="C333" s="7"/>
      <c r="D333" s="7" t="n">
        <v>16.2</v>
      </c>
      <c r="E333" s="7" t="n">
        <v>16.2</v>
      </c>
    </row>
    <row r="334" customFormat="false" ht="15" hidden="false" customHeight="true" outlineLevel="0" collapsed="false">
      <c r="A334" s="8" t="s">
        <v>785</v>
      </c>
      <c r="B334" s="8" t="s">
        <v>6</v>
      </c>
      <c r="C334" s="9" t="n">
        <v>2073</v>
      </c>
      <c r="D334" s="9" t="n">
        <v>43</v>
      </c>
      <c r="E334" s="9" t="n">
        <v>16.2</v>
      </c>
    </row>
    <row r="335" customFormat="false" ht="15" hidden="false" customHeight="true" outlineLevel="0" collapsed="false">
      <c r="A335" s="6" t="s">
        <v>785</v>
      </c>
      <c r="B335" s="6" t="s">
        <v>4</v>
      </c>
      <c r="C335" s="7" t="n">
        <v>2128</v>
      </c>
      <c r="D335" s="7" t="n">
        <v>45</v>
      </c>
      <c r="E335" s="7" t="n">
        <v>16.2</v>
      </c>
    </row>
    <row r="336" customFormat="false" ht="15" hidden="false" customHeight="true" outlineLevel="0" collapsed="false">
      <c r="A336" s="8" t="s">
        <v>786</v>
      </c>
      <c r="B336" s="8" t="s">
        <v>8</v>
      </c>
      <c r="C336" s="9" t="n">
        <v>2449</v>
      </c>
      <c r="D336" s="9" t="n">
        <v>31</v>
      </c>
      <c r="E336" s="9" t="n">
        <v>16.2</v>
      </c>
    </row>
    <row r="337" customFormat="false" ht="15" hidden="false" customHeight="true" outlineLevel="0" collapsed="false">
      <c r="A337" s="6" t="s">
        <v>786</v>
      </c>
      <c r="B337" s="6" t="s">
        <v>7</v>
      </c>
      <c r="C337" s="7" t="n">
        <v>2447</v>
      </c>
      <c r="D337" s="7" t="n">
        <v>32</v>
      </c>
      <c r="E337" s="7" t="n">
        <v>16.2</v>
      </c>
    </row>
    <row r="338" customFormat="false" ht="15" hidden="false" customHeight="true" outlineLevel="0" collapsed="false">
      <c r="A338" s="8" t="s">
        <v>787</v>
      </c>
      <c r="B338" s="8" t="s">
        <v>9</v>
      </c>
      <c r="C338" s="9" t="n">
        <v>2434</v>
      </c>
      <c r="D338" s="9" t="n">
        <v>16</v>
      </c>
      <c r="E338" s="9" t="n">
        <v>16.2</v>
      </c>
    </row>
    <row r="339" customFormat="false" ht="15" hidden="false" customHeight="true" outlineLevel="0" collapsed="false">
      <c r="A339" s="6" t="s">
        <v>270</v>
      </c>
      <c r="B339" s="6" t="s">
        <v>5</v>
      </c>
      <c r="C339" s="7"/>
      <c r="D339" s="7" t="n">
        <v>16.2</v>
      </c>
      <c r="E339" s="7" t="n">
        <v>16.2</v>
      </c>
    </row>
    <row r="340" customFormat="false" ht="15" hidden="false" customHeight="true" outlineLevel="0" collapsed="false">
      <c r="A340" s="8" t="s">
        <v>270</v>
      </c>
      <c r="B340" s="8" t="s">
        <v>4</v>
      </c>
      <c r="C340" s="9" t="n">
        <v>2121</v>
      </c>
      <c r="D340" s="9" t="n">
        <v>45</v>
      </c>
      <c r="E340" s="9" t="n">
        <v>16.2</v>
      </c>
    </row>
    <row r="341" customFormat="false" ht="15" hidden="false" customHeight="true" outlineLevel="0" collapsed="false">
      <c r="A341" s="6" t="s">
        <v>788</v>
      </c>
      <c r="B341" s="6" t="s">
        <v>6</v>
      </c>
      <c r="C341" s="7" t="n">
        <v>2087</v>
      </c>
      <c r="D341" s="7" t="n">
        <v>42</v>
      </c>
      <c r="E341" s="7" t="n">
        <v>16.2</v>
      </c>
    </row>
    <row r="342" customFormat="false" ht="15" hidden="false" customHeight="true" outlineLevel="0" collapsed="false">
      <c r="A342" s="8" t="s">
        <v>788</v>
      </c>
      <c r="B342" s="8" t="s">
        <v>7</v>
      </c>
      <c r="C342" s="9" t="n">
        <v>2445</v>
      </c>
      <c r="D342" s="9" t="n">
        <v>32</v>
      </c>
      <c r="E342" s="9" t="n">
        <v>16.2</v>
      </c>
    </row>
    <row r="343" customFormat="false" ht="15" hidden="false" customHeight="true" outlineLevel="0" collapsed="false">
      <c r="A343" s="6" t="s">
        <v>789</v>
      </c>
      <c r="B343" s="6" t="s">
        <v>8</v>
      </c>
      <c r="C343" s="7" t="n">
        <v>2450</v>
      </c>
      <c r="D343" s="7" t="n">
        <v>31</v>
      </c>
      <c r="E343" s="7" t="n">
        <v>16.2</v>
      </c>
    </row>
    <row r="344" customFormat="false" ht="15" hidden="false" customHeight="true" outlineLevel="0" collapsed="false">
      <c r="A344" s="8" t="s">
        <v>789</v>
      </c>
      <c r="B344" s="8" t="s">
        <v>9</v>
      </c>
      <c r="C344" s="9" t="n">
        <v>2432</v>
      </c>
      <c r="D344" s="9" t="n">
        <v>17</v>
      </c>
      <c r="E344" s="9" t="n">
        <v>16.2</v>
      </c>
    </row>
    <row r="345" customFormat="false" ht="15" hidden="false" customHeight="true" outlineLevel="0" collapsed="false">
      <c r="A345" s="6" t="s">
        <v>271</v>
      </c>
      <c r="B345" s="6" t="s">
        <v>6</v>
      </c>
      <c r="C345" s="7" t="n">
        <v>2015</v>
      </c>
      <c r="D345" s="7" t="n">
        <v>47</v>
      </c>
      <c r="E345" s="7" t="n">
        <v>16.2</v>
      </c>
    </row>
    <row r="346" customFormat="false" ht="15" hidden="false" customHeight="true" outlineLevel="0" collapsed="false">
      <c r="A346" s="8" t="s">
        <v>271</v>
      </c>
      <c r="B346" s="8" t="s">
        <v>4</v>
      </c>
      <c r="C346" s="9" t="n">
        <v>2111</v>
      </c>
      <c r="D346" s="9" t="n">
        <v>46</v>
      </c>
      <c r="E346" s="9" t="n">
        <v>16.2</v>
      </c>
    </row>
    <row r="347" customFormat="false" ht="15" hidden="false" customHeight="true" outlineLevel="0" collapsed="false">
      <c r="A347" s="6" t="s">
        <v>271</v>
      </c>
      <c r="B347" s="6" t="s">
        <v>5</v>
      </c>
      <c r="C347" s="7"/>
      <c r="D347" s="7" t="n">
        <v>16.2</v>
      </c>
      <c r="E347" s="7" t="n">
        <v>16.2</v>
      </c>
    </row>
    <row r="348" customFormat="false" ht="15" hidden="false" customHeight="true" outlineLevel="0" collapsed="false">
      <c r="A348" s="8" t="s">
        <v>790</v>
      </c>
      <c r="B348" s="8" t="s">
        <v>7</v>
      </c>
      <c r="C348" s="9" t="n">
        <v>2447</v>
      </c>
      <c r="D348" s="9" t="n">
        <v>32</v>
      </c>
      <c r="E348" s="9" t="n">
        <v>16.2</v>
      </c>
    </row>
    <row r="349" customFormat="false" ht="15" hidden="false" customHeight="true" outlineLevel="0" collapsed="false">
      <c r="A349" s="6" t="s">
        <v>790</v>
      </c>
      <c r="B349" s="6" t="s">
        <v>8</v>
      </c>
      <c r="C349" s="7" t="n">
        <v>2451</v>
      </c>
      <c r="D349" s="7" t="n">
        <v>31</v>
      </c>
      <c r="E349" s="7" t="n">
        <v>16.2</v>
      </c>
    </row>
    <row r="350" customFormat="false" ht="15" hidden="false" customHeight="true" outlineLevel="0" collapsed="false">
      <c r="A350" s="8" t="s">
        <v>791</v>
      </c>
      <c r="B350" s="8" t="s">
        <v>9</v>
      </c>
      <c r="C350" s="9" t="n">
        <v>2435</v>
      </c>
      <c r="D350" s="9" t="n">
        <v>16</v>
      </c>
      <c r="E350" s="9" t="n">
        <v>16.2</v>
      </c>
    </row>
    <row r="351" customFormat="false" ht="15" hidden="false" customHeight="true" outlineLevel="0" collapsed="false">
      <c r="A351" s="6" t="s">
        <v>272</v>
      </c>
      <c r="B351" s="6" t="s">
        <v>5</v>
      </c>
      <c r="C351" s="7"/>
      <c r="D351" s="7" t="n">
        <v>16.2</v>
      </c>
      <c r="E351" s="7" t="n">
        <v>16.2</v>
      </c>
    </row>
    <row r="352" customFormat="false" ht="15" hidden="false" customHeight="true" outlineLevel="0" collapsed="false">
      <c r="A352" s="8" t="s">
        <v>272</v>
      </c>
      <c r="B352" s="8" t="s">
        <v>6</v>
      </c>
      <c r="C352" s="9" t="n">
        <v>2085</v>
      </c>
      <c r="D352" s="9" t="n">
        <v>42</v>
      </c>
      <c r="E352" s="9" t="n">
        <v>16.2</v>
      </c>
    </row>
    <row r="353" customFormat="false" ht="15" hidden="false" customHeight="true" outlineLevel="0" collapsed="false">
      <c r="A353" s="6" t="s">
        <v>272</v>
      </c>
      <c r="B353" s="6" t="s">
        <v>4</v>
      </c>
      <c r="C353" s="7" t="n">
        <v>2119</v>
      </c>
      <c r="D353" s="7" t="n">
        <v>45</v>
      </c>
      <c r="E353" s="7" t="n">
        <v>16.2</v>
      </c>
    </row>
    <row r="354" customFormat="false" ht="15" hidden="false" customHeight="true" outlineLevel="0" collapsed="false">
      <c r="A354" s="8" t="s">
        <v>792</v>
      </c>
      <c r="B354" s="8" t="s">
        <v>7</v>
      </c>
      <c r="C354" s="9" t="n">
        <v>2445</v>
      </c>
      <c r="D354" s="9" t="n">
        <v>32</v>
      </c>
      <c r="E354" s="9" t="n">
        <v>16.2</v>
      </c>
    </row>
    <row r="355" customFormat="false" ht="15" hidden="false" customHeight="true" outlineLevel="0" collapsed="false">
      <c r="A355" s="6" t="s">
        <v>792</v>
      </c>
      <c r="B355" s="6" t="s">
        <v>8</v>
      </c>
      <c r="C355" s="7" t="n">
        <v>2448</v>
      </c>
      <c r="D355" s="7" t="n">
        <v>31</v>
      </c>
      <c r="E355" s="7" t="n">
        <v>16.2</v>
      </c>
    </row>
    <row r="356" customFormat="false" ht="15" hidden="false" customHeight="true" outlineLevel="0" collapsed="false">
      <c r="A356" s="8" t="s">
        <v>792</v>
      </c>
      <c r="B356" s="8" t="s">
        <v>9</v>
      </c>
      <c r="C356" s="9" t="n">
        <v>2435</v>
      </c>
      <c r="D356" s="9" t="n">
        <v>16</v>
      </c>
      <c r="E356" s="9" t="n">
        <v>16.2</v>
      </c>
    </row>
    <row r="357" customFormat="false" ht="15" hidden="false" customHeight="true" outlineLevel="0" collapsed="false">
      <c r="A357" s="6" t="s">
        <v>273</v>
      </c>
      <c r="B357" s="6" t="s">
        <v>4</v>
      </c>
      <c r="C357" s="7" t="n">
        <v>2121</v>
      </c>
      <c r="D357" s="7" t="n">
        <v>45</v>
      </c>
      <c r="E357" s="7" t="n">
        <v>16.2</v>
      </c>
    </row>
    <row r="358" customFormat="false" ht="15" hidden="false" customHeight="true" outlineLevel="0" collapsed="false">
      <c r="A358" s="8" t="s">
        <v>273</v>
      </c>
      <c r="B358" s="8" t="s">
        <v>5</v>
      </c>
      <c r="C358" s="9"/>
      <c r="D358" s="9" t="n">
        <v>16.2</v>
      </c>
      <c r="E358" s="9" t="n">
        <v>16.2</v>
      </c>
    </row>
    <row r="359" customFormat="false" ht="15" hidden="false" customHeight="true" outlineLevel="0" collapsed="false">
      <c r="A359" s="6" t="s">
        <v>793</v>
      </c>
      <c r="B359" s="6" t="s">
        <v>6</v>
      </c>
      <c r="C359" s="7" t="n">
        <v>2066</v>
      </c>
      <c r="D359" s="7" t="n">
        <v>43</v>
      </c>
      <c r="E359" s="7" t="n">
        <v>16.2</v>
      </c>
    </row>
    <row r="360" customFormat="false" ht="15" hidden="false" customHeight="true" outlineLevel="0" collapsed="false">
      <c r="A360" s="8" t="s">
        <v>793</v>
      </c>
      <c r="B360" s="8" t="s">
        <v>7</v>
      </c>
      <c r="C360" s="9" t="n">
        <v>2448</v>
      </c>
      <c r="D360" s="9" t="n">
        <v>32</v>
      </c>
      <c r="E360" s="9" t="n">
        <v>16.2</v>
      </c>
    </row>
    <row r="361" customFormat="false" ht="15" hidden="false" customHeight="true" outlineLevel="0" collapsed="false">
      <c r="A361" s="6" t="s">
        <v>793</v>
      </c>
      <c r="B361" s="6" t="s">
        <v>8</v>
      </c>
      <c r="C361" s="7" t="n">
        <v>2454</v>
      </c>
      <c r="D361" s="7" t="n">
        <v>30</v>
      </c>
      <c r="E361" s="7" t="n">
        <v>16.2</v>
      </c>
    </row>
    <row r="362" customFormat="false" ht="15" hidden="false" customHeight="true" outlineLevel="0" collapsed="false">
      <c r="A362" s="8" t="s">
        <v>794</v>
      </c>
      <c r="B362" s="8" t="s">
        <v>9</v>
      </c>
      <c r="C362" s="9" t="n">
        <v>2430</v>
      </c>
      <c r="D362" s="9" t="n">
        <v>17</v>
      </c>
      <c r="E362" s="9" t="n">
        <v>16.2</v>
      </c>
    </row>
    <row r="363" customFormat="false" ht="15" hidden="false" customHeight="true" outlineLevel="0" collapsed="false">
      <c r="A363" s="6" t="s">
        <v>274</v>
      </c>
      <c r="B363" s="6" t="s">
        <v>5</v>
      </c>
      <c r="C363" s="7"/>
      <c r="D363" s="7" t="n">
        <v>16.2</v>
      </c>
      <c r="E363" s="7" t="n">
        <v>16.2</v>
      </c>
    </row>
    <row r="364" customFormat="false" ht="15" hidden="false" customHeight="true" outlineLevel="0" collapsed="false">
      <c r="A364" s="8" t="s">
        <v>795</v>
      </c>
      <c r="B364" s="8" t="s">
        <v>4</v>
      </c>
      <c r="C364" s="9" t="n">
        <v>2121</v>
      </c>
      <c r="D364" s="9" t="n">
        <v>45</v>
      </c>
      <c r="E364" s="9" t="n">
        <v>16.2</v>
      </c>
    </row>
    <row r="365" customFormat="false" ht="15" hidden="false" customHeight="true" outlineLevel="0" collapsed="false">
      <c r="A365" s="6" t="s">
        <v>795</v>
      </c>
      <c r="B365" s="6" t="s">
        <v>6</v>
      </c>
      <c r="C365" s="7" t="n">
        <v>2027</v>
      </c>
      <c r="D365" s="7" t="n">
        <v>46</v>
      </c>
      <c r="E365" s="7" t="n">
        <v>16.2</v>
      </c>
    </row>
    <row r="366" customFormat="false" ht="15" hidden="false" customHeight="true" outlineLevel="0" collapsed="false">
      <c r="A366" s="8" t="s">
        <v>796</v>
      </c>
      <c r="B366" s="8" t="s">
        <v>9</v>
      </c>
      <c r="C366" s="9" t="n">
        <v>2443</v>
      </c>
      <c r="D366" s="9" t="n">
        <v>15</v>
      </c>
      <c r="E366" s="9" t="n">
        <v>16.2</v>
      </c>
    </row>
    <row r="367" customFormat="false" ht="15" hidden="false" customHeight="true" outlineLevel="0" collapsed="false">
      <c r="A367" s="6" t="s">
        <v>796</v>
      </c>
      <c r="B367" s="6" t="s">
        <v>7</v>
      </c>
      <c r="C367" s="7" t="n">
        <v>2449</v>
      </c>
      <c r="D367" s="7" t="n">
        <v>32</v>
      </c>
      <c r="E367" s="7" t="n">
        <v>16.2</v>
      </c>
    </row>
    <row r="368" customFormat="false" ht="15" hidden="false" customHeight="true" outlineLevel="0" collapsed="false">
      <c r="A368" s="8" t="s">
        <v>796</v>
      </c>
      <c r="B368" s="8" t="s">
        <v>8</v>
      </c>
      <c r="C368" s="9" t="n">
        <v>2457</v>
      </c>
      <c r="D368" s="9" t="n">
        <v>30</v>
      </c>
      <c r="E368" s="9" t="n">
        <v>16.2</v>
      </c>
    </row>
    <row r="369" customFormat="false" ht="15" hidden="false" customHeight="true" outlineLevel="0" collapsed="false">
      <c r="A369" s="6" t="s">
        <v>275</v>
      </c>
      <c r="B369" s="6" t="s">
        <v>5</v>
      </c>
      <c r="C369" s="7"/>
      <c r="D369" s="7" t="n">
        <v>16.2</v>
      </c>
      <c r="E369" s="7" t="n">
        <v>16.2</v>
      </c>
    </row>
    <row r="370" customFormat="false" ht="15" hidden="false" customHeight="true" outlineLevel="0" collapsed="false">
      <c r="A370" s="8" t="s">
        <v>797</v>
      </c>
      <c r="B370" s="8" t="s">
        <v>6</v>
      </c>
      <c r="C370" s="9" t="n">
        <v>2079</v>
      </c>
      <c r="D370" s="9" t="n">
        <v>42</v>
      </c>
      <c r="E370" s="9" t="n">
        <v>16.2</v>
      </c>
    </row>
    <row r="371" customFormat="false" ht="15" hidden="false" customHeight="true" outlineLevel="0" collapsed="false">
      <c r="A371" s="6" t="s">
        <v>797</v>
      </c>
      <c r="B371" s="6" t="s">
        <v>7</v>
      </c>
      <c r="C371" s="7" t="n">
        <v>2449</v>
      </c>
      <c r="D371" s="7" t="n">
        <v>32</v>
      </c>
      <c r="E371" s="7" t="n">
        <v>16.2</v>
      </c>
    </row>
    <row r="372" customFormat="false" ht="15" hidden="false" customHeight="true" outlineLevel="0" collapsed="false">
      <c r="A372" s="8" t="s">
        <v>797</v>
      </c>
      <c r="B372" s="8" t="s">
        <v>4</v>
      </c>
      <c r="C372" s="9" t="n">
        <v>2101</v>
      </c>
      <c r="D372" s="9" t="n">
        <v>46</v>
      </c>
      <c r="E372" s="9" t="n">
        <v>16.2</v>
      </c>
    </row>
    <row r="373" customFormat="false" ht="15" hidden="false" customHeight="true" outlineLevel="0" collapsed="false">
      <c r="A373" s="6" t="s">
        <v>797</v>
      </c>
      <c r="B373" s="6" t="s">
        <v>8</v>
      </c>
      <c r="C373" s="7" t="n">
        <v>2455</v>
      </c>
      <c r="D373" s="7" t="n">
        <v>30</v>
      </c>
      <c r="E373" s="7" t="n">
        <v>16.2</v>
      </c>
    </row>
    <row r="374" customFormat="false" ht="15" hidden="false" customHeight="true" outlineLevel="0" collapsed="false">
      <c r="A374" s="8" t="s">
        <v>798</v>
      </c>
      <c r="B374" s="8" t="s">
        <v>9</v>
      </c>
      <c r="C374" s="9" t="n">
        <v>2433</v>
      </c>
      <c r="D374" s="9" t="n">
        <v>17</v>
      </c>
      <c r="E374" s="9" t="n">
        <v>16.2</v>
      </c>
    </row>
    <row r="375" customFormat="false" ht="15" hidden="false" customHeight="true" outlineLevel="0" collapsed="false">
      <c r="A375" s="6" t="s">
        <v>276</v>
      </c>
      <c r="B375" s="6" t="s">
        <v>5</v>
      </c>
      <c r="C375" s="7"/>
      <c r="D375" s="7" t="n">
        <v>16.2</v>
      </c>
      <c r="E375" s="7" t="n">
        <v>16.2</v>
      </c>
    </row>
    <row r="376" customFormat="false" ht="15" hidden="false" customHeight="true" outlineLevel="0" collapsed="false">
      <c r="A376" s="8" t="s">
        <v>799</v>
      </c>
      <c r="B376" s="8" t="s">
        <v>6</v>
      </c>
      <c r="C376" s="9" t="n">
        <v>2074</v>
      </c>
      <c r="D376" s="9" t="n">
        <v>43</v>
      </c>
      <c r="E376" s="9" t="n">
        <v>16.2</v>
      </c>
    </row>
    <row r="377" customFormat="false" ht="15" hidden="false" customHeight="true" outlineLevel="0" collapsed="false">
      <c r="A377" s="6" t="s">
        <v>799</v>
      </c>
      <c r="B377" s="6" t="s">
        <v>7</v>
      </c>
      <c r="C377" s="7" t="n">
        <v>2450</v>
      </c>
      <c r="D377" s="7" t="n">
        <v>32</v>
      </c>
      <c r="E377" s="7" t="n">
        <v>16.2</v>
      </c>
    </row>
    <row r="378" customFormat="false" ht="15" hidden="false" customHeight="true" outlineLevel="0" collapsed="false">
      <c r="A378" s="8" t="s">
        <v>799</v>
      </c>
      <c r="B378" s="8" t="s">
        <v>4</v>
      </c>
      <c r="C378" s="9" t="n">
        <v>2121</v>
      </c>
      <c r="D378" s="9" t="n">
        <v>45</v>
      </c>
      <c r="E378" s="9" t="n">
        <v>16.2</v>
      </c>
    </row>
    <row r="379" customFormat="false" ht="15" hidden="false" customHeight="true" outlineLevel="0" collapsed="false">
      <c r="A379" s="6" t="s">
        <v>800</v>
      </c>
      <c r="B379" s="6" t="s">
        <v>9</v>
      </c>
      <c r="C379" s="7" t="n">
        <v>2435</v>
      </c>
      <c r="D379" s="7" t="n">
        <v>16</v>
      </c>
      <c r="E379" s="7" t="n">
        <v>16.2</v>
      </c>
    </row>
    <row r="380" customFormat="false" ht="15" hidden="false" customHeight="true" outlineLevel="0" collapsed="false">
      <c r="A380" s="8" t="s">
        <v>800</v>
      </c>
      <c r="B380" s="8" t="s">
        <v>8</v>
      </c>
      <c r="C380" s="9" t="n">
        <v>2450</v>
      </c>
      <c r="D380" s="9" t="n">
        <v>31</v>
      </c>
      <c r="E380" s="9" t="n">
        <v>16.2</v>
      </c>
    </row>
    <row r="381" customFormat="false" ht="15" hidden="false" customHeight="true" outlineLevel="0" collapsed="false">
      <c r="A381" s="6" t="s">
        <v>277</v>
      </c>
      <c r="B381" s="6" t="s">
        <v>6</v>
      </c>
      <c r="C381" s="7" t="n">
        <v>2076</v>
      </c>
      <c r="D381" s="7" t="n">
        <v>43</v>
      </c>
      <c r="E381" s="7" t="n">
        <v>16.2</v>
      </c>
    </row>
    <row r="382" customFormat="false" ht="15" hidden="false" customHeight="true" outlineLevel="0" collapsed="false">
      <c r="A382" s="8" t="s">
        <v>277</v>
      </c>
      <c r="B382" s="8" t="s">
        <v>4</v>
      </c>
      <c r="C382" s="9" t="n">
        <v>2101</v>
      </c>
      <c r="D382" s="9" t="n">
        <v>46</v>
      </c>
      <c r="E382" s="9" t="n">
        <v>16.2</v>
      </c>
    </row>
    <row r="383" customFormat="false" ht="15" hidden="false" customHeight="true" outlineLevel="0" collapsed="false">
      <c r="A383" s="6" t="s">
        <v>277</v>
      </c>
      <c r="B383" s="6" t="s">
        <v>5</v>
      </c>
      <c r="C383" s="7"/>
      <c r="D383" s="7" t="n">
        <v>16.2</v>
      </c>
      <c r="E383" s="7" t="n">
        <v>16.2</v>
      </c>
    </row>
    <row r="384" customFormat="false" ht="15" hidden="false" customHeight="true" outlineLevel="0" collapsed="false">
      <c r="A384" s="8" t="s">
        <v>801</v>
      </c>
      <c r="B384" s="8" t="s">
        <v>7</v>
      </c>
      <c r="C384" s="9" t="n">
        <v>2450</v>
      </c>
      <c r="D384" s="9" t="n">
        <v>32</v>
      </c>
      <c r="E384" s="9" t="n">
        <v>16.2</v>
      </c>
    </row>
    <row r="385" customFormat="false" ht="15" hidden="false" customHeight="true" outlineLevel="0" collapsed="false">
      <c r="A385" s="6" t="s">
        <v>801</v>
      </c>
      <c r="B385" s="6" t="s">
        <v>8</v>
      </c>
      <c r="C385" s="7" t="n">
        <v>2463</v>
      </c>
      <c r="D385" s="7" t="n">
        <v>29</v>
      </c>
      <c r="E385" s="7" t="n">
        <v>16.2</v>
      </c>
    </row>
    <row r="386" customFormat="false" ht="15" hidden="false" customHeight="true" outlineLevel="0" collapsed="false">
      <c r="A386" s="8" t="s">
        <v>802</v>
      </c>
      <c r="B386" s="8" t="s">
        <v>9</v>
      </c>
      <c r="C386" s="9" t="n">
        <v>2435</v>
      </c>
      <c r="D386" s="9" t="n">
        <v>16</v>
      </c>
      <c r="E386" s="9" t="n">
        <v>16.2</v>
      </c>
    </row>
    <row r="387" customFormat="false" ht="15" hidden="false" customHeight="true" outlineLevel="0" collapsed="false">
      <c r="A387" s="6" t="s">
        <v>278</v>
      </c>
      <c r="B387" s="6" t="s">
        <v>6</v>
      </c>
      <c r="C387" s="7" t="n">
        <v>2096</v>
      </c>
      <c r="D387" s="7" t="n">
        <v>41</v>
      </c>
      <c r="E387" s="7" t="n">
        <v>16.2</v>
      </c>
    </row>
    <row r="388" customFormat="false" ht="15" hidden="false" customHeight="true" outlineLevel="0" collapsed="false">
      <c r="A388" s="8" t="s">
        <v>278</v>
      </c>
      <c r="B388" s="8" t="s">
        <v>4</v>
      </c>
      <c r="C388" s="9" t="n">
        <v>2130</v>
      </c>
      <c r="D388" s="9" t="n">
        <v>45</v>
      </c>
      <c r="E388" s="9" t="n">
        <v>16.2</v>
      </c>
    </row>
    <row r="389" customFormat="false" ht="15" hidden="false" customHeight="true" outlineLevel="0" collapsed="false">
      <c r="A389" s="6" t="s">
        <v>278</v>
      </c>
      <c r="B389" s="6" t="s">
        <v>5</v>
      </c>
      <c r="C389" s="7"/>
      <c r="D389" s="7" t="n">
        <v>16.2</v>
      </c>
      <c r="E389" s="7" t="n">
        <v>16.2</v>
      </c>
    </row>
    <row r="390" customFormat="false" ht="15" hidden="false" customHeight="true" outlineLevel="0" collapsed="false">
      <c r="A390" s="8" t="s">
        <v>803</v>
      </c>
      <c r="B390" s="8" t="s">
        <v>9</v>
      </c>
      <c r="C390" s="9" t="n">
        <v>2426</v>
      </c>
      <c r="D390" s="9" t="n">
        <v>18</v>
      </c>
      <c r="E390" s="9" t="n">
        <v>16.2</v>
      </c>
    </row>
    <row r="391" customFormat="false" ht="15" hidden="false" customHeight="true" outlineLevel="0" collapsed="false">
      <c r="A391" s="6" t="s">
        <v>803</v>
      </c>
      <c r="B391" s="6" t="s">
        <v>8</v>
      </c>
      <c r="C391" s="7" t="n">
        <v>2458</v>
      </c>
      <c r="D391" s="7" t="n">
        <v>30</v>
      </c>
      <c r="E391" s="7" t="n">
        <v>16.2</v>
      </c>
    </row>
    <row r="392" customFormat="false" ht="15" hidden="false" customHeight="true" outlineLevel="0" collapsed="false">
      <c r="A392" s="8" t="s">
        <v>803</v>
      </c>
      <c r="B392" s="8" t="s">
        <v>7</v>
      </c>
      <c r="C392" s="9" t="n">
        <v>2448</v>
      </c>
      <c r="D392" s="9" t="n">
        <v>32</v>
      </c>
      <c r="E392" s="9" t="n">
        <v>16.2</v>
      </c>
    </row>
    <row r="393" customFormat="false" ht="15" hidden="false" customHeight="true" outlineLevel="0" collapsed="false">
      <c r="A393" s="6" t="s">
        <v>279</v>
      </c>
      <c r="B393" s="6" t="s">
        <v>4</v>
      </c>
      <c r="C393" s="7" t="n">
        <v>2119</v>
      </c>
      <c r="D393" s="7" t="n">
        <v>45</v>
      </c>
      <c r="E393" s="7" t="n">
        <v>16.2</v>
      </c>
    </row>
    <row r="394" customFormat="false" ht="15" hidden="false" customHeight="true" outlineLevel="0" collapsed="false">
      <c r="A394" s="8" t="s">
        <v>279</v>
      </c>
      <c r="B394" s="8" t="s">
        <v>5</v>
      </c>
      <c r="C394" s="9"/>
      <c r="D394" s="9" t="n">
        <v>16.2</v>
      </c>
      <c r="E394" s="9" t="n">
        <v>16.2</v>
      </c>
    </row>
    <row r="395" customFormat="false" ht="15" hidden="false" customHeight="true" outlineLevel="0" collapsed="false">
      <c r="A395" s="6" t="s">
        <v>804</v>
      </c>
      <c r="B395" s="6" t="s">
        <v>6</v>
      </c>
      <c r="C395" s="7" t="n">
        <v>2065</v>
      </c>
      <c r="D395" s="7" t="n">
        <v>43</v>
      </c>
      <c r="E395" s="7" t="n">
        <v>16.2</v>
      </c>
    </row>
    <row r="396" customFormat="false" ht="15" hidden="false" customHeight="true" outlineLevel="0" collapsed="false">
      <c r="A396" s="8" t="s">
        <v>805</v>
      </c>
      <c r="B396" s="8" t="s">
        <v>7</v>
      </c>
      <c r="C396" s="9" t="n">
        <v>2451</v>
      </c>
      <c r="D396" s="9" t="n">
        <v>32</v>
      </c>
      <c r="E396" s="9" t="n">
        <v>16.2</v>
      </c>
    </row>
    <row r="397" customFormat="false" ht="15" hidden="false" customHeight="true" outlineLevel="0" collapsed="false">
      <c r="A397" s="6" t="s">
        <v>805</v>
      </c>
      <c r="B397" s="6" t="s">
        <v>8</v>
      </c>
      <c r="C397" s="7" t="n">
        <v>2461</v>
      </c>
      <c r="D397" s="7" t="n">
        <v>30</v>
      </c>
      <c r="E397" s="7" t="n">
        <v>16.2</v>
      </c>
    </row>
    <row r="398" customFormat="false" ht="15" hidden="false" customHeight="true" outlineLevel="0" collapsed="false">
      <c r="A398" s="8" t="s">
        <v>805</v>
      </c>
      <c r="B398" s="8" t="s">
        <v>9</v>
      </c>
      <c r="C398" s="9" t="n">
        <v>2443</v>
      </c>
      <c r="D398" s="9" t="n">
        <v>15</v>
      </c>
      <c r="E398" s="9" t="n">
        <v>16.2</v>
      </c>
    </row>
    <row r="399" customFormat="false" ht="15" hidden="false" customHeight="true" outlineLevel="0" collapsed="false">
      <c r="A399" s="6" t="s">
        <v>280</v>
      </c>
      <c r="B399" s="6" t="s">
        <v>4</v>
      </c>
      <c r="C399" s="7" t="n">
        <v>2111</v>
      </c>
      <c r="D399" s="7" t="n">
        <v>46</v>
      </c>
      <c r="E399" s="7" t="n">
        <v>16.2</v>
      </c>
    </row>
    <row r="400" customFormat="false" ht="15" hidden="false" customHeight="true" outlineLevel="0" collapsed="false">
      <c r="A400" s="8" t="s">
        <v>280</v>
      </c>
      <c r="B400" s="8" t="s">
        <v>5</v>
      </c>
      <c r="C400" s="9"/>
      <c r="D400" s="9" t="n">
        <v>16.2</v>
      </c>
      <c r="E400" s="9" t="n">
        <v>16.2</v>
      </c>
    </row>
    <row r="401" customFormat="false" ht="15" hidden="false" customHeight="true" outlineLevel="0" collapsed="false">
      <c r="A401" s="6" t="s">
        <v>806</v>
      </c>
      <c r="B401" s="6" t="s">
        <v>7</v>
      </c>
      <c r="C401" s="7" t="n">
        <v>2463</v>
      </c>
      <c r="D401" s="7" t="n">
        <v>30</v>
      </c>
      <c r="E401" s="7" t="n">
        <v>16.2</v>
      </c>
    </row>
    <row r="402" customFormat="false" ht="15" hidden="false" customHeight="true" outlineLevel="0" collapsed="false">
      <c r="A402" s="8" t="s">
        <v>806</v>
      </c>
      <c r="B402" s="8" t="s">
        <v>8</v>
      </c>
      <c r="C402" s="9" t="n">
        <v>2466</v>
      </c>
      <c r="D402" s="9" t="n">
        <v>29</v>
      </c>
      <c r="E402" s="9" t="n">
        <v>16.2</v>
      </c>
    </row>
    <row r="403" customFormat="false" ht="15" hidden="false" customHeight="true" outlineLevel="0" collapsed="false">
      <c r="A403" s="6" t="s">
        <v>806</v>
      </c>
      <c r="B403" s="6" t="s">
        <v>6</v>
      </c>
      <c r="C403" s="7" t="n">
        <v>2068</v>
      </c>
      <c r="D403" s="7" t="n">
        <v>43</v>
      </c>
      <c r="E403" s="7" t="n">
        <v>16.2</v>
      </c>
    </row>
    <row r="404" customFormat="false" ht="15" hidden="false" customHeight="true" outlineLevel="0" collapsed="false">
      <c r="A404" s="8" t="s">
        <v>807</v>
      </c>
      <c r="B404" s="8" t="s">
        <v>9</v>
      </c>
      <c r="C404" s="9" t="n">
        <v>2442</v>
      </c>
      <c r="D404" s="9" t="n">
        <v>15</v>
      </c>
      <c r="E404" s="9" t="n">
        <v>16.2</v>
      </c>
    </row>
    <row r="405" customFormat="false" ht="15" hidden="false" customHeight="true" outlineLevel="0" collapsed="false">
      <c r="A405" s="6" t="s">
        <v>281</v>
      </c>
      <c r="B405" s="6" t="s">
        <v>4</v>
      </c>
      <c r="C405" s="7" t="n">
        <v>2112</v>
      </c>
      <c r="D405" s="7" t="n">
        <v>46</v>
      </c>
      <c r="E405" s="7" t="n">
        <v>16.2</v>
      </c>
    </row>
    <row r="406" customFormat="false" ht="15" hidden="false" customHeight="true" outlineLevel="0" collapsed="false">
      <c r="A406" s="8" t="s">
        <v>281</v>
      </c>
      <c r="B406" s="8" t="s">
        <v>5</v>
      </c>
      <c r="C406" s="9"/>
      <c r="D406" s="9" t="n">
        <v>16.2</v>
      </c>
      <c r="E406" s="9" t="n">
        <v>16.2</v>
      </c>
    </row>
    <row r="407" customFormat="false" ht="15" hidden="false" customHeight="true" outlineLevel="0" collapsed="false">
      <c r="A407" s="6" t="s">
        <v>808</v>
      </c>
      <c r="B407" s="6" t="s">
        <v>6</v>
      </c>
      <c r="C407" s="7" t="n">
        <v>2068</v>
      </c>
      <c r="D407" s="7" t="n">
        <v>43</v>
      </c>
      <c r="E407" s="7" t="n">
        <v>16.2</v>
      </c>
    </row>
    <row r="408" customFormat="false" ht="15" hidden="false" customHeight="true" outlineLevel="0" collapsed="false">
      <c r="A408" s="8" t="s">
        <v>809</v>
      </c>
      <c r="B408" s="8" t="s">
        <v>7</v>
      </c>
      <c r="C408" s="9" t="n">
        <v>2462</v>
      </c>
      <c r="D408" s="9" t="n">
        <v>31</v>
      </c>
      <c r="E408" s="9" t="n">
        <v>16.2</v>
      </c>
    </row>
    <row r="409" customFormat="false" ht="15" hidden="false" customHeight="true" outlineLevel="0" collapsed="false">
      <c r="A409" s="6" t="s">
        <v>809</v>
      </c>
      <c r="B409" s="6" t="s">
        <v>8</v>
      </c>
      <c r="C409" s="7" t="n">
        <v>2469</v>
      </c>
      <c r="D409" s="7" t="n">
        <v>29</v>
      </c>
      <c r="E409" s="7" t="n">
        <v>16.2</v>
      </c>
    </row>
    <row r="410" customFormat="false" ht="15" hidden="false" customHeight="true" outlineLevel="0" collapsed="false">
      <c r="A410" s="8" t="s">
        <v>809</v>
      </c>
      <c r="B410" s="8" t="s">
        <v>9</v>
      </c>
      <c r="C410" s="9" t="n">
        <v>2439</v>
      </c>
      <c r="D410" s="9" t="n">
        <v>16</v>
      </c>
      <c r="E410" s="9" t="n">
        <v>16.2</v>
      </c>
    </row>
    <row r="411" customFormat="false" ht="15" hidden="false" customHeight="true" outlineLevel="0" collapsed="false">
      <c r="A411" s="6" t="s">
        <v>282</v>
      </c>
      <c r="B411" s="6" t="s">
        <v>4</v>
      </c>
      <c r="C411" s="7" t="n">
        <v>2112</v>
      </c>
      <c r="D411" s="7" t="n">
        <v>46</v>
      </c>
      <c r="E411" s="7" t="n">
        <v>16.2</v>
      </c>
    </row>
    <row r="412" customFormat="false" ht="15" hidden="false" customHeight="true" outlineLevel="0" collapsed="false">
      <c r="A412" s="8" t="s">
        <v>282</v>
      </c>
      <c r="B412" s="8" t="s">
        <v>6</v>
      </c>
      <c r="C412" s="9" t="n">
        <v>2071</v>
      </c>
      <c r="D412" s="9" t="n">
        <v>43</v>
      </c>
      <c r="E412" s="9" t="n">
        <v>16.2</v>
      </c>
    </row>
    <row r="413" customFormat="false" ht="15" hidden="false" customHeight="true" outlineLevel="0" collapsed="false">
      <c r="A413" s="6" t="s">
        <v>282</v>
      </c>
      <c r="B413" s="6" t="s">
        <v>7</v>
      </c>
      <c r="C413" s="7" t="n">
        <v>2464</v>
      </c>
      <c r="D413" s="7" t="n">
        <v>30</v>
      </c>
      <c r="E413" s="7" t="n">
        <v>16.2</v>
      </c>
    </row>
    <row r="414" customFormat="false" ht="15" hidden="false" customHeight="true" outlineLevel="0" collapsed="false">
      <c r="A414" s="8" t="s">
        <v>282</v>
      </c>
      <c r="B414" s="8" t="s">
        <v>5</v>
      </c>
      <c r="C414" s="9"/>
      <c r="D414" s="9" t="n">
        <v>16.2</v>
      </c>
      <c r="E414" s="9" t="n">
        <v>16.2</v>
      </c>
    </row>
    <row r="415" customFormat="false" ht="15" hidden="false" customHeight="true" outlineLevel="0" collapsed="false">
      <c r="A415" s="6" t="s">
        <v>810</v>
      </c>
      <c r="B415" s="6" t="s">
        <v>9</v>
      </c>
      <c r="C415" s="7" t="n">
        <v>2442</v>
      </c>
      <c r="D415" s="7" t="n">
        <v>15</v>
      </c>
      <c r="E415" s="7" t="n">
        <v>16.2</v>
      </c>
    </row>
    <row r="416" customFormat="false" ht="15" hidden="false" customHeight="true" outlineLevel="0" collapsed="false">
      <c r="A416" s="8" t="s">
        <v>810</v>
      </c>
      <c r="B416" s="8" t="s">
        <v>8</v>
      </c>
      <c r="C416" s="9" t="n">
        <v>2469</v>
      </c>
      <c r="D416" s="9" t="n">
        <v>29</v>
      </c>
      <c r="E416" s="9" t="n">
        <v>16.2</v>
      </c>
    </row>
    <row r="417" customFormat="false" ht="15" hidden="false" customHeight="true" outlineLevel="0" collapsed="false">
      <c r="A417" s="6" t="s">
        <v>283</v>
      </c>
      <c r="B417" s="6" t="s">
        <v>5</v>
      </c>
      <c r="C417" s="7"/>
      <c r="D417" s="7" t="n">
        <v>16.2</v>
      </c>
      <c r="E417" s="7" t="n">
        <v>16.2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1" min="10" style="1" width="10"/>
    <col collapsed="false" customWidth="true" hidden="false" outlineLevel="0" max="12" min="12" style="1" width="13"/>
    <col collapsed="false" customWidth="true" hidden="false" outlineLevel="0" max="13" min="13" style="1" width="11"/>
    <col collapsed="false" customWidth="true" hidden="false" outlineLevel="0" max="15" min="14" style="1" width="10"/>
    <col collapsed="false" customWidth="true" hidden="false" outlineLevel="0" max="16" min="16" style="1" width="13"/>
    <col collapsed="false" customWidth="true" hidden="false" outlineLevel="0" max="17" min="17" style="1" width="11"/>
    <col collapsed="false" customWidth="true" hidden="false" outlineLevel="0" max="19" min="18" style="1" width="10"/>
    <col collapsed="false" customWidth="true" hidden="false" outlineLevel="0" max="20" min="20" style="1" width="13"/>
    <col collapsed="false" customWidth="true" hidden="false" outlineLevel="0" max="21" min="21" style="1" width="11"/>
    <col collapsed="false" customWidth="true" hidden="false" outlineLevel="0" max="23" min="22" style="1" width="10"/>
  </cols>
  <sheetData>
    <row r="1" customFormat="false" ht="27.75" hidden="false" customHeight="true" outlineLevel="0" collapsed="false">
      <c r="A1" s="10" t="s">
        <v>811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customFormat="false" ht="27.75" hidden="false" customHeight="true" outlineLevel="0" collapsed="false">
      <c r="A2" s="11"/>
      <c r="B2" s="11" t="s">
        <v>812</v>
      </c>
      <c r="C2" s="11" t="s">
        <v>813</v>
      </c>
      <c r="D2" s="11" t="s">
        <v>6</v>
      </c>
      <c r="E2" s="11"/>
      <c r="F2" s="11"/>
      <c r="G2" s="11"/>
      <c r="H2" s="11" t="s">
        <v>7</v>
      </c>
      <c r="I2" s="11"/>
      <c r="J2" s="11"/>
      <c r="K2" s="11"/>
      <c r="L2" s="11" t="s">
        <v>4</v>
      </c>
      <c r="M2" s="11"/>
      <c r="N2" s="11"/>
      <c r="O2" s="11"/>
      <c r="P2" s="11" t="s">
        <v>8</v>
      </c>
      <c r="Q2" s="11"/>
      <c r="R2" s="11"/>
      <c r="S2" s="11"/>
      <c r="T2" s="11" t="s">
        <v>9</v>
      </c>
      <c r="U2" s="11"/>
      <c r="V2" s="11"/>
      <c r="W2" s="11"/>
    </row>
    <row r="3" customFormat="false" ht="36" hidden="false" customHeight="true" outlineLevel="0" collapsed="false">
      <c r="A3" s="5" t="s">
        <v>643</v>
      </c>
      <c r="B3" s="5" t="s">
        <v>814</v>
      </c>
      <c r="C3" s="5" t="s">
        <v>813</v>
      </c>
      <c r="D3" s="5" t="s">
        <v>815</v>
      </c>
      <c r="E3" s="5" t="s">
        <v>816</v>
      </c>
      <c r="F3" s="5" t="s">
        <v>817</v>
      </c>
      <c r="G3" s="5" t="s">
        <v>818</v>
      </c>
      <c r="H3" s="5" t="s">
        <v>815</v>
      </c>
      <c r="I3" s="5" t="s">
        <v>816</v>
      </c>
      <c r="J3" s="5" t="s">
        <v>817</v>
      </c>
      <c r="K3" s="5" t="s">
        <v>818</v>
      </c>
      <c r="L3" s="5" t="s">
        <v>815</v>
      </c>
      <c r="M3" s="5" t="s">
        <v>816</v>
      </c>
      <c r="N3" s="5" t="s">
        <v>817</v>
      </c>
      <c r="O3" s="5" t="s">
        <v>818</v>
      </c>
      <c r="P3" s="5" t="s">
        <v>815</v>
      </c>
      <c r="Q3" s="5" t="s">
        <v>816</v>
      </c>
      <c r="R3" s="5" t="s">
        <v>817</v>
      </c>
      <c r="S3" s="5" t="s">
        <v>818</v>
      </c>
      <c r="T3" s="5" t="s">
        <v>815</v>
      </c>
      <c r="U3" s="5" t="s">
        <v>816</v>
      </c>
      <c r="V3" s="5" t="s">
        <v>817</v>
      </c>
      <c r="W3" s="5" t="s">
        <v>818</v>
      </c>
    </row>
    <row r="4" customFormat="false" ht="15" hidden="false" customHeight="true" outlineLevel="0" collapsed="false">
      <c r="A4" s="40" t="s">
        <v>819</v>
      </c>
      <c r="B4" s="41" t="n">
        <v>16.21</v>
      </c>
      <c r="C4" s="7" t="n">
        <v>41.9</v>
      </c>
      <c r="D4" s="7" t="n">
        <v>2075.6</v>
      </c>
      <c r="E4" s="7" t="n">
        <v>33</v>
      </c>
      <c r="F4" s="16" t="n">
        <v>69</v>
      </c>
      <c r="G4" s="16" t="s">
        <v>820</v>
      </c>
      <c r="H4" s="7" t="n">
        <v>2391.9</v>
      </c>
      <c r="I4" s="7" t="n">
        <v>78.3</v>
      </c>
      <c r="J4" s="16" t="n">
        <v>69</v>
      </c>
      <c r="K4" s="16" t="s">
        <v>820</v>
      </c>
      <c r="L4" s="7" t="n">
        <v>2120.1</v>
      </c>
      <c r="M4" s="7" t="n">
        <v>19.6</v>
      </c>
      <c r="N4" s="16" t="n">
        <v>69</v>
      </c>
      <c r="O4" s="16" t="s">
        <v>820</v>
      </c>
      <c r="P4" s="7" t="n">
        <v>2411.2</v>
      </c>
      <c r="Q4" s="7" t="n">
        <v>59.8</v>
      </c>
      <c r="R4" s="16" t="n">
        <v>69</v>
      </c>
      <c r="S4" s="16" t="s">
        <v>820</v>
      </c>
      <c r="T4" s="7" t="n">
        <v>2398.4</v>
      </c>
      <c r="U4" s="7" t="n">
        <v>42</v>
      </c>
      <c r="V4" s="16" t="n">
        <v>69</v>
      </c>
      <c r="W4" s="16" t="s">
        <v>820</v>
      </c>
    </row>
    <row r="5" customFormat="false" ht="15" hidden="false" customHeight="true" outlineLevel="0" collapsed="false">
      <c r="A5" s="42" t="s">
        <v>821</v>
      </c>
      <c r="B5" s="43" t="n">
        <v>8.2</v>
      </c>
      <c r="C5" s="9" t="n">
        <v>35.4</v>
      </c>
      <c r="D5" s="13" t="n">
        <v>2192.9</v>
      </c>
      <c r="E5" s="13" t="n">
        <v>95.4</v>
      </c>
      <c r="F5" s="14" t="n">
        <v>68</v>
      </c>
      <c r="G5" s="14" t="n">
        <v>4</v>
      </c>
      <c r="H5" s="13" t="n">
        <v>2754.6</v>
      </c>
      <c r="I5" s="13" t="n">
        <v>84.4</v>
      </c>
      <c r="J5" s="14" t="n">
        <v>66</v>
      </c>
      <c r="K5" s="14" t="n">
        <v>4</v>
      </c>
      <c r="L5" s="13" t="n">
        <v>2222.8</v>
      </c>
      <c r="M5" s="13" t="n">
        <v>119</v>
      </c>
      <c r="N5" s="14" t="n">
        <v>71</v>
      </c>
      <c r="O5" s="14" t="n">
        <v>4</v>
      </c>
      <c r="P5" s="13" t="n">
        <v>2795.7</v>
      </c>
      <c r="Q5" s="13" t="n">
        <v>83.3</v>
      </c>
      <c r="R5" s="14" t="n">
        <v>66</v>
      </c>
      <c r="S5" s="14" t="n">
        <v>4</v>
      </c>
      <c r="T5" s="13" t="n">
        <v>2779.8</v>
      </c>
      <c r="U5" s="13" t="n">
        <v>81.6</v>
      </c>
      <c r="V5" s="14" t="n">
        <v>66</v>
      </c>
      <c r="W5" s="14" t="n">
        <v>4</v>
      </c>
    </row>
    <row r="6" customFormat="false" ht="15" hidden="false" customHeight="true" outlineLevel="0" collapsed="false">
      <c r="A6" s="40" t="s">
        <v>822</v>
      </c>
      <c r="B6" s="41" t="n">
        <v>58.42</v>
      </c>
      <c r="C6" s="7" t="n">
        <v>31.8</v>
      </c>
      <c r="D6" s="7" t="n">
        <v>1366.7</v>
      </c>
      <c r="E6" s="7" t="n">
        <v>18.7</v>
      </c>
      <c r="F6" s="16" t="n">
        <v>63</v>
      </c>
      <c r="G6" s="14" t="n">
        <v>1</v>
      </c>
      <c r="H6" s="7" t="n">
        <v>2097.8</v>
      </c>
      <c r="I6" s="7" t="n">
        <v>93.8</v>
      </c>
      <c r="J6" s="16" t="n">
        <v>63</v>
      </c>
      <c r="K6" s="14" t="n">
        <v>1</v>
      </c>
      <c r="L6" s="7" t="n">
        <v>1554.2</v>
      </c>
      <c r="M6" s="7" t="n">
        <v>21.8</v>
      </c>
      <c r="N6" s="16" t="n">
        <v>64</v>
      </c>
      <c r="O6" s="14" t="n">
        <v>1</v>
      </c>
      <c r="P6" s="7" t="n">
        <v>2201.4</v>
      </c>
      <c r="Q6" s="7" t="n">
        <v>78</v>
      </c>
      <c r="R6" s="16" t="n">
        <v>62</v>
      </c>
      <c r="S6" s="14" t="n">
        <v>1</v>
      </c>
      <c r="T6" s="7" t="n">
        <v>2113.9</v>
      </c>
      <c r="U6" s="7" t="n">
        <v>62</v>
      </c>
      <c r="V6" s="16" t="n">
        <v>61</v>
      </c>
      <c r="W6" s="14" t="n">
        <v>1</v>
      </c>
    </row>
    <row r="7" customFormat="false" ht="15" hidden="false" customHeight="true" outlineLevel="0" collapsed="false">
      <c r="A7" s="42" t="s">
        <v>823</v>
      </c>
      <c r="B7" s="43" t="n">
        <v>87.56</v>
      </c>
      <c r="C7" s="9" t="n">
        <v>27.7</v>
      </c>
      <c r="D7" s="13" t="n">
        <v>1230.1</v>
      </c>
      <c r="E7" s="13" t="n">
        <v>201.2</v>
      </c>
      <c r="F7" s="14" t="n">
        <v>52</v>
      </c>
      <c r="G7" s="14" t="n">
        <v>8</v>
      </c>
      <c r="H7" s="13" t="n">
        <v>2035.3</v>
      </c>
      <c r="I7" s="13" t="n">
        <v>97.6</v>
      </c>
      <c r="J7" s="14" t="n">
        <v>52</v>
      </c>
      <c r="K7" s="14" t="n">
        <v>8</v>
      </c>
      <c r="L7" s="13" t="n">
        <v>1326.2</v>
      </c>
      <c r="M7" s="13" t="n">
        <v>264.5</v>
      </c>
      <c r="N7" s="14" t="n">
        <v>53</v>
      </c>
      <c r="O7" s="14" t="n">
        <v>8</v>
      </c>
      <c r="P7" s="13" t="n">
        <v>2137.2</v>
      </c>
      <c r="Q7" s="13" t="n">
        <v>67</v>
      </c>
      <c r="R7" s="14" t="n">
        <v>51</v>
      </c>
      <c r="S7" s="14" t="n">
        <v>8</v>
      </c>
      <c r="T7" s="13" t="n">
        <v>2069.5</v>
      </c>
      <c r="U7" s="13" t="n">
        <v>86.7</v>
      </c>
      <c r="V7" s="14" t="n">
        <v>51</v>
      </c>
      <c r="W7" s="14" t="n">
        <v>8</v>
      </c>
    </row>
    <row r="8" customFormat="false" ht="15" hidden="false" customHeight="true" outlineLevel="0" collapsed="false">
      <c r="A8" s="40" t="s">
        <v>824</v>
      </c>
      <c r="B8" s="41" t="n">
        <v>100</v>
      </c>
      <c r="C8" s="7" t="n">
        <v>18.2</v>
      </c>
      <c r="D8" s="7" t="n">
        <v>1185</v>
      </c>
      <c r="E8" s="7" t="n">
        <v>225.8</v>
      </c>
      <c r="F8" s="16" t="n">
        <v>36</v>
      </c>
      <c r="G8" s="16" t="s">
        <v>820</v>
      </c>
      <c r="H8" s="7" t="n">
        <v>2004.8</v>
      </c>
      <c r="I8" s="7" t="n">
        <v>76.1</v>
      </c>
      <c r="J8" s="16" t="n">
        <v>36</v>
      </c>
      <c r="K8" s="16" t="s">
        <v>820</v>
      </c>
      <c r="L8" s="7" t="n">
        <v>1272.2</v>
      </c>
      <c r="M8" s="7" t="n">
        <v>215.7</v>
      </c>
      <c r="N8" s="16" t="n">
        <v>37</v>
      </c>
      <c r="O8" s="16" t="s">
        <v>820</v>
      </c>
      <c r="P8" s="7" t="n">
        <v>2109.1</v>
      </c>
      <c r="Q8" s="7" t="n">
        <v>110.9</v>
      </c>
      <c r="R8" s="16" t="n">
        <v>36</v>
      </c>
      <c r="S8" s="16" t="s">
        <v>820</v>
      </c>
      <c r="T8" s="7" t="n">
        <v>2034.7</v>
      </c>
      <c r="U8" s="7" t="n">
        <v>91.7</v>
      </c>
      <c r="V8" s="16" t="n">
        <v>36</v>
      </c>
      <c r="W8" s="16" t="s">
        <v>820</v>
      </c>
    </row>
    <row r="10" customFormat="false" ht="15" hidden="false" customHeight="true" outlineLevel="0" collapsed="false">
      <c r="A10" s="44" t="s">
        <v>825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</row>
  </sheetData>
  <mergeCells count="7">
    <mergeCell ref="A1:S1"/>
    <mergeCell ref="D2:G2"/>
    <mergeCell ref="H2:K2"/>
    <mergeCell ref="L2:O2"/>
    <mergeCell ref="P2:S2"/>
    <mergeCell ref="T2:W2"/>
    <mergeCell ref="A10:S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5" min="4" style="1" width="12"/>
  </cols>
  <sheetData>
    <row r="1" customFormat="false" ht="21.75" hidden="false" customHeight="true" outlineLevel="0" collapsed="false">
      <c r="A1" s="4" t="s">
        <v>826</v>
      </c>
      <c r="B1" s="4"/>
      <c r="C1" s="4"/>
      <c r="D1" s="4"/>
      <c r="E1" s="4"/>
    </row>
    <row r="2" customFormat="false" ht="1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11</v>
      </c>
    </row>
    <row r="3" customFormat="false" ht="15" hidden="false" customHeight="true" outlineLevel="0" collapsed="false">
      <c r="A3" s="6" t="s">
        <v>322</v>
      </c>
      <c r="B3" s="6" t="s">
        <v>5</v>
      </c>
      <c r="C3" s="7"/>
      <c r="D3" s="7" t="n">
        <v>58.8</v>
      </c>
      <c r="E3" s="7" t="n">
        <v>58.8</v>
      </c>
    </row>
    <row r="4" customFormat="false" ht="15" hidden="false" customHeight="true" outlineLevel="0" collapsed="false">
      <c r="A4" s="8" t="s">
        <v>827</v>
      </c>
      <c r="B4" s="8" t="s">
        <v>4</v>
      </c>
      <c r="C4" s="9" t="n">
        <v>1513</v>
      </c>
      <c r="D4" s="9" t="n">
        <v>85</v>
      </c>
      <c r="E4" s="9" t="n">
        <v>58.8</v>
      </c>
    </row>
    <row r="5" customFormat="false" ht="15" hidden="false" customHeight="true" outlineLevel="0" collapsed="false">
      <c r="A5" s="6" t="s">
        <v>828</v>
      </c>
      <c r="B5" s="6" t="s">
        <v>6</v>
      </c>
      <c r="C5" s="7" t="n">
        <v>1415</v>
      </c>
      <c r="D5" s="7" t="n">
        <v>86</v>
      </c>
      <c r="E5" s="7" t="n">
        <v>58.8</v>
      </c>
    </row>
    <row r="6" customFormat="false" ht="15" hidden="false" customHeight="true" outlineLevel="0" collapsed="false">
      <c r="A6" s="8" t="s">
        <v>829</v>
      </c>
      <c r="B6" s="8" t="s">
        <v>7</v>
      </c>
      <c r="C6" s="9" t="n">
        <v>1605</v>
      </c>
      <c r="D6" s="9" t="n">
        <v>100</v>
      </c>
      <c r="E6" s="9" t="n">
        <v>58.8</v>
      </c>
    </row>
    <row r="7" customFormat="false" ht="15" hidden="false" customHeight="true" outlineLevel="0" collapsed="false">
      <c r="A7" s="6" t="s">
        <v>829</v>
      </c>
      <c r="B7" s="6" t="s">
        <v>8</v>
      </c>
      <c r="C7" s="7" t="n">
        <v>1712</v>
      </c>
      <c r="D7" s="7" t="n">
        <v>100</v>
      </c>
      <c r="E7" s="7" t="n">
        <v>58.8</v>
      </c>
    </row>
    <row r="8" customFormat="false" ht="15" hidden="false" customHeight="true" outlineLevel="0" collapsed="false">
      <c r="A8" s="8" t="s">
        <v>323</v>
      </c>
      <c r="B8" s="8" t="s">
        <v>4</v>
      </c>
      <c r="C8" s="9" t="n">
        <v>1535</v>
      </c>
      <c r="D8" s="9" t="n">
        <v>84</v>
      </c>
      <c r="E8" s="9" t="n">
        <v>58.6</v>
      </c>
    </row>
    <row r="9" customFormat="false" ht="15" hidden="false" customHeight="true" outlineLevel="0" collapsed="false">
      <c r="A9" s="6" t="s">
        <v>323</v>
      </c>
      <c r="B9" s="6" t="s">
        <v>5</v>
      </c>
      <c r="C9" s="7"/>
      <c r="D9" s="7" t="n">
        <v>58.6</v>
      </c>
      <c r="E9" s="7" t="n">
        <v>58.6</v>
      </c>
    </row>
    <row r="10" customFormat="false" ht="15" hidden="false" customHeight="true" outlineLevel="0" collapsed="false">
      <c r="A10" s="8" t="s">
        <v>830</v>
      </c>
      <c r="B10" s="8" t="s">
        <v>6</v>
      </c>
      <c r="C10" s="9" t="n">
        <v>1382</v>
      </c>
      <c r="D10" s="9" t="n">
        <v>88</v>
      </c>
      <c r="E10" s="9" t="n">
        <v>58.6</v>
      </c>
    </row>
    <row r="11" customFormat="false" ht="15" hidden="false" customHeight="true" outlineLevel="0" collapsed="false">
      <c r="A11" s="6" t="s">
        <v>831</v>
      </c>
      <c r="B11" s="6" t="s">
        <v>8</v>
      </c>
      <c r="C11" s="7" t="n">
        <v>1968</v>
      </c>
      <c r="D11" s="7" t="n">
        <v>89</v>
      </c>
      <c r="E11" s="7" t="n">
        <v>58.6</v>
      </c>
    </row>
    <row r="12" customFormat="false" ht="15" hidden="false" customHeight="true" outlineLevel="0" collapsed="false">
      <c r="A12" s="8" t="s">
        <v>831</v>
      </c>
      <c r="B12" s="8" t="s">
        <v>7</v>
      </c>
      <c r="C12" s="9" t="n">
        <v>1796</v>
      </c>
      <c r="D12" s="9" t="n">
        <v>94</v>
      </c>
      <c r="E12" s="9" t="n">
        <v>58.6</v>
      </c>
    </row>
    <row r="13" customFormat="false" ht="15" hidden="false" customHeight="true" outlineLevel="0" collapsed="false">
      <c r="A13" s="6" t="s">
        <v>832</v>
      </c>
      <c r="B13" s="6" t="s">
        <v>9</v>
      </c>
      <c r="C13" s="7" t="n">
        <v>1815</v>
      </c>
      <c r="D13" s="7" t="n">
        <v>100</v>
      </c>
      <c r="E13" s="7" t="n">
        <v>58.6</v>
      </c>
    </row>
    <row r="14" customFormat="false" ht="15" hidden="false" customHeight="true" outlineLevel="0" collapsed="false">
      <c r="A14" s="8" t="s">
        <v>324</v>
      </c>
      <c r="B14" s="8" t="s">
        <v>5</v>
      </c>
      <c r="C14" s="9"/>
      <c r="D14" s="9" t="n">
        <v>58.6</v>
      </c>
      <c r="E14" s="9" t="n">
        <v>58.6</v>
      </c>
    </row>
    <row r="15" customFormat="false" ht="15" hidden="false" customHeight="true" outlineLevel="0" collapsed="false">
      <c r="A15" s="6" t="s">
        <v>833</v>
      </c>
      <c r="B15" s="6" t="s">
        <v>6</v>
      </c>
      <c r="C15" s="7" t="n">
        <v>1376</v>
      </c>
      <c r="D15" s="7" t="n">
        <v>89</v>
      </c>
      <c r="E15" s="7" t="n">
        <v>58.6</v>
      </c>
    </row>
    <row r="16" customFormat="false" ht="15" hidden="false" customHeight="true" outlineLevel="0" collapsed="false">
      <c r="A16" s="8" t="s">
        <v>833</v>
      </c>
      <c r="B16" s="8" t="s">
        <v>7</v>
      </c>
      <c r="C16" s="9" t="n">
        <v>1887</v>
      </c>
      <c r="D16" s="9" t="n">
        <v>85</v>
      </c>
      <c r="E16" s="9" t="n">
        <v>58.6</v>
      </c>
    </row>
    <row r="17" customFormat="false" ht="15" hidden="false" customHeight="true" outlineLevel="0" collapsed="false">
      <c r="A17" s="6" t="s">
        <v>833</v>
      </c>
      <c r="B17" s="6" t="s">
        <v>4</v>
      </c>
      <c r="C17" s="7" t="n">
        <v>1584</v>
      </c>
      <c r="D17" s="7" t="n">
        <v>81</v>
      </c>
      <c r="E17" s="7" t="n">
        <v>58.6</v>
      </c>
    </row>
    <row r="18" customFormat="false" ht="15" hidden="false" customHeight="true" outlineLevel="0" collapsed="false">
      <c r="A18" s="8" t="s">
        <v>834</v>
      </c>
      <c r="B18" s="8" t="s">
        <v>8</v>
      </c>
      <c r="C18" s="9" t="n">
        <v>2064</v>
      </c>
      <c r="D18" s="9" t="n">
        <v>77</v>
      </c>
      <c r="E18" s="9" t="n">
        <v>58.6</v>
      </c>
    </row>
    <row r="19" customFormat="false" ht="15" hidden="false" customHeight="true" outlineLevel="0" collapsed="false">
      <c r="A19" s="6" t="s">
        <v>834</v>
      </c>
      <c r="B19" s="6" t="s">
        <v>9</v>
      </c>
      <c r="C19" s="7" t="n">
        <v>1922</v>
      </c>
      <c r="D19" s="7" t="n">
        <v>100</v>
      </c>
      <c r="E19" s="7" t="n">
        <v>58.6</v>
      </c>
    </row>
    <row r="20" customFormat="false" ht="15" hidden="false" customHeight="true" outlineLevel="0" collapsed="false">
      <c r="A20" s="8" t="s">
        <v>325</v>
      </c>
      <c r="B20" s="8" t="s">
        <v>5</v>
      </c>
      <c r="C20" s="9"/>
      <c r="D20" s="9" t="n">
        <v>58.6</v>
      </c>
      <c r="E20" s="9" t="n">
        <v>58.6</v>
      </c>
    </row>
    <row r="21" customFormat="false" ht="15" hidden="false" customHeight="true" outlineLevel="0" collapsed="false">
      <c r="A21" s="6" t="s">
        <v>325</v>
      </c>
      <c r="B21" s="6" t="s">
        <v>4</v>
      </c>
      <c r="C21" s="7" t="n">
        <v>1565</v>
      </c>
      <c r="D21" s="7" t="n">
        <v>82</v>
      </c>
      <c r="E21" s="7" t="n">
        <v>58.6</v>
      </c>
    </row>
    <row r="22" customFormat="false" ht="15" hidden="false" customHeight="true" outlineLevel="0" collapsed="false">
      <c r="A22" s="8" t="s">
        <v>835</v>
      </c>
      <c r="B22" s="8" t="s">
        <v>8</v>
      </c>
      <c r="C22" s="9" t="n">
        <v>2111</v>
      </c>
      <c r="D22" s="9" t="n">
        <v>72</v>
      </c>
      <c r="E22" s="9" t="n">
        <v>58.6</v>
      </c>
    </row>
    <row r="23" customFormat="false" ht="15" hidden="false" customHeight="true" outlineLevel="0" collapsed="false">
      <c r="A23" s="6" t="s">
        <v>835</v>
      </c>
      <c r="B23" s="6" t="s">
        <v>9</v>
      </c>
      <c r="C23" s="7" t="n">
        <v>1971</v>
      </c>
      <c r="D23" s="7" t="n">
        <v>97</v>
      </c>
      <c r="E23" s="7" t="n">
        <v>58.6</v>
      </c>
    </row>
    <row r="24" customFormat="false" ht="15" hidden="false" customHeight="true" outlineLevel="0" collapsed="false">
      <c r="A24" s="8" t="s">
        <v>835</v>
      </c>
      <c r="B24" s="8" t="s">
        <v>6</v>
      </c>
      <c r="C24" s="9" t="n">
        <v>1376</v>
      </c>
      <c r="D24" s="9" t="n">
        <v>89</v>
      </c>
      <c r="E24" s="9" t="n">
        <v>58.6</v>
      </c>
    </row>
    <row r="25" customFormat="false" ht="15" hidden="false" customHeight="true" outlineLevel="0" collapsed="false">
      <c r="A25" s="6" t="s">
        <v>835</v>
      </c>
      <c r="B25" s="6" t="s">
        <v>7</v>
      </c>
      <c r="C25" s="7" t="n">
        <v>1936</v>
      </c>
      <c r="D25" s="7" t="n">
        <v>81</v>
      </c>
      <c r="E25" s="7" t="n">
        <v>58.6</v>
      </c>
    </row>
    <row r="26" customFormat="false" ht="15" hidden="false" customHeight="true" outlineLevel="0" collapsed="false">
      <c r="A26" s="8" t="s">
        <v>326</v>
      </c>
      <c r="B26" s="8" t="s">
        <v>4</v>
      </c>
      <c r="C26" s="9" t="n">
        <v>1535</v>
      </c>
      <c r="D26" s="9" t="n">
        <v>84</v>
      </c>
      <c r="E26" s="9" t="n">
        <v>58.6</v>
      </c>
    </row>
    <row r="27" customFormat="false" ht="15" hidden="false" customHeight="true" outlineLevel="0" collapsed="false">
      <c r="A27" s="6" t="s">
        <v>326</v>
      </c>
      <c r="B27" s="6" t="s">
        <v>5</v>
      </c>
      <c r="C27" s="7"/>
      <c r="D27" s="7" t="n">
        <v>58.6</v>
      </c>
      <c r="E27" s="7" t="n">
        <v>58.6</v>
      </c>
    </row>
    <row r="28" customFormat="false" ht="15" hidden="false" customHeight="true" outlineLevel="0" collapsed="false">
      <c r="A28" s="8" t="s">
        <v>836</v>
      </c>
      <c r="B28" s="8" t="s">
        <v>6</v>
      </c>
      <c r="C28" s="9" t="n">
        <v>1376</v>
      </c>
      <c r="D28" s="9" t="n">
        <v>89</v>
      </c>
      <c r="E28" s="9" t="n">
        <v>58.6</v>
      </c>
    </row>
    <row r="29" customFormat="false" ht="15" hidden="false" customHeight="true" outlineLevel="0" collapsed="false">
      <c r="A29" s="6" t="s">
        <v>836</v>
      </c>
      <c r="B29" s="6" t="s">
        <v>7</v>
      </c>
      <c r="C29" s="7" t="n">
        <v>1966</v>
      </c>
      <c r="D29" s="7" t="n">
        <v>78</v>
      </c>
      <c r="E29" s="7" t="n">
        <v>58.6</v>
      </c>
    </row>
    <row r="30" customFormat="false" ht="15" hidden="false" customHeight="true" outlineLevel="0" collapsed="false">
      <c r="A30" s="8" t="s">
        <v>837</v>
      </c>
      <c r="B30" s="8" t="s">
        <v>8</v>
      </c>
      <c r="C30" s="9" t="n">
        <v>2134</v>
      </c>
      <c r="D30" s="9" t="n">
        <v>69</v>
      </c>
      <c r="E30" s="9" t="n">
        <v>58.6</v>
      </c>
    </row>
    <row r="31" customFormat="false" ht="15" hidden="false" customHeight="true" outlineLevel="0" collapsed="false">
      <c r="A31" s="6" t="s">
        <v>837</v>
      </c>
      <c r="B31" s="6" t="s">
        <v>9</v>
      </c>
      <c r="C31" s="7" t="n">
        <v>2002</v>
      </c>
      <c r="D31" s="7" t="n">
        <v>91</v>
      </c>
      <c r="E31" s="7" t="n">
        <v>58.6</v>
      </c>
    </row>
    <row r="32" customFormat="false" ht="15" hidden="false" customHeight="true" outlineLevel="0" collapsed="false">
      <c r="A32" s="8" t="s">
        <v>327</v>
      </c>
      <c r="B32" s="8" t="s">
        <v>5</v>
      </c>
      <c r="C32" s="9"/>
      <c r="D32" s="9" t="n">
        <v>58.6</v>
      </c>
      <c r="E32" s="9" t="n">
        <v>58.6</v>
      </c>
    </row>
    <row r="33" customFormat="false" ht="15" hidden="false" customHeight="true" outlineLevel="0" collapsed="false">
      <c r="A33" s="6" t="s">
        <v>838</v>
      </c>
      <c r="B33" s="6" t="s">
        <v>6</v>
      </c>
      <c r="C33" s="7" t="n">
        <v>1366</v>
      </c>
      <c r="D33" s="7" t="n">
        <v>89</v>
      </c>
      <c r="E33" s="7" t="n">
        <v>58.6</v>
      </c>
    </row>
    <row r="34" customFormat="false" ht="15" hidden="false" customHeight="true" outlineLevel="0" collapsed="false">
      <c r="A34" s="8" t="s">
        <v>838</v>
      </c>
      <c r="B34" s="8" t="s">
        <v>4</v>
      </c>
      <c r="C34" s="9" t="n">
        <v>1535</v>
      </c>
      <c r="D34" s="9" t="n">
        <v>84</v>
      </c>
      <c r="E34" s="9" t="n">
        <v>58.6</v>
      </c>
    </row>
    <row r="35" customFormat="false" ht="15" hidden="false" customHeight="true" outlineLevel="0" collapsed="false">
      <c r="A35" s="6" t="s">
        <v>839</v>
      </c>
      <c r="B35" s="6" t="s">
        <v>9</v>
      </c>
      <c r="C35" s="7" t="n">
        <v>2021</v>
      </c>
      <c r="D35" s="7" t="n">
        <v>88</v>
      </c>
      <c r="E35" s="7" t="n">
        <v>58.6</v>
      </c>
    </row>
    <row r="36" customFormat="false" ht="15" hidden="false" customHeight="true" outlineLevel="0" collapsed="false">
      <c r="A36" s="8" t="s">
        <v>839</v>
      </c>
      <c r="B36" s="8" t="s">
        <v>8</v>
      </c>
      <c r="C36" s="9" t="n">
        <v>2146</v>
      </c>
      <c r="D36" s="9" t="n">
        <v>67</v>
      </c>
      <c r="E36" s="9" t="n">
        <v>58.6</v>
      </c>
    </row>
    <row r="37" customFormat="false" ht="15" hidden="false" customHeight="true" outlineLevel="0" collapsed="false">
      <c r="A37" s="6" t="s">
        <v>839</v>
      </c>
      <c r="B37" s="6" t="s">
        <v>7</v>
      </c>
      <c r="C37" s="7" t="n">
        <v>1986</v>
      </c>
      <c r="D37" s="7" t="n">
        <v>76</v>
      </c>
      <c r="E37" s="7" t="n">
        <v>58.6</v>
      </c>
    </row>
    <row r="38" customFormat="false" ht="15" hidden="false" customHeight="true" outlineLevel="0" collapsed="false">
      <c r="A38" s="8" t="s">
        <v>328</v>
      </c>
      <c r="B38" s="8" t="s">
        <v>6</v>
      </c>
      <c r="C38" s="9" t="n">
        <v>1370</v>
      </c>
      <c r="D38" s="9" t="n">
        <v>89</v>
      </c>
      <c r="E38" s="9" t="n">
        <v>58.4</v>
      </c>
    </row>
    <row r="39" customFormat="false" ht="15" hidden="false" customHeight="true" outlineLevel="0" collapsed="false">
      <c r="A39" s="6" t="s">
        <v>328</v>
      </c>
      <c r="B39" s="6" t="s">
        <v>4</v>
      </c>
      <c r="C39" s="7" t="n">
        <v>1579</v>
      </c>
      <c r="D39" s="7" t="n">
        <v>81</v>
      </c>
      <c r="E39" s="7" t="n">
        <v>58.4</v>
      </c>
    </row>
    <row r="40" customFormat="false" ht="15" hidden="false" customHeight="true" outlineLevel="0" collapsed="false">
      <c r="A40" s="8" t="s">
        <v>328</v>
      </c>
      <c r="B40" s="8" t="s">
        <v>5</v>
      </c>
      <c r="C40" s="9"/>
      <c r="D40" s="9" t="n">
        <v>58.4</v>
      </c>
      <c r="E40" s="9" t="n">
        <v>58.4</v>
      </c>
    </row>
    <row r="41" customFormat="false" ht="15" hidden="false" customHeight="true" outlineLevel="0" collapsed="false">
      <c r="A41" s="6" t="s">
        <v>840</v>
      </c>
      <c r="B41" s="6" t="s">
        <v>7</v>
      </c>
      <c r="C41" s="7" t="n">
        <v>2007</v>
      </c>
      <c r="D41" s="7" t="n">
        <v>74</v>
      </c>
      <c r="E41" s="7" t="n">
        <v>58.4</v>
      </c>
    </row>
    <row r="42" customFormat="false" ht="15" hidden="false" customHeight="true" outlineLevel="0" collapsed="false">
      <c r="A42" s="8" t="s">
        <v>840</v>
      </c>
      <c r="B42" s="8" t="s">
        <v>8</v>
      </c>
      <c r="C42" s="9" t="n">
        <v>2160</v>
      </c>
      <c r="D42" s="9" t="n">
        <v>66</v>
      </c>
      <c r="E42" s="9" t="n">
        <v>58.4</v>
      </c>
    </row>
    <row r="43" customFormat="false" ht="15" hidden="false" customHeight="true" outlineLevel="0" collapsed="false">
      <c r="A43" s="6" t="s">
        <v>840</v>
      </c>
      <c r="B43" s="6" t="s">
        <v>9</v>
      </c>
      <c r="C43" s="7" t="n">
        <v>2038</v>
      </c>
      <c r="D43" s="7" t="n">
        <v>85</v>
      </c>
      <c r="E43" s="7" t="n">
        <v>58.4</v>
      </c>
    </row>
    <row r="44" customFormat="false" ht="15" hidden="false" customHeight="true" outlineLevel="0" collapsed="false">
      <c r="A44" s="8" t="s">
        <v>329</v>
      </c>
      <c r="B44" s="8" t="s">
        <v>4</v>
      </c>
      <c r="C44" s="9" t="n">
        <v>1557</v>
      </c>
      <c r="D44" s="9" t="n">
        <v>82</v>
      </c>
      <c r="E44" s="9" t="n">
        <v>58.4</v>
      </c>
    </row>
    <row r="45" customFormat="false" ht="15" hidden="false" customHeight="true" outlineLevel="0" collapsed="false">
      <c r="A45" s="6" t="s">
        <v>329</v>
      </c>
      <c r="B45" s="6" t="s">
        <v>5</v>
      </c>
      <c r="C45" s="7"/>
      <c r="D45" s="7" t="n">
        <v>58.4</v>
      </c>
      <c r="E45" s="7" t="n">
        <v>58.4</v>
      </c>
    </row>
    <row r="46" customFormat="false" ht="15" hidden="false" customHeight="true" outlineLevel="0" collapsed="false">
      <c r="A46" s="8" t="s">
        <v>841</v>
      </c>
      <c r="B46" s="8" t="s">
        <v>7</v>
      </c>
      <c r="C46" s="9" t="n">
        <v>2027</v>
      </c>
      <c r="D46" s="9" t="n">
        <v>72</v>
      </c>
      <c r="E46" s="9" t="n">
        <v>58.4</v>
      </c>
    </row>
    <row r="47" customFormat="false" ht="15" hidden="false" customHeight="true" outlineLevel="0" collapsed="false">
      <c r="A47" s="6" t="s">
        <v>841</v>
      </c>
      <c r="B47" s="6" t="s">
        <v>6</v>
      </c>
      <c r="C47" s="7" t="n">
        <v>1372</v>
      </c>
      <c r="D47" s="7" t="n">
        <v>89</v>
      </c>
      <c r="E47" s="7" t="n">
        <v>58.4</v>
      </c>
    </row>
    <row r="48" customFormat="false" ht="15" hidden="false" customHeight="true" outlineLevel="0" collapsed="false">
      <c r="A48" s="8" t="s">
        <v>330</v>
      </c>
      <c r="B48" s="8" t="s">
        <v>5</v>
      </c>
      <c r="C48" s="9"/>
      <c r="D48" s="9" t="n">
        <v>58.6</v>
      </c>
      <c r="E48" s="9" t="n">
        <v>58.6</v>
      </c>
    </row>
    <row r="49" customFormat="false" ht="15" hidden="false" customHeight="true" outlineLevel="0" collapsed="false">
      <c r="A49" s="6" t="s">
        <v>330</v>
      </c>
      <c r="B49" s="6" t="s">
        <v>4</v>
      </c>
      <c r="C49" s="7" t="n">
        <v>1567</v>
      </c>
      <c r="D49" s="7" t="n">
        <v>82</v>
      </c>
      <c r="E49" s="7" t="n">
        <v>58.6</v>
      </c>
    </row>
    <row r="50" customFormat="false" ht="15" hidden="false" customHeight="true" outlineLevel="0" collapsed="false">
      <c r="A50" s="8" t="s">
        <v>842</v>
      </c>
      <c r="B50" s="8" t="s">
        <v>6</v>
      </c>
      <c r="C50" s="9" t="n">
        <v>1367</v>
      </c>
      <c r="D50" s="9" t="n">
        <v>89</v>
      </c>
      <c r="E50" s="9" t="n">
        <v>58.6</v>
      </c>
    </row>
    <row r="51" customFormat="false" ht="15" hidden="false" customHeight="true" outlineLevel="0" collapsed="false">
      <c r="A51" s="6" t="s">
        <v>842</v>
      </c>
      <c r="B51" s="6" t="s">
        <v>7</v>
      </c>
      <c r="C51" s="7" t="n">
        <v>2037</v>
      </c>
      <c r="D51" s="7" t="n">
        <v>71</v>
      </c>
      <c r="E51" s="7" t="n">
        <v>58.6</v>
      </c>
    </row>
    <row r="52" customFormat="false" ht="15" hidden="false" customHeight="true" outlineLevel="0" collapsed="false">
      <c r="A52" s="8" t="s">
        <v>843</v>
      </c>
      <c r="B52" s="8" t="s">
        <v>8</v>
      </c>
      <c r="C52" s="9" t="n">
        <v>2174</v>
      </c>
      <c r="D52" s="9" t="n">
        <v>64</v>
      </c>
      <c r="E52" s="9" t="n">
        <v>58.6</v>
      </c>
    </row>
    <row r="53" customFormat="false" ht="15" hidden="false" customHeight="true" outlineLevel="0" collapsed="false">
      <c r="A53" s="6" t="s">
        <v>844</v>
      </c>
      <c r="B53" s="6" t="s">
        <v>9</v>
      </c>
      <c r="C53" s="7" t="n">
        <v>2065</v>
      </c>
      <c r="D53" s="7" t="n">
        <v>80</v>
      </c>
      <c r="E53" s="7" t="n">
        <v>58.6</v>
      </c>
    </row>
    <row r="54" customFormat="false" ht="15" hidden="false" customHeight="true" outlineLevel="0" collapsed="false">
      <c r="A54" s="8" t="s">
        <v>331</v>
      </c>
      <c r="B54" s="8" t="s">
        <v>4</v>
      </c>
      <c r="C54" s="9" t="n">
        <v>1534</v>
      </c>
      <c r="D54" s="9" t="n">
        <v>84</v>
      </c>
      <c r="E54" s="9" t="n">
        <v>58.4</v>
      </c>
    </row>
    <row r="55" customFormat="false" ht="15" hidden="false" customHeight="true" outlineLevel="0" collapsed="false">
      <c r="A55" s="6" t="s">
        <v>331</v>
      </c>
      <c r="B55" s="6" t="s">
        <v>5</v>
      </c>
      <c r="C55" s="7"/>
      <c r="D55" s="7" t="n">
        <v>58.4</v>
      </c>
      <c r="E55" s="7" t="n">
        <v>58.4</v>
      </c>
    </row>
    <row r="56" customFormat="false" ht="15" hidden="false" customHeight="true" outlineLevel="0" collapsed="false">
      <c r="A56" s="8" t="s">
        <v>845</v>
      </c>
      <c r="B56" s="8" t="s">
        <v>6</v>
      </c>
      <c r="C56" s="9" t="n">
        <v>1355</v>
      </c>
      <c r="D56" s="9" t="n">
        <v>90</v>
      </c>
      <c r="E56" s="9" t="n">
        <v>58.4</v>
      </c>
    </row>
    <row r="57" customFormat="false" ht="15" hidden="false" customHeight="true" outlineLevel="0" collapsed="false">
      <c r="A57" s="6" t="s">
        <v>845</v>
      </c>
      <c r="B57" s="6" t="s">
        <v>7</v>
      </c>
      <c r="C57" s="7" t="n">
        <v>2054</v>
      </c>
      <c r="D57" s="7" t="n">
        <v>70</v>
      </c>
      <c r="E57" s="7" t="n">
        <v>58.4</v>
      </c>
    </row>
    <row r="58" customFormat="false" ht="15" hidden="false" customHeight="true" outlineLevel="0" collapsed="false">
      <c r="A58" s="8" t="s">
        <v>845</v>
      </c>
      <c r="B58" s="8" t="s">
        <v>8</v>
      </c>
      <c r="C58" s="9" t="n">
        <v>2179</v>
      </c>
      <c r="D58" s="9" t="n">
        <v>64</v>
      </c>
      <c r="E58" s="9" t="n">
        <v>58.4</v>
      </c>
    </row>
    <row r="59" customFormat="false" ht="15" hidden="false" customHeight="true" outlineLevel="0" collapsed="false">
      <c r="A59" s="6" t="s">
        <v>845</v>
      </c>
      <c r="B59" s="6" t="s">
        <v>9</v>
      </c>
      <c r="C59" s="7" t="n">
        <v>2066</v>
      </c>
      <c r="D59" s="7" t="n">
        <v>80</v>
      </c>
      <c r="E59" s="7" t="n">
        <v>58.4</v>
      </c>
    </row>
    <row r="60" customFormat="false" ht="15" hidden="false" customHeight="true" outlineLevel="0" collapsed="false">
      <c r="A60" s="8" t="s">
        <v>332</v>
      </c>
      <c r="B60" s="8" t="s">
        <v>5</v>
      </c>
      <c r="C60" s="9"/>
      <c r="D60" s="9" t="n">
        <v>58.4</v>
      </c>
      <c r="E60" s="9" t="n">
        <v>58.4</v>
      </c>
    </row>
    <row r="61" customFormat="false" ht="15" hidden="false" customHeight="true" outlineLevel="0" collapsed="false">
      <c r="A61" s="6" t="s">
        <v>846</v>
      </c>
      <c r="B61" s="6" t="s">
        <v>4</v>
      </c>
      <c r="C61" s="7" t="n">
        <v>1535</v>
      </c>
      <c r="D61" s="7" t="n">
        <v>84</v>
      </c>
      <c r="E61" s="7" t="n">
        <v>58.4</v>
      </c>
    </row>
    <row r="62" customFormat="false" ht="15" hidden="false" customHeight="true" outlineLevel="0" collapsed="false">
      <c r="A62" s="8" t="s">
        <v>847</v>
      </c>
      <c r="B62" s="8" t="s">
        <v>6</v>
      </c>
      <c r="C62" s="9" t="n">
        <v>1367</v>
      </c>
      <c r="D62" s="9" t="n">
        <v>89</v>
      </c>
      <c r="E62" s="9" t="n">
        <v>58.4</v>
      </c>
    </row>
    <row r="63" customFormat="false" ht="15" hidden="false" customHeight="true" outlineLevel="0" collapsed="false">
      <c r="A63" s="6" t="s">
        <v>848</v>
      </c>
      <c r="B63" s="6" t="s">
        <v>7</v>
      </c>
      <c r="C63" s="7" t="n">
        <v>2064</v>
      </c>
      <c r="D63" s="7" t="n">
        <v>69</v>
      </c>
      <c r="E63" s="7" t="n">
        <v>58.4</v>
      </c>
    </row>
    <row r="64" customFormat="false" ht="15" hidden="false" customHeight="true" outlineLevel="0" collapsed="false">
      <c r="A64" s="8" t="s">
        <v>848</v>
      </c>
      <c r="B64" s="8" t="s">
        <v>8</v>
      </c>
      <c r="C64" s="9" t="n">
        <v>2187</v>
      </c>
      <c r="D64" s="9" t="n">
        <v>63</v>
      </c>
      <c r="E64" s="9" t="n">
        <v>58.4</v>
      </c>
    </row>
    <row r="65" customFormat="false" ht="15" hidden="false" customHeight="true" outlineLevel="0" collapsed="false">
      <c r="A65" s="6" t="s">
        <v>848</v>
      </c>
      <c r="B65" s="6" t="s">
        <v>9</v>
      </c>
      <c r="C65" s="7" t="n">
        <v>2073</v>
      </c>
      <c r="D65" s="7" t="n">
        <v>79</v>
      </c>
      <c r="E65" s="7" t="n">
        <v>58.4</v>
      </c>
    </row>
    <row r="66" customFormat="false" ht="15" hidden="false" customHeight="true" outlineLevel="0" collapsed="false">
      <c r="A66" s="8" t="s">
        <v>333</v>
      </c>
      <c r="B66" s="8" t="s">
        <v>4</v>
      </c>
      <c r="C66" s="9" t="n">
        <v>1584</v>
      </c>
      <c r="D66" s="9" t="n">
        <v>81</v>
      </c>
      <c r="E66" s="9" t="n">
        <v>58.4</v>
      </c>
    </row>
    <row r="67" customFormat="false" ht="15" hidden="false" customHeight="true" outlineLevel="0" collapsed="false">
      <c r="A67" s="6" t="s">
        <v>333</v>
      </c>
      <c r="B67" s="6" t="s">
        <v>5</v>
      </c>
      <c r="C67" s="7"/>
      <c r="D67" s="7" t="n">
        <v>58.4</v>
      </c>
      <c r="E67" s="7" t="n">
        <v>58.4</v>
      </c>
    </row>
    <row r="68" customFormat="false" ht="15" hidden="false" customHeight="true" outlineLevel="0" collapsed="false">
      <c r="A68" s="8" t="s">
        <v>849</v>
      </c>
      <c r="B68" s="8" t="s">
        <v>6</v>
      </c>
      <c r="C68" s="9" t="n">
        <v>1346</v>
      </c>
      <c r="D68" s="9" t="n">
        <v>91</v>
      </c>
      <c r="E68" s="9" t="n">
        <v>58.4</v>
      </c>
    </row>
    <row r="69" customFormat="false" ht="15" hidden="false" customHeight="true" outlineLevel="0" collapsed="false">
      <c r="A69" s="6" t="s">
        <v>849</v>
      </c>
      <c r="B69" s="6" t="s">
        <v>7</v>
      </c>
      <c r="C69" s="7" t="n">
        <v>2067</v>
      </c>
      <c r="D69" s="7" t="n">
        <v>68</v>
      </c>
      <c r="E69" s="7" t="n">
        <v>58.4</v>
      </c>
    </row>
    <row r="70" customFormat="false" ht="15" hidden="false" customHeight="true" outlineLevel="0" collapsed="false">
      <c r="A70" s="8" t="s">
        <v>849</v>
      </c>
      <c r="B70" s="8" t="s">
        <v>8</v>
      </c>
      <c r="C70" s="9" t="n">
        <v>2189</v>
      </c>
      <c r="D70" s="9" t="n">
        <v>62</v>
      </c>
      <c r="E70" s="9" t="n">
        <v>58.4</v>
      </c>
    </row>
    <row r="71" customFormat="false" ht="15" hidden="false" customHeight="true" outlineLevel="0" collapsed="false">
      <c r="A71" s="6" t="s">
        <v>850</v>
      </c>
      <c r="B71" s="6" t="s">
        <v>9</v>
      </c>
      <c r="C71" s="7" t="n">
        <v>2078</v>
      </c>
      <c r="D71" s="7" t="n">
        <v>78</v>
      </c>
      <c r="E71" s="7" t="n">
        <v>58.4</v>
      </c>
    </row>
    <row r="72" customFormat="false" ht="15" hidden="false" customHeight="true" outlineLevel="0" collapsed="false">
      <c r="A72" s="8" t="s">
        <v>334</v>
      </c>
      <c r="B72" s="8" t="s">
        <v>5</v>
      </c>
      <c r="C72" s="9"/>
      <c r="D72" s="9" t="n">
        <v>58.4</v>
      </c>
      <c r="E72" s="9" t="n">
        <v>58.4</v>
      </c>
    </row>
    <row r="73" customFormat="false" ht="15" hidden="false" customHeight="true" outlineLevel="0" collapsed="false">
      <c r="A73" s="6" t="s">
        <v>851</v>
      </c>
      <c r="B73" s="6" t="s">
        <v>6</v>
      </c>
      <c r="C73" s="7" t="n">
        <v>1390</v>
      </c>
      <c r="D73" s="7" t="n">
        <v>88</v>
      </c>
      <c r="E73" s="7" t="n">
        <v>58.4</v>
      </c>
    </row>
    <row r="74" customFormat="false" ht="15" hidden="false" customHeight="true" outlineLevel="0" collapsed="false">
      <c r="A74" s="8" t="s">
        <v>851</v>
      </c>
      <c r="B74" s="8" t="s">
        <v>7</v>
      </c>
      <c r="C74" s="9" t="n">
        <v>2075</v>
      </c>
      <c r="D74" s="9" t="n">
        <v>68</v>
      </c>
      <c r="E74" s="9" t="n">
        <v>58.4</v>
      </c>
    </row>
    <row r="75" customFormat="false" ht="15" hidden="false" customHeight="true" outlineLevel="0" collapsed="false">
      <c r="A75" s="6" t="s">
        <v>851</v>
      </c>
      <c r="B75" s="6" t="s">
        <v>4</v>
      </c>
      <c r="C75" s="7" t="n">
        <v>1587</v>
      </c>
      <c r="D75" s="7" t="n">
        <v>80</v>
      </c>
      <c r="E75" s="7" t="n">
        <v>58.4</v>
      </c>
    </row>
    <row r="76" customFormat="false" ht="15" hidden="false" customHeight="true" outlineLevel="0" collapsed="false">
      <c r="A76" s="8" t="s">
        <v>852</v>
      </c>
      <c r="B76" s="8" t="s">
        <v>8</v>
      </c>
      <c r="C76" s="9" t="n">
        <v>2189</v>
      </c>
      <c r="D76" s="9" t="n">
        <v>62</v>
      </c>
      <c r="E76" s="9" t="n">
        <v>58.4</v>
      </c>
    </row>
    <row r="77" customFormat="false" ht="15" hidden="false" customHeight="true" outlineLevel="0" collapsed="false">
      <c r="A77" s="6" t="s">
        <v>852</v>
      </c>
      <c r="B77" s="6" t="s">
        <v>9</v>
      </c>
      <c r="C77" s="7" t="n">
        <v>2084</v>
      </c>
      <c r="D77" s="7" t="n">
        <v>77</v>
      </c>
      <c r="E77" s="7" t="n">
        <v>58.4</v>
      </c>
    </row>
    <row r="78" customFormat="false" ht="15" hidden="false" customHeight="true" outlineLevel="0" collapsed="false">
      <c r="A78" s="8" t="s">
        <v>335</v>
      </c>
      <c r="B78" s="8" t="s">
        <v>6</v>
      </c>
      <c r="C78" s="9" t="n">
        <v>1371</v>
      </c>
      <c r="D78" s="9" t="n">
        <v>89</v>
      </c>
      <c r="E78" s="9" t="n">
        <v>58.4</v>
      </c>
    </row>
    <row r="79" customFormat="false" ht="15" hidden="false" customHeight="true" outlineLevel="0" collapsed="false">
      <c r="A79" s="6" t="s">
        <v>335</v>
      </c>
      <c r="B79" s="6" t="s">
        <v>7</v>
      </c>
      <c r="C79" s="7" t="n">
        <v>2083</v>
      </c>
      <c r="D79" s="7" t="n">
        <v>67</v>
      </c>
      <c r="E79" s="7" t="n">
        <v>58.4</v>
      </c>
    </row>
    <row r="80" customFormat="false" ht="15" hidden="false" customHeight="true" outlineLevel="0" collapsed="false">
      <c r="A80" s="8" t="s">
        <v>335</v>
      </c>
      <c r="B80" s="8" t="s">
        <v>4</v>
      </c>
      <c r="C80" s="9" t="n">
        <v>1571</v>
      </c>
      <c r="D80" s="9" t="n">
        <v>81</v>
      </c>
      <c r="E80" s="9" t="n">
        <v>58.4</v>
      </c>
    </row>
    <row r="81" customFormat="false" ht="15" hidden="false" customHeight="true" outlineLevel="0" collapsed="false">
      <c r="A81" s="6" t="s">
        <v>335</v>
      </c>
      <c r="B81" s="6" t="s">
        <v>5</v>
      </c>
      <c r="C81" s="7"/>
      <c r="D81" s="7" t="n">
        <v>58.4</v>
      </c>
      <c r="E81" s="7" t="n">
        <v>58.4</v>
      </c>
    </row>
    <row r="82" customFormat="false" ht="15" hidden="false" customHeight="true" outlineLevel="0" collapsed="false">
      <c r="A82" s="8" t="s">
        <v>853</v>
      </c>
      <c r="B82" s="8" t="s">
        <v>9</v>
      </c>
      <c r="C82" s="9" t="n">
        <v>2089</v>
      </c>
      <c r="D82" s="9" t="n">
        <v>76</v>
      </c>
      <c r="E82" s="9" t="n">
        <v>58.4</v>
      </c>
    </row>
    <row r="83" customFormat="false" ht="15" hidden="false" customHeight="true" outlineLevel="0" collapsed="false">
      <c r="A83" s="6" t="s">
        <v>853</v>
      </c>
      <c r="B83" s="6" t="s">
        <v>8</v>
      </c>
      <c r="C83" s="7" t="n">
        <v>2194</v>
      </c>
      <c r="D83" s="7" t="n">
        <v>62</v>
      </c>
      <c r="E83" s="7" t="n">
        <v>58.4</v>
      </c>
    </row>
    <row r="84" customFormat="false" ht="15" hidden="false" customHeight="true" outlineLevel="0" collapsed="false">
      <c r="A84" s="8" t="s">
        <v>336</v>
      </c>
      <c r="B84" s="8" t="s">
        <v>6</v>
      </c>
      <c r="C84" s="9" t="n">
        <v>1363</v>
      </c>
      <c r="D84" s="9" t="n">
        <v>90</v>
      </c>
      <c r="E84" s="9" t="n">
        <v>58.4</v>
      </c>
    </row>
    <row r="85" customFormat="false" ht="15" hidden="false" customHeight="true" outlineLevel="0" collapsed="false">
      <c r="A85" s="6" t="s">
        <v>336</v>
      </c>
      <c r="B85" s="6" t="s">
        <v>4</v>
      </c>
      <c r="C85" s="7" t="n">
        <v>1584</v>
      </c>
      <c r="D85" s="7" t="n">
        <v>81</v>
      </c>
      <c r="E85" s="7" t="n">
        <v>58.4</v>
      </c>
    </row>
    <row r="86" customFormat="false" ht="15" hidden="false" customHeight="true" outlineLevel="0" collapsed="false">
      <c r="A86" s="8" t="s">
        <v>336</v>
      </c>
      <c r="B86" s="8" t="s">
        <v>5</v>
      </c>
      <c r="C86" s="9"/>
      <c r="D86" s="9" t="n">
        <v>58.4</v>
      </c>
      <c r="E86" s="9" t="n">
        <v>58.4</v>
      </c>
    </row>
    <row r="87" customFormat="false" ht="15" hidden="false" customHeight="true" outlineLevel="0" collapsed="false">
      <c r="A87" s="6" t="s">
        <v>854</v>
      </c>
      <c r="B87" s="6" t="s">
        <v>7</v>
      </c>
      <c r="C87" s="7" t="n">
        <v>2084</v>
      </c>
      <c r="D87" s="7" t="n">
        <v>67</v>
      </c>
      <c r="E87" s="7" t="n">
        <v>58.4</v>
      </c>
    </row>
    <row r="88" customFormat="false" ht="15" hidden="false" customHeight="true" outlineLevel="0" collapsed="false">
      <c r="A88" s="8" t="s">
        <v>854</v>
      </c>
      <c r="B88" s="8" t="s">
        <v>8</v>
      </c>
      <c r="C88" s="9" t="n">
        <v>2194</v>
      </c>
      <c r="D88" s="9" t="n">
        <v>62</v>
      </c>
      <c r="E88" s="9" t="n">
        <v>58.4</v>
      </c>
    </row>
    <row r="89" customFormat="false" ht="15" hidden="false" customHeight="true" outlineLevel="0" collapsed="false">
      <c r="A89" s="6" t="s">
        <v>855</v>
      </c>
      <c r="B89" s="6" t="s">
        <v>9</v>
      </c>
      <c r="C89" s="7" t="n">
        <v>2092</v>
      </c>
      <c r="D89" s="7" t="n">
        <v>76</v>
      </c>
      <c r="E89" s="7" t="n">
        <v>58.4</v>
      </c>
    </row>
    <row r="90" customFormat="false" ht="15" hidden="false" customHeight="true" outlineLevel="0" collapsed="false">
      <c r="A90" s="8" t="s">
        <v>337</v>
      </c>
      <c r="B90" s="8" t="s">
        <v>4</v>
      </c>
      <c r="C90" s="9" t="n">
        <v>1535</v>
      </c>
      <c r="D90" s="9" t="n">
        <v>84</v>
      </c>
      <c r="E90" s="9" t="n">
        <v>58.4</v>
      </c>
    </row>
    <row r="91" customFormat="false" ht="15" hidden="false" customHeight="true" outlineLevel="0" collapsed="false">
      <c r="A91" s="6" t="s">
        <v>337</v>
      </c>
      <c r="B91" s="6" t="s">
        <v>5</v>
      </c>
      <c r="C91" s="7"/>
      <c r="D91" s="7" t="n">
        <v>58.4</v>
      </c>
      <c r="E91" s="7" t="n">
        <v>58.4</v>
      </c>
    </row>
    <row r="92" customFormat="false" ht="15" hidden="false" customHeight="true" outlineLevel="0" collapsed="false">
      <c r="A92" s="8" t="s">
        <v>856</v>
      </c>
      <c r="B92" s="8" t="s">
        <v>7</v>
      </c>
      <c r="C92" s="9" t="n">
        <v>2091</v>
      </c>
      <c r="D92" s="9" t="n">
        <v>66</v>
      </c>
      <c r="E92" s="9" t="n">
        <v>58.4</v>
      </c>
    </row>
    <row r="93" customFormat="false" ht="15" hidden="false" customHeight="true" outlineLevel="0" collapsed="false">
      <c r="A93" s="6" t="s">
        <v>856</v>
      </c>
      <c r="B93" s="6" t="s">
        <v>6</v>
      </c>
      <c r="C93" s="7" t="n">
        <v>1341</v>
      </c>
      <c r="D93" s="7" t="n">
        <v>91</v>
      </c>
      <c r="E93" s="7" t="n">
        <v>58.4</v>
      </c>
    </row>
    <row r="94" customFormat="false" ht="15" hidden="false" customHeight="true" outlineLevel="0" collapsed="false">
      <c r="A94" s="8" t="s">
        <v>856</v>
      </c>
      <c r="B94" s="8" t="s">
        <v>8</v>
      </c>
      <c r="C94" s="9" t="n">
        <v>2192</v>
      </c>
      <c r="D94" s="9" t="n">
        <v>62</v>
      </c>
      <c r="E94" s="9" t="n">
        <v>58.4</v>
      </c>
    </row>
    <row r="95" customFormat="false" ht="15" hidden="false" customHeight="true" outlineLevel="0" collapsed="false">
      <c r="A95" s="6" t="s">
        <v>857</v>
      </c>
      <c r="B95" s="6" t="s">
        <v>9</v>
      </c>
      <c r="C95" s="7" t="n">
        <v>2096</v>
      </c>
      <c r="D95" s="7" t="n">
        <v>75</v>
      </c>
      <c r="E95" s="7" t="n">
        <v>58.4</v>
      </c>
    </row>
    <row r="96" customFormat="false" ht="15" hidden="false" customHeight="true" outlineLevel="0" collapsed="false">
      <c r="A96" s="8" t="s">
        <v>338</v>
      </c>
      <c r="B96" s="8" t="s">
        <v>4</v>
      </c>
      <c r="C96" s="9" t="n">
        <v>1535</v>
      </c>
      <c r="D96" s="9" t="n">
        <v>84</v>
      </c>
      <c r="E96" s="9" t="n">
        <v>58.4</v>
      </c>
    </row>
    <row r="97" customFormat="false" ht="15" hidden="false" customHeight="true" outlineLevel="0" collapsed="false">
      <c r="A97" s="6" t="s">
        <v>338</v>
      </c>
      <c r="B97" s="6" t="s">
        <v>5</v>
      </c>
      <c r="C97" s="7"/>
      <c r="D97" s="7" t="n">
        <v>58.4</v>
      </c>
      <c r="E97" s="7" t="n">
        <v>58.4</v>
      </c>
    </row>
    <row r="98" customFormat="false" ht="15" hidden="false" customHeight="true" outlineLevel="0" collapsed="false">
      <c r="A98" s="8" t="s">
        <v>858</v>
      </c>
      <c r="B98" s="8" t="s">
        <v>6</v>
      </c>
      <c r="C98" s="9" t="n">
        <v>1379</v>
      </c>
      <c r="D98" s="9" t="n">
        <v>89</v>
      </c>
      <c r="E98" s="9" t="n">
        <v>58.4</v>
      </c>
    </row>
    <row r="99" customFormat="false" ht="15" hidden="false" customHeight="true" outlineLevel="0" collapsed="false">
      <c r="A99" s="6" t="s">
        <v>858</v>
      </c>
      <c r="B99" s="6" t="s">
        <v>7</v>
      </c>
      <c r="C99" s="7" t="n">
        <v>2086</v>
      </c>
      <c r="D99" s="7" t="n">
        <v>66</v>
      </c>
      <c r="E99" s="7" t="n">
        <v>58.4</v>
      </c>
    </row>
    <row r="100" customFormat="false" ht="15" hidden="false" customHeight="true" outlineLevel="0" collapsed="false">
      <c r="A100" s="8" t="s">
        <v>858</v>
      </c>
      <c r="B100" s="8" t="s">
        <v>8</v>
      </c>
      <c r="C100" s="9" t="n">
        <v>2201</v>
      </c>
      <c r="D100" s="9" t="n">
        <v>61</v>
      </c>
      <c r="E100" s="9" t="n">
        <v>58.4</v>
      </c>
    </row>
    <row r="101" customFormat="false" ht="15" hidden="false" customHeight="true" outlineLevel="0" collapsed="false">
      <c r="A101" s="6" t="s">
        <v>858</v>
      </c>
      <c r="B101" s="6" t="s">
        <v>9</v>
      </c>
      <c r="C101" s="7" t="n">
        <v>2096</v>
      </c>
      <c r="D101" s="7" t="n">
        <v>75</v>
      </c>
      <c r="E101" s="7" t="n">
        <v>58.4</v>
      </c>
    </row>
    <row r="102" customFormat="false" ht="15" hidden="false" customHeight="true" outlineLevel="0" collapsed="false">
      <c r="A102" s="8" t="s">
        <v>339</v>
      </c>
      <c r="B102" s="8" t="s">
        <v>5</v>
      </c>
      <c r="C102" s="9"/>
      <c r="D102" s="9" t="n">
        <v>58.4</v>
      </c>
      <c r="E102" s="9" t="n">
        <v>58.4</v>
      </c>
    </row>
    <row r="103" customFormat="false" ht="15" hidden="false" customHeight="true" outlineLevel="0" collapsed="false">
      <c r="A103" s="6" t="s">
        <v>859</v>
      </c>
      <c r="B103" s="6" t="s">
        <v>4</v>
      </c>
      <c r="C103" s="7" t="n">
        <v>1535</v>
      </c>
      <c r="D103" s="7" t="n">
        <v>84</v>
      </c>
      <c r="E103" s="7" t="n">
        <v>58.4</v>
      </c>
    </row>
    <row r="104" customFormat="false" ht="15" hidden="false" customHeight="true" outlineLevel="0" collapsed="false">
      <c r="A104" s="8" t="s">
        <v>859</v>
      </c>
      <c r="B104" s="8" t="s">
        <v>8</v>
      </c>
      <c r="C104" s="9" t="n">
        <v>2202</v>
      </c>
      <c r="D104" s="9" t="n">
        <v>61</v>
      </c>
      <c r="E104" s="9" t="n">
        <v>58.4</v>
      </c>
    </row>
    <row r="105" customFormat="false" ht="15" hidden="false" customHeight="true" outlineLevel="0" collapsed="false">
      <c r="A105" s="6" t="s">
        <v>859</v>
      </c>
      <c r="B105" s="6" t="s">
        <v>6</v>
      </c>
      <c r="C105" s="7" t="n">
        <v>1374</v>
      </c>
      <c r="D105" s="7" t="n">
        <v>89</v>
      </c>
      <c r="E105" s="7" t="n">
        <v>58.4</v>
      </c>
    </row>
    <row r="106" customFormat="false" ht="15" hidden="false" customHeight="true" outlineLevel="0" collapsed="false">
      <c r="A106" s="8" t="s">
        <v>859</v>
      </c>
      <c r="B106" s="8" t="s">
        <v>7</v>
      </c>
      <c r="C106" s="9" t="n">
        <v>2097</v>
      </c>
      <c r="D106" s="9" t="n">
        <v>65</v>
      </c>
      <c r="E106" s="9" t="n">
        <v>58.4</v>
      </c>
    </row>
    <row r="107" customFormat="false" ht="15" hidden="false" customHeight="true" outlineLevel="0" collapsed="false">
      <c r="A107" s="6" t="s">
        <v>860</v>
      </c>
      <c r="B107" s="6" t="s">
        <v>9</v>
      </c>
      <c r="C107" s="7" t="n">
        <v>2095</v>
      </c>
      <c r="D107" s="7" t="n">
        <v>75</v>
      </c>
      <c r="E107" s="7" t="n">
        <v>58.4</v>
      </c>
    </row>
    <row r="108" customFormat="false" ht="15" hidden="false" customHeight="true" outlineLevel="0" collapsed="false">
      <c r="A108" s="8" t="s">
        <v>340</v>
      </c>
      <c r="B108" s="8" t="s">
        <v>6</v>
      </c>
      <c r="C108" s="9" t="n">
        <v>1366</v>
      </c>
      <c r="D108" s="9" t="n">
        <v>89</v>
      </c>
      <c r="E108" s="9" t="n">
        <v>58.4</v>
      </c>
    </row>
    <row r="109" customFormat="false" ht="15" hidden="false" customHeight="true" outlineLevel="0" collapsed="false">
      <c r="A109" s="6" t="s">
        <v>340</v>
      </c>
      <c r="B109" s="6" t="s">
        <v>4</v>
      </c>
      <c r="C109" s="7" t="n">
        <v>1555</v>
      </c>
      <c r="D109" s="7" t="n">
        <v>83</v>
      </c>
      <c r="E109" s="7" t="n">
        <v>58.4</v>
      </c>
    </row>
    <row r="110" customFormat="false" ht="15" hidden="false" customHeight="true" outlineLevel="0" collapsed="false">
      <c r="A110" s="8" t="s">
        <v>340</v>
      </c>
      <c r="B110" s="8" t="s">
        <v>5</v>
      </c>
      <c r="C110" s="9"/>
      <c r="D110" s="9" t="n">
        <v>58.4</v>
      </c>
      <c r="E110" s="9" t="n">
        <v>58.4</v>
      </c>
    </row>
    <row r="111" customFormat="false" ht="15" hidden="false" customHeight="true" outlineLevel="0" collapsed="false">
      <c r="A111" s="6" t="s">
        <v>861</v>
      </c>
      <c r="B111" s="6" t="s">
        <v>7</v>
      </c>
      <c r="C111" s="7" t="n">
        <v>2100</v>
      </c>
      <c r="D111" s="7" t="n">
        <v>65</v>
      </c>
      <c r="E111" s="7" t="n">
        <v>58.4</v>
      </c>
    </row>
    <row r="112" customFormat="false" ht="15" hidden="false" customHeight="true" outlineLevel="0" collapsed="false">
      <c r="A112" s="8" t="s">
        <v>861</v>
      </c>
      <c r="B112" s="8" t="s">
        <v>8</v>
      </c>
      <c r="C112" s="9" t="n">
        <v>2206</v>
      </c>
      <c r="D112" s="9" t="n">
        <v>60</v>
      </c>
      <c r="E112" s="9" t="n">
        <v>58.4</v>
      </c>
    </row>
    <row r="113" customFormat="false" ht="15" hidden="false" customHeight="true" outlineLevel="0" collapsed="false">
      <c r="A113" s="6" t="s">
        <v>861</v>
      </c>
      <c r="B113" s="6" t="s">
        <v>9</v>
      </c>
      <c r="C113" s="7" t="n">
        <v>2103</v>
      </c>
      <c r="D113" s="7" t="n">
        <v>74</v>
      </c>
      <c r="E113" s="7" t="n">
        <v>58.4</v>
      </c>
    </row>
    <row r="114" customFormat="false" ht="15" hidden="false" customHeight="true" outlineLevel="0" collapsed="false">
      <c r="A114" s="8" t="s">
        <v>341</v>
      </c>
      <c r="B114" s="8" t="s">
        <v>4</v>
      </c>
      <c r="C114" s="9" t="n">
        <v>1586</v>
      </c>
      <c r="D114" s="9" t="n">
        <v>81</v>
      </c>
      <c r="E114" s="9" t="n">
        <v>58.4</v>
      </c>
    </row>
    <row r="115" customFormat="false" ht="15" hidden="false" customHeight="true" outlineLevel="0" collapsed="false">
      <c r="A115" s="6" t="s">
        <v>341</v>
      </c>
      <c r="B115" s="6" t="s">
        <v>5</v>
      </c>
      <c r="C115" s="7"/>
      <c r="D115" s="7" t="n">
        <v>58.4</v>
      </c>
      <c r="E115" s="7" t="n">
        <v>58.4</v>
      </c>
    </row>
    <row r="116" customFormat="false" ht="15" hidden="false" customHeight="true" outlineLevel="0" collapsed="false">
      <c r="A116" s="8" t="s">
        <v>862</v>
      </c>
      <c r="B116" s="8" t="s">
        <v>6</v>
      </c>
      <c r="C116" s="9" t="n">
        <v>1371</v>
      </c>
      <c r="D116" s="9" t="n">
        <v>89</v>
      </c>
      <c r="E116" s="9" t="n">
        <v>58.4</v>
      </c>
    </row>
    <row r="117" customFormat="false" ht="15" hidden="false" customHeight="true" outlineLevel="0" collapsed="false">
      <c r="A117" s="6" t="s">
        <v>862</v>
      </c>
      <c r="B117" s="6" t="s">
        <v>7</v>
      </c>
      <c r="C117" s="7" t="n">
        <v>2102</v>
      </c>
      <c r="D117" s="7" t="n">
        <v>65</v>
      </c>
      <c r="E117" s="7" t="n">
        <v>58.4</v>
      </c>
    </row>
    <row r="118" customFormat="false" ht="15" hidden="false" customHeight="true" outlineLevel="0" collapsed="false">
      <c r="A118" s="8" t="s">
        <v>863</v>
      </c>
      <c r="B118" s="8" t="s">
        <v>9</v>
      </c>
      <c r="C118" s="9" t="n">
        <v>2109</v>
      </c>
      <c r="D118" s="9" t="n">
        <v>73</v>
      </c>
      <c r="E118" s="9" t="n">
        <v>58.4</v>
      </c>
    </row>
    <row r="119" customFormat="false" ht="15" hidden="false" customHeight="true" outlineLevel="0" collapsed="false">
      <c r="A119" s="6" t="s">
        <v>863</v>
      </c>
      <c r="B119" s="6" t="s">
        <v>8</v>
      </c>
      <c r="C119" s="7" t="n">
        <v>2205</v>
      </c>
      <c r="D119" s="7" t="n">
        <v>60</v>
      </c>
      <c r="E119" s="7" t="n">
        <v>58.4</v>
      </c>
    </row>
    <row r="120" customFormat="false" ht="15" hidden="false" customHeight="true" outlineLevel="0" collapsed="false">
      <c r="A120" s="8" t="s">
        <v>342</v>
      </c>
      <c r="B120" s="8" t="s">
        <v>6</v>
      </c>
      <c r="C120" s="9" t="n">
        <v>1363</v>
      </c>
      <c r="D120" s="9" t="n">
        <v>90</v>
      </c>
      <c r="E120" s="9" t="n">
        <v>58.4</v>
      </c>
    </row>
    <row r="121" customFormat="false" ht="15" hidden="false" customHeight="true" outlineLevel="0" collapsed="false">
      <c r="A121" s="6" t="s">
        <v>342</v>
      </c>
      <c r="B121" s="6" t="s">
        <v>4</v>
      </c>
      <c r="C121" s="7" t="n">
        <v>1613</v>
      </c>
      <c r="D121" s="7" t="n">
        <v>79</v>
      </c>
      <c r="E121" s="7" t="n">
        <v>58.4</v>
      </c>
    </row>
    <row r="122" customFormat="false" ht="15" hidden="false" customHeight="true" outlineLevel="0" collapsed="false">
      <c r="A122" s="8" t="s">
        <v>342</v>
      </c>
      <c r="B122" s="8" t="s">
        <v>5</v>
      </c>
      <c r="C122" s="9"/>
      <c r="D122" s="9" t="n">
        <v>58.4</v>
      </c>
      <c r="E122" s="9" t="n">
        <v>58.4</v>
      </c>
    </row>
    <row r="123" customFormat="false" ht="15" hidden="false" customHeight="true" outlineLevel="0" collapsed="false">
      <c r="A123" s="6" t="s">
        <v>864</v>
      </c>
      <c r="B123" s="6" t="s">
        <v>7</v>
      </c>
      <c r="C123" s="7" t="n">
        <v>2109</v>
      </c>
      <c r="D123" s="7" t="n">
        <v>64</v>
      </c>
      <c r="E123" s="7" t="n">
        <v>58.4</v>
      </c>
    </row>
    <row r="124" customFormat="false" ht="15" hidden="false" customHeight="true" outlineLevel="0" collapsed="false">
      <c r="A124" s="8" t="s">
        <v>864</v>
      </c>
      <c r="B124" s="8" t="s">
        <v>8</v>
      </c>
      <c r="C124" s="9" t="n">
        <v>2231</v>
      </c>
      <c r="D124" s="9" t="n">
        <v>57</v>
      </c>
      <c r="E124" s="9" t="n">
        <v>58.4</v>
      </c>
    </row>
    <row r="125" customFormat="false" ht="15" hidden="false" customHeight="true" outlineLevel="0" collapsed="false">
      <c r="A125" s="6" t="s">
        <v>865</v>
      </c>
      <c r="B125" s="6" t="s">
        <v>9</v>
      </c>
      <c r="C125" s="7" t="n">
        <v>2110</v>
      </c>
      <c r="D125" s="7" t="n">
        <v>73</v>
      </c>
      <c r="E125" s="7" t="n">
        <v>58.4</v>
      </c>
    </row>
    <row r="126" customFormat="false" ht="15" hidden="false" customHeight="true" outlineLevel="0" collapsed="false">
      <c r="A126" s="8" t="s">
        <v>343</v>
      </c>
      <c r="B126" s="8" t="s">
        <v>5</v>
      </c>
      <c r="C126" s="9"/>
      <c r="D126" s="9" t="n">
        <v>58.4</v>
      </c>
      <c r="E126" s="9" t="n">
        <v>58.4</v>
      </c>
    </row>
    <row r="127" customFormat="false" ht="15" hidden="false" customHeight="true" outlineLevel="0" collapsed="false">
      <c r="A127" s="6" t="s">
        <v>866</v>
      </c>
      <c r="B127" s="6" t="s">
        <v>4</v>
      </c>
      <c r="C127" s="7" t="n">
        <v>1562</v>
      </c>
      <c r="D127" s="7" t="n">
        <v>82</v>
      </c>
      <c r="E127" s="7" t="n">
        <v>58.4</v>
      </c>
    </row>
    <row r="128" customFormat="false" ht="15" hidden="false" customHeight="true" outlineLevel="0" collapsed="false">
      <c r="A128" s="8" t="s">
        <v>866</v>
      </c>
      <c r="B128" s="8" t="s">
        <v>6</v>
      </c>
      <c r="C128" s="9" t="n">
        <v>1357</v>
      </c>
      <c r="D128" s="9" t="n">
        <v>90</v>
      </c>
      <c r="E128" s="9" t="n">
        <v>58.4</v>
      </c>
    </row>
    <row r="129" customFormat="false" ht="15" hidden="false" customHeight="true" outlineLevel="0" collapsed="false">
      <c r="A129" s="6" t="s">
        <v>866</v>
      </c>
      <c r="B129" s="6" t="s">
        <v>7</v>
      </c>
      <c r="C129" s="7" t="n">
        <v>2112</v>
      </c>
      <c r="D129" s="7" t="n">
        <v>64</v>
      </c>
      <c r="E129" s="7" t="n">
        <v>58.4</v>
      </c>
    </row>
    <row r="130" customFormat="false" ht="15" hidden="false" customHeight="true" outlineLevel="0" collapsed="false">
      <c r="A130" s="8" t="s">
        <v>867</v>
      </c>
      <c r="B130" s="8" t="s">
        <v>9</v>
      </c>
      <c r="C130" s="9" t="n">
        <v>2114</v>
      </c>
      <c r="D130" s="9" t="n">
        <v>72</v>
      </c>
      <c r="E130" s="9" t="n">
        <v>58.4</v>
      </c>
    </row>
    <row r="131" customFormat="false" ht="15" hidden="false" customHeight="true" outlineLevel="0" collapsed="false">
      <c r="A131" s="6" t="s">
        <v>867</v>
      </c>
      <c r="B131" s="6" t="s">
        <v>8</v>
      </c>
      <c r="C131" s="7" t="n">
        <v>2204</v>
      </c>
      <c r="D131" s="7" t="n">
        <v>61</v>
      </c>
      <c r="E131" s="7" t="n">
        <v>58.4</v>
      </c>
    </row>
    <row r="132" customFormat="false" ht="15" hidden="false" customHeight="true" outlineLevel="0" collapsed="false">
      <c r="A132" s="8" t="s">
        <v>344</v>
      </c>
      <c r="B132" s="8" t="s">
        <v>5</v>
      </c>
      <c r="C132" s="9"/>
      <c r="D132" s="9" t="n">
        <v>58.4</v>
      </c>
      <c r="E132" s="9" t="n">
        <v>58.4</v>
      </c>
    </row>
    <row r="133" customFormat="false" ht="15" hidden="false" customHeight="true" outlineLevel="0" collapsed="false">
      <c r="A133" s="6" t="s">
        <v>868</v>
      </c>
      <c r="B133" s="6" t="s">
        <v>6</v>
      </c>
      <c r="C133" s="7" t="n">
        <v>1367</v>
      </c>
      <c r="D133" s="7" t="n">
        <v>89</v>
      </c>
      <c r="E133" s="7" t="n">
        <v>58.4</v>
      </c>
    </row>
    <row r="134" customFormat="false" ht="15" hidden="false" customHeight="true" outlineLevel="0" collapsed="false">
      <c r="A134" s="8" t="s">
        <v>868</v>
      </c>
      <c r="B134" s="8" t="s">
        <v>4</v>
      </c>
      <c r="C134" s="9" t="n">
        <v>1535</v>
      </c>
      <c r="D134" s="9" t="n">
        <v>84</v>
      </c>
      <c r="E134" s="9" t="n">
        <v>58.4</v>
      </c>
    </row>
    <row r="135" customFormat="false" ht="15" hidden="false" customHeight="true" outlineLevel="0" collapsed="false">
      <c r="A135" s="6" t="s">
        <v>869</v>
      </c>
      <c r="B135" s="6" t="s">
        <v>7</v>
      </c>
      <c r="C135" s="7" t="n">
        <v>2108</v>
      </c>
      <c r="D135" s="7" t="n">
        <v>64</v>
      </c>
      <c r="E135" s="7" t="n">
        <v>58.4</v>
      </c>
    </row>
    <row r="136" customFormat="false" ht="15" hidden="false" customHeight="true" outlineLevel="0" collapsed="false">
      <c r="A136" s="8" t="s">
        <v>869</v>
      </c>
      <c r="B136" s="8" t="s">
        <v>8</v>
      </c>
      <c r="C136" s="9" t="n">
        <v>2208</v>
      </c>
      <c r="D136" s="9" t="n">
        <v>60</v>
      </c>
      <c r="E136" s="9" t="n">
        <v>58.4</v>
      </c>
    </row>
    <row r="137" customFormat="false" ht="15" hidden="false" customHeight="true" outlineLevel="0" collapsed="false">
      <c r="A137" s="6" t="s">
        <v>870</v>
      </c>
      <c r="B137" s="6" t="s">
        <v>9</v>
      </c>
      <c r="C137" s="7" t="n">
        <v>2122</v>
      </c>
      <c r="D137" s="7" t="n">
        <v>71</v>
      </c>
      <c r="E137" s="7" t="n">
        <v>58.4</v>
      </c>
    </row>
    <row r="138" customFormat="false" ht="15" hidden="false" customHeight="true" outlineLevel="0" collapsed="false">
      <c r="A138" s="8" t="s">
        <v>345</v>
      </c>
      <c r="B138" s="8" t="s">
        <v>4</v>
      </c>
      <c r="C138" s="9" t="n">
        <v>1535</v>
      </c>
      <c r="D138" s="9" t="n">
        <v>84</v>
      </c>
      <c r="E138" s="9" t="n">
        <v>58.4</v>
      </c>
    </row>
    <row r="139" customFormat="false" ht="15" hidden="false" customHeight="true" outlineLevel="0" collapsed="false">
      <c r="A139" s="6" t="s">
        <v>345</v>
      </c>
      <c r="B139" s="6" t="s">
        <v>5</v>
      </c>
      <c r="C139" s="7"/>
      <c r="D139" s="7" t="n">
        <v>58.4</v>
      </c>
      <c r="E139" s="7" t="n">
        <v>58.4</v>
      </c>
    </row>
    <row r="140" customFormat="false" ht="15" hidden="false" customHeight="true" outlineLevel="0" collapsed="false">
      <c r="A140" s="8" t="s">
        <v>871</v>
      </c>
      <c r="B140" s="8" t="s">
        <v>7</v>
      </c>
      <c r="C140" s="9" t="n">
        <v>2113</v>
      </c>
      <c r="D140" s="9" t="n">
        <v>64</v>
      </c>
      <c r="E140" s="9" t="n">
        <v>58.4</v>
      </c>
    </row>
    <row r="141" customFormat="false" ht="15" hidden="false" customHeight="true" outlineLevel="0" collapsed="false">
      <c r="A141" s="6" t="s">
        <v>871</v>
      </c>
      <c r="B141" s="6" t="s">
        <v>6</v>
      </c>
      <c r="C141" s="7" t="n">
        <v>1362</v>
      </c>
      <c r="D141" s="7" t="n">
        <v>90</v>
      </c>
      <c r="E141" s="7" t="n">
        <v>58.4</v>
      </c>
    </row>
    <row r="142" customFormat="false" ht="15" hidden="false" customHeight="true" outlineLevel="0" collapsed="false">
      <c r="A142" s="8" t="s">
        <v>872</v>
      </c>
      <c r="B142" s="8" t="s">
        <v>9</v>
      </c>
      <c r="C142" s="9" t="n">
        <v>2117</v>
      </c>
      <c r="D142" s="9" t="n">
        <v>71</v>
      </c>
      <c r="E142" s="9" t="n">
        <v>58.4</v>
      </c>
    </row>
    <row r="143" customFormat="false" ht="15" hidden="false" customHeight="true" outlineLevel="0" collapsed="false">
      <c r="A143" s="6" t="s">
        <v>872</v>
      </c>
      <c r="B143" s="6" t="s">
        <v>8</v>
      </c>
      <c r="C143" s="7" t="n">
        <v>2214</v>
      </c>
      <c r="D143" s="7" t="n">
        <v>59</v>
      </c>
      <c r="E143" s="7" t="n">
        <v>58.4</v>
      </c>
    </row>
    <row r="144" customFormat="false" ht="15" hidden="false" customHeight="true" outlineLevel="0" collapsed="false">
      <c r="A144" s="8" t="s">
        <v>346</v>
      </c>
      <c r="B144" s="8" t="s">
        <v>6</v>
      </c>
      <c r="C144" s="9" t="n">
        <v>1364</v>
      </c>
      <c r="D144" s="9" t="n">
        <v>90</v>
      </c>
      <c r="E144" s="9" t="n">
        <v>58.4</v>
      </c>
    </row>
    <row r="145" customFormat="false" ht="15" hidden="false" customHeight="true" outlineLevel="0" collapsed="false">
      <c r="A145" s="6" t="s">
        <v>346</v>
      </c>
      <c r="B145" s="6" t="s">
        <v>7</v>
      </c>
      <c r="C145" s="7" t="n">
        <v>2114</v>
      </c>
      <c r="D145" s="7" t="n">
        <v>64</v>
      </c>
      <c r="E145" s="7" t="n">
        <v>58.4</v>
      </c>
    </row>
    <row r="146" customFormat="false" ht="15" hidden="false" customHeight="true" outlineLevel="0" collapsed="false">
      <c r="A146" s="8" t="s">
        <v>346</v>
      </c>
      <c r="B146" s="8" t="s">
        <v>4</v>
      </c>
      <c r="C146" s="9" t="n">
        <v>1535</v>
      </c>
      <c r="D146" s="9" t="n">
        <v>84</v>
      </c>
      <c r="E146" s="9" t="n">
        <v>58.4</v>
      </c>
    </row>
    <row r="147" customFormat="false" ht="15" hidden="false" customHeight="true" outlineLevel="0" collapsed="false">
      <c r="A147" s="6" t="s">
        <v>346</v>
      </c>
      <c r="B147" s="6" t="s">
        <v>5</v>
      </c>
      <c r="C147" s="7"/>
      <c r="D147" s="7" t="n">
        <v>58.4</v>
      </c>
      <c r="E147" s="7" t="n">
        <v>58.4</v>
      </c>
    </row>
    <row r="148" customFormat="false" ht="15" hidden="false" customHeight="true" outlineLevel="0" collapsed="false">
      <c r="A148" s="8" t="s">
        <v>873</v>
      </c>
      <c r="B148" s="8" t="s">
        <v>8</v>
      </c>
      <c r="C148" s="9" t="n">
        <v>2215</v>
      </c>
      <c r="D148" s="9" t="n">
        <v>59</v>
      </c>
      <c r="E148" s="9" t="n">
        <v>58.4</v>
      </c>
    </row>
    <row r="149" customFormat="false" ht="15" hidden="false" customHeight="true" outlineLevel="0" collapsed="false">
      <c r="A149" s="6" t="s">
        <v>873</v>
      </c>
      <c r="B149" s="6" t="s">
        <v>9</v>
      </c>
      <c r="C149" s="7" t="n">
        <v>2114</v>
      </c>
      <c r="D149" s="7" t="n">
        <v>72</v>
      </c>
      <c r="E149" s="7" t="n">
        <v>58.4</v>
      </c>
    </row>
    <row r="150" customFormat="false" ht="15" hidden="false" customHeight="true" outlineLevel="0" collapsed="false">
      <c r="A150" s="8" t="s">
        <v>347</v>
      </c>
      <c r="B150" s="8" t="s">
        <v>6</v>
      </c>
      <c r="C150" s="9" t="n">
        <v>1365</v>
      </c>
      <c r="D150" s="9" t="n">
        <v>89</v>
      </c>
      <c r="E150" s="9" t="n">
        <v>58.4</v>
      </c>
    </row>
    <row r="151" customFormat="false" ht="15" hidden="false" customHeight="true" outlineLevel="0" collapsed="false">
      <c r="A151" s="6" t="s">
        <v>347</v>
      </c>
      <c r="B151" s="6" t="s">
        <v>4</v>
      </c>
      <c r="C151" s="7" t="n">
        <v>1535</v>
      </c>
      <c r="D151" s="7" t="n">
        <v>84</v>
      </c>
      <c r="E151" s="7" t="n">
        <v>58.4</v>
      </c>
    </row>
    <row r="152" customFormat="false" ht="15" hidden="false" customHeight="true" outlineLevel="0" collapsed="false">
      <c r="A152" s="8" t="s">
        <v>347</v>
      </c>
      <c r="B152" s="8" t="s">
        <v>5</v>
      </c>
      <c r="C152" s="9"/>
      <c r="D152" s="9" t="n">
        <v>58.4</v>
      </c>
      <c r="E152" s="9" t="n">
        <v>58.4</v>
      </c>
    </row>
    <row r="153" customFormat="false" ht="15" hidden="false" customHeight="true" outlineLevel="0" collapsed="false">
      <c r="A153" s="6" t="s">
        <v>874</v>
      </c>
      <c r="B153" s="6" t="s">
        <v>8</v>
      </c>
      <c r="C153" s="7" t="n">
        <v>2218</v>
      </c>
      <c r="D153" s="7" t="n">
        <v>59</v>
      </c>
      <c r="E153" s="7" t="n">
        <v>58.4</v>
      </c>
    </row>
    <row r="154" customFormat="false" ht="15" hidden="false" customHeight="true" outlineLevel="0" collapsed="false">
      <c r="A154" s="8" t="s">
        <v>874</v>
      </c>
      <c r="B154" s="8" t="s">
        <v>9</v>
      </c>
      <c r="C154" s="9" t="n">
        <v>2115</v>
      </c>
      <c r="D154" s="9" t="n">
        <v>72</v>
      </c>
      <c r="E154" s="9" t="n">
        <v>58.4</v>
      </c>
    </row>
    <row r="155" customFormat="false" ht="15" hidden="false" customHeight="true" outlineLevel="0" collapsed="false">
      <c r="A155" s="6" t="s">
        <v>874</v>
      </c>
      <c r="B155" s="6" t="s">
        <v>7</v>
      </c>
      <c r="C155" s="7" t="n">
        <v>2122</v>
      </c>
      <c r="D155" s="7" t="n">
        <v>63</v>
      </c>
      <c r="E155" s="7" t="n">
        <v>58.4</v>
      </c>
    </row>
    <row r="156" customFormat="false" ht="15" hidden="false" customHeight="true" outlineLevel="0" collapsed="false">
      <c r="A156" s="8" t="s">
        <v>348</v>
      </c>
      <c r="B156" s="8" t="s">
        <v>5</v>
      </c>
      <c r="C156" s="9"/>
      <c r="D156" s="9" t="n">
        <v>58.4</v>
      </c>
      <c r="E156" s="9" t="n">
        <v>58.4</v>
      </c>
    </row>
    <row r="157" customFormat="false" ht="15" hidden="false" customHeight="true" outlineLevel="0" collapsed="false">
      <c r="A157" s="6" t="s">
        <v>875</v>
      </c>
      <c r="B157" s="6" t="s">
        <v>6</v>
      </c>
      <c r="C157" s="7" t="n">
        <v>1362</v>
      </c>
      <c r="D157" s="7" t="n">
        <v>90</v>
      </c>
      <c r="E157" s="7" t="n">
        <v>58.4</v>
      </c>
    </row>
    <row r="158" customFormat="false" ht="15" hidden="false" customHeight="true" outlineLevel="0" collapsed="false">
      <c r="A158" s="8" t="s">
        <v>875</v>
      </c>
      <c r="B158" s="8" t="s">
        <v>7</v>
      </c>
      <c r="C158" s="9" t="n">
        <v>2121</v>
      </c>
      <c r="D158" s="9" t="n">
        <v>63</v>
      </c>
      <c r="E158" s="9" t="n">
        <v>58.4</v>
      </c>
    </row>
    <row r="159" customFormat="false" ht="15" hidden="false" customHeight="true" outlineLevel="0" collapsed="false">
      <c r="A159" s="6" t="s">
        <v>875</v>
      </c>
      <c r="B159" s="6" t="s">
        <v>4</v>
      </c>
      <c r="C159" s="7" t="n">
        <v>1570</v>
      </c>
      <c r="D159" s="7" t="n">
        <v>82</v>
      </c>
      <c r="E159" s="7" t="n">
        <v>58.4</v>
      </c>
    </row>
    <row r="160" customFormat="false" ht="15" hidden="false" customHeight="true" outlineLevel="0" collapsed="false">
      <c r="A160" s="8" t="s">
        <v>875</v>
      </c>
      <c r="B160" s="8" t="s">
        <v>8</v>
      </c>
      <c r="C160" s="9" t="n">
        <v>2215</v>
      </c>
      <c r="D160" s="9" t="n">
        <v>59</v>
      </c>
      <c r="E160" s="9" t="n">
        <v>58.4</v>
      </c>
    </row>
    <row r="161" customFormat="false" ht="15" hidden="false" customHeight="true" outlineLevel="0" collapsed="false">
      <c r="A161" s="6" t="s">
        <v>876</v>
      </c>
      <c r="B161" s="6" t="s">
        <v>9</v>
      </c>
      <c r="C161" s="7" t="n">
        <v>2118</v>
      </c>
      <c r="D161" s="7" t="n">
        <v>71</v>
      </c>
      <c r="E161" s="7" t="n">
        <v>58.4</v>
      </c>
    </row>
    <row r="162" customFormat="false" ht="15" hidden="false" customHeight="true" outlineLevel="0" collapsed="false">
      <c r="A162" s="8" t="s">
        <v>349</v>
      </c>
      <c r="B162" s="8" t="s">
        <v>5</v>
      </c>
      <c r="C162" s="9"/>
      <c r="D162" s="9" t="n">
        <v>58.4</v>
      </c>
      <c r="E162" s="9" t="n">
        <v>58.4</v>
      </c>
    </row>
    <row r="163" customFormat="false" ht="15" hidden="false" customHeight="true" outlineLevel="0" collapsed="false">
      <c r="A163" s="6" t="s">
        <v>349</v>
      </c>
      <c r="B163" s="6" t="s">
        <v>6</v>
      </c>
      <c r="C163" s="7" t="n">
        <v>1409</v>
      </c>
      <c r="D163" s="7" t="n">
        <v>87</v>
      </c>
      <c r="E163" s="7" t="n">
        <v>58.4</v>
      </c>
    </row>
    <row r="164" customFormat="false" ht="15" hidden="false" customHeight="true" outlineLevel="0" collapsed="false">
      <c r="A164" s="8" t="s">
        <v>349</v>
      </c>
      <c r="B164" s="8" t="s">
        <v>7</v>
      </c>
      <c r="C164" s="9" t="n">
        <v>2121</v>
      </c>
      <c r="D164" s="9" t="n">
        <v>63</v>
      </c>
      <c r="E164" s="9" t="n">
        <v>58.4</v>
      </c>
    </row>
    <row r="165" customFormat="false" ht="15" hidden="false" customHeight="true" outlineLevel="0" collapsed="false">
      <c r="A165" s="6" t="s">
        <v>349</v>
      </c>
      <c r="B165" s="6" t="s">
        <v>4</v>
      </c>
      <c r="C165" s="7" t="n">
        <v>1554</v>
      </c>
      <c r="D165" s="7" t="n">
        <v>83</v>
      </c>
      <c r="E165" s="7" t="n">
        <v>58.4</v>
      </c>
    </row>
    <row r="166" customFormat="false" ht="15" hidden="false" customHeight="true" outlineLevel="0" collapsed="false">
      <c r="A166" s="8" t="s">
        <v>877</v>
      </c>
      <c r="B166" s="8" t="s">
        <v>9</v>
      </c>
      <c r="C166" s="9" t="n">
        <v>2126</v>
      </c>
      <c r="D166" s="9" t="n">
        <v>70</v>
      </c>
      <c r="E166" s="9" t="n">
        <v>58.4</v>
      </c>
    </row>
    <row r="167" customFormat="false" ht="15" hidden="false" customHeight="true" outlineLevel="0" collapsed="false">
      <c r="A167" s="6" t="s">
        <v>877</v>
      </c>
      <c r="B167" s="6" t="s">
        <v>8</v>
      </c>
      <c r="C167" s="7" t="n">
        <v>2224</v>
      </c>
      <c r="D167" s="7" t="n">
        <v>58</v>
      </c>
      <c r="E167" s="7" t="n">
        <v>58.4</v>
      </c>
    </row>
    <row r="168" customFormat="false" ht="15" hidden="false" customHeight="true" outlineLevel="0" collapsed="false">
      <c r="A168" s="8" t="s">
        <v>350</v>
      </c>
      <c r="B168" s="8" t="s">
        <v>6</v>
      </c>
      <c r="C168" s="9" t="n">
        <v>1363</v>
      </c>
      <c r="D168" s="9" t="n">
        <v>90</v>
      </c>
      <c r="E168" s="9" t="n">
        <v>58.4</v>
      </c>
    </row>
    <row r="169" customFormat="false" ht="15" hidden="false" customHeight="true" outlineLevel="0" collapsed="false">
      <c r="A169" s="6" t="s">
        <v>350</v>
      </c>
      <c r="B169" s="6" t="s">
        <v>4</v>
      </c>
      <c r="C169" s="7" t="n">
        <v>1557</v>
      </c>
      <c r="D169" s="7" t="n">
        <v>82</v>
      </c>
      <c r="E169" s="7" t="n">
        <v>58.4</v>
      </c>
    </row>
    <row r="170" customFormat="false" ht="15" hidden="false" customHeight="true" outlineLevel="0" collapsed="false">
      <c r="A170" s="8" t="s">
        <v>350</v>
      </c>
      <c r="B170" s="8" t="s">
        <v>5</v>
      </c>
      <c r="C170" s="9"/>
      <c r="D170" s="9" t="n">
        <v>58.4</v>
      </c>
      <c r="E170" s="9" t="n">
        <v>58.4</v>
      </c>
    </row>
    <row r="171" customFormat="false" ht="15" hidden="false" customHeight="true" outlineLevel="0" collapsed="false">
      <c r="A171" s="6" t="s">
        <v>878</v>
      </c>
      <c r="B171" s="6" t="s">
        <v>7</v>
      </c>
      <c r="C171" s="7" t="n">
        <v>2122</v>
      </c>
      <c r="D171" s="7" t="n">
        <v>63</v>
      </c>
      <c r="E171" s="7" t="n">
        <v>58.4</v>
      </c>
    </row>
    <row r="172" customFormat="false" ht="15" hidden="false" customHeight="true" outlineLevel="0" collapsed="false">
      <c r="A172" s="8" t="s">
        <v>878</v>
      </c>
      <c r="B172" s="8" t="s">
        <v>8</v>
      </c>
      <c r="C172" s="9" t="n">
        <v>2222</v>
      </c>
      <c r="D172" s="9" t="n">
        <v>58</v>
      </c>
      <c r="E172" s="9" t="n">
        <v>58.4</v>
      </c>
    </row>
    <row r="173" customFormat="false" ht="15" hidden="false" customHeight="true" outlineLevel="0" collapsed="false">
      <c r="A173" s="6" t="s">
        <v>878</v>
      </c>
      <c r="B173" s="6" t="s">
        <v>9</v>
      </c>
      <c r="C173" s="7" t="n">
        <v>2126</v>
      </c>
      <c r="D173" s="7" t="n">
        <v>70</v>
      </c>
      <c r="E173" s="7" t="n">
        <v>58.4</v>
      </c>
    </row>
    <row r="174" customFormat="false" ht="15" hidden="false" customHeight="true" outlineLevel="0" collapsed="false">
      <c r="A174" s="8" t="s">
        <v>351</v>
      </c>
      <c r="B174" s="8" t="s">
        <v>4</v>
      </c>
      <c r="C174" s="9" t="n">
        <v>1535</v>
      </c>
      <c r="D174" s="9" t="n">
        <v>84</v>
      </c>
      <c r="E174" s="9" t="n">
        <v>58.4</v>
      </c>
    </row>
    <row r="175" customFormat="false" ht="15" hidden="false" customHeight="true" outlineLevel="0" collapsed="false">
      <c r="A175" s="6" t="s">
        <v>351</v>
      </c>
      <c r="B175" s="6" t="s">
        <v>5</v>
      </c>
      <c r="C175" s="7"/>
      <c r="D175" s="7" t="n">
        <v>58.4</v>
      </c>
      <c r="E175" s="7" t="n">
        <v>58.4</v>
      </c>
    </row>
    <row r="176" customFormat="false" ht="15" hidden="false" customHeight="true" outlineLevel="0" collapsed="false">
      <c r="A176" s="8" t="s">
        <v>879</v>
      </c>
      <c r="B176" s="8" t="s">
        <v>6</v>
      </c>
      <c r="C176" s="9" t="n">
        <v>1392</v>
      </c>
      <c r="D176" s="9" t="n">
        <v>88</v>
      </c>
      <c r="E176" s="9" t="n">
        <v>58.4</v>
      </c>
    </row>
    <row r="177" customFormat="false" ht="15" hidden="false" customHeight="true" outlineLevel="0" collapsed="false">
      <c r="A177" s="6" t="s">
        <v>880</v>
      </c>
      <c r="B177" s="6" t="s">
        <v>9</v>
      </c>
      <c r="C177" s="7" t="n">
        <v>2128</v>
      </c>
      <c r="D177" s="7" t="n">
        <v>70</v>
      </c>
      <c r="E177" s="7" t="n">
        <v>58.4</v>
      </c>
    </row>
    <row r="178" customFormat="false" ht="15" hidden="false" customHeight="true" outlineLevel="0" collapsed="false">
      <c r="A178" s="8" t="s">
        <v>880</v>
      </c>
      <c r="B178" s="8" t="s">
        <v>8</v>
      </c>
      <c r="C178" s="9" t="n">
        <v>2222</v>
      </c>
      <c r="D178" s="9" t="n">
        <v>58</v>
      </c>
      <c r="E178" s="9" t="n">
        <v>58.4</v>
      </c>
    </row>
    <row r="179" customFormat="false" ht="15" hidden="false" customHeight="true" outlineLevel="0" collapsed="false">
      <c r="A179" s="6" t="s">
        <v>880</v>
      </c>
      <c r="B179" s="6" t="s">
        <v>7</v>
      </c>
      <c r="C179" s="7" t="n">
        <v>2119</v>
      </c>
      <c r="D179" s="7" t="n">
        <v>63</v>
      </c>
      <c r="E179" s="7" t="n">
        <v>58.4</v>
      </c>
    </row>
    <row r="180" customFormat="false" ht="15" hidden="false" customHeight="true" outlineLevel="0" collapsed="false">
      <c r="A180" s="8" t="s">
        <v>352</v>
      </c>
      <c r="B180" s="8" t="s">
        <v>6</v>
      </c>
      <c r="C180" s="9" t="n">
        <v>1362</v>
      </c>
      <c r="D180" s="9" t="n">
        <v>90</v>
      </c>
      <c r="E180" s="9" t="n">
        <v>58.4</v>
      </c>
    </row>
    <row r="181" customFormat="false" ht="15" hidden="false" customHeight="true" outlineLevel="0" collapsed="false">
      <c r="A181" s="6" t="s">
        <v>352</v>
      </c>
      <c r="B181" s="6" t="s">
        <v>4</v>
      </c>
      <c r="C181" s="7" t="n">
        <v>1535</v>
      </c>
      <c r="D181" s="7" t="n">
        <v>84</v>
      </c>
      <c r="E181" s="7" t="n">
        <v>58.4</v>
      </c>
    </row>
    <row r="182" customFormat="false" ht="15" hidden="false" customHeight="true" outlineLevel="0" collapsed="false">
      <c r="A182" s="8" t="s">
        <v>352</v>
      </c>
      <c r="B182" s="8" t="s">
        <v>5</v>
      </c>
      <c r="C182" s="9"/>
      <c r="D182" s="9" t="n">
        <v>58.4</v>
      </c>
      <c r="E182" s="9" t="n">
        <v>58.4</v>
      </c>
    </row>
    <row r="183" customFormat="false" ht="15" hidden="false" customHeight="true" outlineLevel="0" collapsed="false">
      <c r="A183" s="6" t="s">
        <v>881</v>
      </c>
      <c r="B183" s="6" t="s">
        <v>7</v>
      </c>
      <c r="C183" s="7" t="n">
        <v>2119</v>
      </c>
      <c r="D183" s="7" t="n">
        <v>63</v>
      </c>
      <c r="E183" s="7" t="n">
        <v>58.4</v>
      </c>
    </row>
    <row r="184" customFormat="false" ht="15" hidden="false" customHeight="true" outlineLevel="0" collapsed="false">
      <c r="A184" s="8" t="s">
        <v>881</v>
      </c>
      <c r="B184" s="8" t="s">
        <v>8</v>
      </c>
      <c r="C184" s="9" t="n">
        <v>2224</v>
      </c>
      <c r="D184" s="9" t="n">
        <v>58</v>
      </c>
      <c r="E184" s="9" t="n">
        <v>58.4</v>
      </c>
    </row>
    <row r="185" customFormat="false" ht="15" hidden="false" customHeight="true" outlineLevel="0" collapsed="false">
      <c r="A185" s="6" t="s">
        <v>881</v>
      </c>
      <c r="B185" s="6" t="s">
        <v>9</v>
      </c>
      <c r="C185" s="7" t="n">
        <v>2128</v>
      </c>
      <c r="D185" s="7" t="n">
        <v>70</v>
      </c>
      <c r="E185" s="7" t="n">
        <v>58.4</v>
      </c>
    </row>
    <row r="186" customFormat="false" ht="15" hidden="false" customHeight="true" outlineLevel="0" collapsed="false">
      <c r="A186" s="8" t="s">
        <v>353</v>
      </c>
      <c r="B186" s="8" t="s">
        <v>4</v>
      </c>
      <c r="C186" s="9" t="n">
        <v>1565</v>
      </c>
      <c r="D186" s="9" t="n">
        <v>82</v>
      </c>
      <c r="E186" s="9" t="n">
        <v>58.4</v>
      </c>
    </row>
    <row r="187" customFormat="false" ht="15" hidden="false" customHeight="true" outlineLevel="0" collapsed="false">
      <c r="A187" s="6" t="s">
        <v>353</v>
      </c>
      <c r="B187" s="6" t="s">
        <v>5</v>
      </c>
      <c r="C187" s="7"/>
      <c r="D187" s="7" t="n">
        <v>58.4</v>
      </c>
      <c r="E187" s="7" t="n">
        <v>58.4</v>
      </c>
    </row>
    <row r="188" customFormat="false" ht="15" hidden="false" customHeight="true" outlineLevel="0" collapsed="false">
      <c r="A188" s="8" t="s">
        <v>882</v>
      </c>
      <c r="B188" s="8" t="s">
        <v>7</v>
      </c>
      <c r="C188" s="9" t="n">
        <v>2128</v>
      </c>
      <c r="D188" s="9" t="n">
        <v>62</v>
      </c>
      <c r="E188" s="9" t="n">
        <v>58.4</v>
      </c>
    </row>
    <row r="189" customFormat="false" ht="15" hidden="false" customHeight="true" outlineLevel="0" collapsed="false">
      <c r="A189" s="6" t="s">
        <v>882</v>
      </c>
      <c r="B189" s="6" t="s">
        <v>8</v>
      </c>
      <c r="C189" s="7" t="n">
        <v>2224</v>
      </c>
      <c r="D189" s="7" t="n">
        <v>58</v>
      </c>
      <c r="E189" s="7" t="n">
        <v>58.4</v>
      </c>
    </row>
    <row r="190" customFormat="false" ht="15" hidden="false" customHeight="true" outlineLevel="0" collapsed="false">
      <c r="A190" s="8" t="s">
        <v>882</v>
      </c>
      <c r="B190" s="8" t="s">
        <v>6</v>
      </c>
      <c r="C190" s="9" t="n">
        <v>1362</v>
      </c>
      <c r="D190" s="9" t="n">
        <v>90</v>
      </c>
      <c r="E190" s="9" t="n">
        <v>58.4</v>
      </c>
    </row>
    <row r="191" customFormat="false" ht="15" hidden="false" customHeight="true" outlineLevel="0" collapsed="false">
      <c r="A191" s="6" t="s">
        <v>883</v>
      </c>
      <c r="B191" s="6" t="s">
        <v>9</v>
      </c>
      <c r="C191" s="7" t="n">
        <v>2134</v>
      </c>
      <c r="D191" s="7" t="n">
        <v>68</v>
      </c>
      <c r="E191" s="7" t="n">
        <v>58.4</v>
      </c>
    </row>
    <row r="192" customFormat="false" ht="15" hidden="false" customHeight="true" outlineLevel="0" collapsed="false">
      <c r="A192" s="8" t="s">
        <v>354</v>
      </c>
      <c r="B192" s="8" t="s">
        <v>5</v>
      </c>
      <c r="C192" s="9"/>
      <c r="D192" s="9" t="n">
        <v>58.4</v>
      </c>
      <c r="E192" s="9" t="n">
        <v>58.4</v>
      </c>
    </row>
    <row r="193" customFormat="false" ht="15" hidden="false" customHeight="true" outlineLevel="0" collapsed="false">
      <c r="A193" s="6" t="s">
        <v>884</v>
      </c>
      <c r="B193" s="6" t="s">
        <v>6</v>
      </c>
      <c r="C193" s="7" t="n">
        <v>1362</v>
      </c>
      <c r="D193" s="7" t="n">
        <v>90</v>
      </c>
      <c r="E193" s="7" t="n">
        <v>58.4</v>
      </c>
    </row>
    <row r="194" customFormat="false" ht="15" hidden="false" customHeight="true" outlineLevel="0" collapsed="false">
      <c r="A194" s="8" t="s">
        <v>884</v>
      </c>
      <c r="B194" s="8" t="s">
        <v>7</v>
      </c>
      <c r="C194" s="9" t="n">
        <v>2128</v>
      </c>
      <c r="D194" s="9" t="n">
        <v>62</v>
      </c>
      <c r="E194" s="9" t="n">
        <v>58.4</v>
      </c>
    </row>
    <row r="195" customFormat="false" ht="15" hidden="false" customHeight="true" outlineLevel="0" collapsed="false">
      <c r="A195" s="6" t="s">
        <v>884</v>
      </c>
      <c r="B195" s="6" t="s">
        <v>4</v>
      </c>
      <c r="C195" s="7" t="n">
        <v>1535</v>
      </c>
      <c r="D195" s="7" t="n">
        <v>84</v>
      </c>
      <c r="E195" s="7" t="n">
        <v>58.4</v>
      </c>
    </row>
    <row r="196" customFormat="false" ht="15" hidden="false" customHeight="true" outlineLevel="0" collapsed="false">
      <c r="A196" s="8" t="s">
        <v>885</v>
      </c>
      <c r="B196" s="8" t="s">
        <v>8</v>
      </c>
      <c r="C196" s="9" t="n">
        <v>2224</v>
      </c>
      <c r="D196" s="9" t="n">
        <v>58</v>
      </c>
      <c r="E196" s="9" t="n">
        <v>58.4</v>
      </c>
    </row>
    <row r="197" customFormat="false" ht="15" hidden="false" customHeight="true" outlineLevel="0" collapsed="false">
      <c r="A197" s="6" t="s">
        <v>885</v>
      </c>
      <c r="B197" s="6" t="s">
        <v>9</v>
      </c>
      <c r="C197" s="7" t="n">
        <v>2132</v>
      </c>
      <c r="D197" s="7" t="n">
        <v>69</v>
      </c>
      <c r="E197" s="7" t="n">
        <v>58.4</v>
      </c>
    </row>
    <row r="198" customFormat="false" ht="15" hidden="false" customHeight="true" outlineLevel="0" collapsed="false">
      <c r="A198" s="8" t="s">
        <v>355</v>
      </c>
      <c r="B198" s="8" t="s">
        <v>5</v>
      </c>
      <c r="C198" s="9"/>
      <c r="D198" s="9" t="n">
        <v>58.4</v>
      </c>
      <c r="E198" s="9" t="n">
        <v>58.4</v>
      </c>
    </row>
    <row r="199" customFormat="false" ht="15" hidden="false" customHeight="true" outlineLevel="0" collapsed="false">
      <c r="A199" s="6" t="s">
        <v>886</v>
      </c>
      <c r="B199" s="6" t="s">
        <v>8</v>
      </c>
      <c r="C199" s="7" t="n">
        <v>2224</v>
      </c>
      <c r="D199" s="7" t="n">
        <v>58</v>
      </c>
      <c r="E199" s="7" t="n">
        <v>58.4</v>
      </c>
    </row>
    <row r="200" customFormat="false" ht="15" hidden="false" customHeight="true" outlineLevel="0" collapsed="false">
      <c r="A200" s="8" t="s">
        <v>886</v>
      </c>
      <c r="B200" s="8" t="s">
        <v>4</v>
      </c>
      <c r="C200" s="9" t="n">
        <v>1570</v>
      </c>
      <c r="D200" s="9" t="n">
        <v>82</v>
      </c>
      <c r="E200" s="9" t="n">
        <v>58.4</v>
      </c>
    </row>
    <row r="201" customFormat="false" ht="15" hidden="false" customHeight="true" outlineLevel="0" collapsed="false">
      <c r="A201" s="6" t="s">
        <v>886</v>
      </c>
      <c r="B201" s="6" t="s">
        <v>7</v>
      </c>
      <c r="C201" s="7" t="n">
        <v>2130</v>
      </c>
      <c r="D201" s="7" t="n">
        <v>62</v>
      </c>
      <c r="E201" s="7" t="n">
        <v>58.4</v>
      </c>
    </row>
    <row r="202" customFormat="false" ht="15" hidden="false" customHeight="true" outlineLevel="0" collapsed="false">
      <c r="A202" s="8" t="s">
        <v>886</v>
      </c>
      <c r="B202" s="8" t="s">
        <v>6</v>
      </c>
      <c r="C202" s="9" t="n">
        <v>1361</v>
      </c>
      <c r="D202" s="9" t="n">
        <v>90</v>
      </c>
      <c r="E202" s="9" t="n">
        <v>58.4</v>
      </c>
    </row>
    <row r="203" customFormat="false" ht="15" hidden="false" customHeight="true" outlineLevel="0" collapsed="false">
      <c r="A203" s="6" t="s">
        <v>887</v>
      </c>
      <c r="B203" s="6" t="s">
        <v>9</v>
      </c>
      <c r="C203" s="7" t="n">
        <v>2137</v>
      </c>
      <c r="D203" s="7" t="n">
        <v>68</v>
      </c>
      <c r="E203" s="7" t="n">
        <v>58.4</v>
      </c>
    </row>
    <row r="204" customFormat="false" ht="15" hidden="false" customHeight="true" outlineLevel="0" collapsed="false">
      <c r="A204" s="8" t="s">
        <v>356</v>
      </c>
      <c r="B204" s="8" t="s">
        <v>5</v>
      </c>
      <c r="C204" s="9"/>
      <c r="D204" s="9" t="n">
        <v>58.4</v>
      </c>
      <c r="E204" s="9" t="n">
        <v>58.4</v>
      </c>
    </row>
    <row r="205" customFormat="false" ht="15" hidden="false" customHeight="true" outlineLevel="0" collapsed="false">
      <c r="A205" s="6" t="s">
        <v>888</v>
      </c>
      <c r="B205" s="6" t="s">
        <v>6</v>
      </c>
      <c r="C205" s="7" t="n">
        <v>1360</v>
      </c>
      <c r="D205" s="7" t="n">
        <v>90</v>
      </c>
      <c r="E205" s="7" t="n">
        <v>58.4</v>
      </c>
    </row>
    <row r="206" customFormat="false" ht="15" hidden="false" customHeight="true" outlineLevel="0" collapsed="false">
      <c r="A206" s="8" t="s">
        <v>888</v>
      </c>
      <c r="B206" s="8" t="s">
        <v>7</v>
      </c>
      <c r="C206" s="9" t="n">
        <v>2132</v>
      </c>
      <c r="D206" s="9" t="n">
        <v>62</v>
      </c>
      <c r="E206" s="9" t="n">
        <v>58.4</v>
      </c>
    </row>
    <row r="207" customFormat="false" ht="15" hidden="false" customHeight="true" outlineLevel="0" collapsed="false">
      <c r="A207" s="6" t="s">
        <v>888</v>
      </c>
      <c r="B207" s="6" t="s">
        <v>4</v>
      </c>
      <c r="C207" s="7" t="n">
        <v>1552</v>
      </c>
      <c r="D207" s="7" t="n">
        <v>83</v>
      </c>
      <c r="E207" s="7" t="n">
        <v>58.4</v>
      </c>
    </row>
    <row r="208" customFormat="false" ht="15" hidden="false" customHeight="true" outlineLevel="0" collapsed="false">
      <c r="A208" s="8" t="s">
        <v>888</v>
      </c>
      <c r="B208" s="8" t="s">
        <v>8</v>
      </c>
      <c r="C208" s="9" t="n">
        <v>2224</v>
      </c>
      <c r="D208" s="9" t="n">
        <v>58</v>
      </c>
      <c r="E208" s="9" t="n">
        <v>58.4</v>
      </c>
    </row>
    <row r="209" customFormat="false" ht="15" hidden="false" customHeight="true" outlineLevel="0" collapsed="false">
      <c r="A209" s="6" t="s">
        <v>889</v>
      </c>
      <c r="B209" s="6" t="s">
        <v>9</v>
      </c>
      <c r="C209" s="7" t="n">
        <v>2134</v>
      </c>
      <c r="D209" s="7" t="n">
        <v>68</v>
      </c>
      <c r="E209" s="7" t="n">
        <v>58.4</v>
      </c>
    </row>
    <row r="210" customFormat="false" ht="15" hidden="false" customHeight="true" outlineLevel="0" collapsed="false">
      <c r="A210" s="8" t="s">
        <v>357</v>
      </c>
      <c r="B210" s="8" t="s">
        <v>5</v>
      </c>
      <c r="C210" s="9"/>
      <c r="D210" s="9" t="n">
        <v>58.4</v>
      </c>
      <c r="E210" s="9" t="n">
        <v>58.4</v>
      </c>
    </row>
    <row r="211" customFormat="false" ht="15" hidden="false" customHeight="true" outlineLevel="0" collapsed="false">
      <c r="A211" s="6" t="s">
        <v>357</v>
      </c>
      <c r="B211" s="6" t="s">
        <v>4</v>
      </c>
      <c r="C211" s="7" t="n">
        <v>1552</v>
      </c>
      <c r="D211" s="7" t="n">
        <v>83</v>
      </c>
      <c r="E211" s="7" t="n">
        <v>58.4</v>
      </c>
    </row>
    <row r="212" customFormat="false" ht="15" hidden="false" customHeight="true" outlineLevel="0" collapsed="false">
      <c r="A212" s="8" t="s">
        <v>357</v>
      </c>
      <c r="B212" s="8" t="s">
        <v>8</v>
      </c>
      <c r="C212" s="9" t="n">
        <v>2224</v>
      </c>
      <c r="D212" s="9" t="n">
        <v>58</v>
      </c>
      <c r="E212" s="9" t="n">
        <v>58.4</v>
      </c>
    </row>
    <row r="213" customFormat="false" ht="15" hidden="false" customHeight="true" outlineLevel="0" collapsed="false">
      <c r="A213" s="6" t="s">
        <v>357</v>
      </c>
      <c r="B213" s="6" t="s">
        <v>6</v>
      </c>
      <c r="C213" s="7" t="n">
        <v>1360</v>
      </c>
      <c r="D213" s="7" t="n">
        <v>90</v>
      </c>
      <c r="E213" s="7" t="n">
        <v>58.4</v>
      </c>
    </row>
    <row r="214" customFormat="false" ht="15" hidden="false" customHeight="true" outlineLevel="0" collapsed="false">
      <c r="A214" s="8" t="s">
        <v>357</v>
      </c>
      <c r="B214" s="8" t="s">
        <v>7</v>
      </c>
      <c r="C214" s="9" t="n">
        <v>2135</v>
      </c>
      <c r="D214" s="9" t="n">
        <v>62</v>
      </c>
      <c r="E214" s="9" t="n">
        <v>58.4</v>
      </c>
    </row>
    <row r="215" customFormat="false" ht="15" hidden="false" customHeight="true" outlineLevel="0" collapsed="false">
      <c r="A215" s="6" t="s">
        <v>890</v>
      </c>
      <c r="B215" s="6" t="s">
        <v>9</v>
      </c>
      <c r="C215" s="7" t="n">
        <v>2134</v>
      </c>
      <c r="D215" s="7" t="n">
        <v>68</v>
      </c>
      <c r="E215" s="7" t="n">
        <v>58.4</v>
      </c>
    </row>
    <row r="216" customFormat="false" ht="15" hidden="false" customHeight="true" outlineLevel="0" collapsed="false">
      <c r="A216" s="8" t="s">
        <v>358</v>
      </c>
      <c r="B216" s="8" t="s">
        <v>6</v>
      </c>
      <c r="C216" s="9" t="n">
        <v>1361</v>
      </c>
      <c r="D216" s="9" t="n">
        <v>90</v>
      </c>
      <c r="E216" s="9" t="n">
        <v>58.4</v>
      </c>
    </row>
    <row r="217" customFormat="false" ht="15" hidden="false" customHeight="true" outlineLevel="0" collapsed="false">
      <c r="A217" s="6" t="s">
        <v>358</v>
      </c>
      <c r="B217" s="6" t="s">
        <v>7</v>
      </c>
      <c r="C217" s="7" t="n">
        <v>2131</v>
      </c>
      <c r="D217" s="7" t="n">
        <v>62</v>
      </c>
      <c r="E217" s="7" t="n">
        <v>58.4</v>
      </c>
    </row>
    <row r="218" customFormat="false" ht="15" hidden="false" customHeight="true" outlineLevel="0" collapsed="false">
      <c r="A218" s="8" t="s">
        <v>358</v>
      </c>
      <c r="B218" s="8" t="s">
        <v>4</v>
      </c>
      <c r="C218" s="9" t="n">
        <v>1552</v>
      </c>
      <c r="D218" s="9" t="n">
        <v>83</v>
      </c>
      <c r="E218" s="9" t="n">
        <v>58.4</v>
      </c>
    </row>
    <row r="219" customFormat="false" ht="15" hidden="false" customHeight="true" outlineLevel="0" collapsed="false">
      <c r="A219" s="6" t="s">
        <v>358</v>
      </c>
      <c r="B219" s="6" t="s">
        <v>5</v>
      </c>
      <c r="C219" s="7"/>
      <c r="D219" s="7" t="n">
        <v>58.4</v>
      </c>
      <c r="E219" s="7" t="n">
        <v>58.4</v>
      </c>
    </row>
    <row r="220" customFormat="false" ht="15" hidden="false" customHeight="true" outlineLevel="0" collapsed="false">
      <c r="A220" s="8" t="s">
        <v>891</v>
      </c>
      <c r="B220" s="8" t="s">
        <v>8</v>
      </c>
      <c r="C220" s="9" t="n">
        <v>2227</v>
      </c>
      <c r="D220" s="9" t="n">
        <v>58</v>
      </c>
      <c r="E220" s="9" t="n">
        <v>58.4</v>
      </c>
    </row>
    <row r="221" customFormat="false" ht="15" hidden="false" customHeight="true" outlineLevel="0" collapsed="false">
      <c r="A221" s="6" t="s">
        <v>891</v>
      </c>
      <c r="B221" s="6" t="s">
        <v>9</v>
      </c>
      <c r="C221" s="7" t="n">
        <v>2137</v>
      </c>
      <c r="D221" s="7" t="n">
        <v>68</v>
      </c>
      <c r="E221" s="7" t="n">
        <v>58.4</v>
      </c>
    </row>
    <row r="222" customFormat="false" ht="15" hidden="false" customHeight="true" outlineLevel="0" collapsed="false">
      <c r="A222" s="8" t="s">
        <v>359</v>
      </c>
      <c r="B222" s="8" t="s">
        <v>5</v>
      </c>
      <c r="C222" s="9"/>
      <c r="D222" s="9" t="n">
        <v>58.4</v>
      </c>
      <c r="E222" s="9" t="n">
        <v>58.4</v>
      </c>
    </row>
    <row r="223" customFormat="false" ht="15" hidden="false" customHeight="true" outlineLevel="0" collapsed="false">
      <c r="A223" s="6" t="s">
        <v>359</v>
      </c>
      <c r="B223" s="6" t="s">
        <v>6</v>
      </c>
      <c r="C223" s="7" t="n">
        <v>1366</v>
      </c>
      <c r="D223" s="7" t="n">
        <v>89</v>
      </c>
      <c r="E223" s="7" t="n">
        <v>58.4</v>
      </c>
    </row>
    <row r="224" customFormat="false" ht="15" hidden="false" customHeight="true" outlineLevel="0" collapsed="false">
      <c r="A224" s="8" t="s">
        <v>359</v>
      </c>
      <c r="B224" s="8" t="s">
        <v>4</v>
      </c>
      <c r="C224" s="9" t="n">
        <v>1527</v>
      </c>
      <c r="D224" s="9" t="n">
        <v>84</v>
      </c>
      <c r="E224" s="9" t="n">
        <v>58.4</v>
      </c>
    </row>
    <row r="225" customFormat="false" ht="15" hidden="false" customHeight="true" outlineLevel="0" collapsed="false">
      <c r="A225" s="6" t="s">
        <v>892</v>
      </c>
      <c r="B225" s="6" t="s">
        <v>9</v>
      </c>
      <c r="C225" s="7" t="n">
        <v>2140</v>
      </c>
      <c r="D225" s="7" t="n">
        <v>67</v>
      </c>
      <c r="E225" s="7" t="n">
        <v>58.4</v>
      </c>
    </row>
    <row r="226" customFormat="false" ht="15" hidden="false" customHeight="true" outlineLevel="0" collapsed="false">
      <c r="A226" s="8" t="s">
        <v>892</v>
      </c>
      <c r="B226" s="8" t="s">
        <v>7</v>
      </c>
      <c r="C226" s="9" t="n">
        <v>2134</v>
      </c>
      <c r="D226" s="9" t="n">
        <v>62</v>
      </c>
      <c r="E226" s="9" t="n">
        <v>58.4</v>
      </c>
    </row>
    <row r="227" customFormat="false" ht="15" hidden="false" customHeight="true" outlineLevel="0" collapsed="false">
      <c r="A227" s="6" t="s">
        <v>892</v>
      </c>
      <c r="B227" s="6" t="s">
        <v>8</v>
      </c>
      <c r="C227" s="7" t="n">
        <v>2226</v>
      </c>
      <c r="D227" s="7" t="n">
        <v>58</v>
      </c>
      <c r="E227" s="7" t="n">
        <v>58.4</v>
      </c>
    </row>
    <row r="228" customFormat="false" ht="15" hidden="false" customHeight="true" outlineLevel="0" collapsed="false">
      <c r="A228" s="8" t="s">
        <v>360</v>
      </c>
      <c r="B228" s="8" t="s">
        <v>4</v>
      </c>
      <c r="C228" s="9" t="n">
        <v>1569</v>
      </c>
      <c r="D228" s="9" t="n">
        <v>82</v>
      </c>
      <c r="E228" s="9" t="n">
        <v>58.4</v>
      </c>
    </row>
    <row r="229" customFormat="false" ht="15" hidden="false" customHeight="true" outlineLevel="0" collapsed="false">
      <c r="A229" s="6" t="s">
        <v>360</v>
      </c>
      <c r="B229" s="6" t="s">
        <v>5</v>
      </c>
      <c r="C229" s="7"/>
      <c r="D229" s="7" t="n">
        <v>58.4</v>
      </c>
      <c r="E229" s="7" t="n">
        <v>58.4</v>
      </c>
    </row>
    <row r="230" customFormat="false" ht="15" hidden="false" customHeight="true" outlineLevel="0" collapsed="false">
      <c r="A230" s="8" t="s">
        <v>893</v>
      </c>
      <c r="B230" s="8" t="s">
        <v>6</v>
      </c>
      <c r="C230" s="9" t="n">
        <v>1367</v>
      </c>
      <c r="D230" s="9" t="n">
        <v>89</v>
      </c>
      <c r="E230" s="9" t="n">
        <v>58.4</v>
      </c>
    </row>
    <row r="231" customFormat="false" ht="15" hidden="false" customHeight="true" outlineLevel="0" collapsed="false">
      <c r="A231" s="6" t="s">
        <v>893</v>
      </c>
      <c r="B231" s="6" t="s">
        <v>7</v>
      </c>
      <c r="C231" s="7" t="n">
        <v>2138</v>
      </c>
      <c r="D231" s="7" t="n">
        <v>61</v>
      </c>
      <c r="E231" s="7" t="n">
        <v>58.4</v>
      </c>
    </row>
    <row r="232" customFormat="false" ht="15" hidden="false" customHeight="true" outlineLevel="0" collapsed="false">
      <c r="A232" s="8" t="s">
        <v>893</v>
      </c>
      <c r="B232" s="8" t="s">
        <v>8</v>
      </c>
      <c r="C232" s="9" t="n">
        <v>2228</v>
      </c>
      <c r="D232" s="9" t="n">
        <v>58</v>
      </c>
      <c r="E232" s="9" t="n">
        <v>58.4</v>
      </c>
    </row>
    <row r="233" customFormat="false" ht="15" hidden="false" customHeight="true" outlineLevel="0" collapsed="false">
      <c r="A233" s="6" t="s">
        <v>893</v>
      </c>
      <c r="B233" s="6" t="s">
        <v>9</v>
      </c>
      <c r="C233" s="7" t="n">
        <v>2149</v>
      </c>
      <c r="D233" s="7" t="n">
        <v>66</v>
      </c>
      <c r="E233" s="7" t="n">
        <v>58.4</v>
      </c>
    </row>
    <row r="234" customFormat="false" ht="15" hidden="false" customHeight="true" outlineLevel="0" collapsed="false">
      <c r="A234" s="8" t="s">
        <v>361</v>
      </c>
      <c r="B234" s="8" t="s">
        <v>4</v>
      </c>
      <c r="C234" s="9" t="n">
        <v>1535</v>
      </c>
      <c r="D234" s="9" t="n">
        <v>84</v>
      </c>
      <c r="E234" s="9" t="n">
        <v>58.4</v>
      </c>
    </row>
    <row r="235" customFormat="false" ht="15" hidden="false" customHeight="true" outlineLevel="0" collapsed="false">
      <c r="A235" s="6" t="s">
        <v>361</v>
      </c>
      <c r="B235" s="6" t="s">
        <v>5</v>
      </c>
      <c r="C235" s="7"/>
      <c r="D235" s="7" t="n">
        <v>58.4</v>
      </c>
      <c r="E235" s="7" t="n">
        <v>58.4</v>
      </c>
    </row>
    <row r="236" customFormat="false" ht="15" hidden="false" customHeight="true" outlineLevel="0" collapsed="false">
      <c r="A236" s="8" t="s">
        <v>894</v>
      </c>
      <c r="B236" s="8" t="s">
        <v>9</v>
      </c>
      <c r="C236" s="9" t="n">
        <v>2145</v>
      </c>
      <c r="D236" s="9" t="n">
        <v>67</v>
      </c>
      <c r="E236" s="9" t="n">
        <v>58.4</v>
      </c>
    </row>
    <row r="237" customFormat="false" ht="15" hidden="false" customHeight="true" outlineLevel="0" collapsed="false">
      <c r="A237" s="6" t="s">
        <v>894</v>
      </c>
      <c r="B237" s="6" t="s">
        <v>8</v>
      </c>
      <c r="C237" s="7" t="n">
        <v>2228</v>
      </c>
      <c r="D237" s="7" t="n">
        <v>58</v>
      </c>
      <c r="E237" s="7" t="n">
        <v>58.4</v>
      </c>
    </row>
    <row r="238" customFormat="false" ht="15" hidden="false" customHeight="true" outlineLevel="0" collapsed="false">
      <c r="A238" s="8" t="s">
        <v>894</v>
      </c>
      <c r="B238" s="8" t="s">
        <v>6</v>
      </c>
      <c r="C238" s="9" t="n">
        <v>1363</v>
      </c>
      <c r="D238" s="9" t="n">
        <v>90</v>
      </c>
      <c r="E238" s="9" t="n">
        <v>58.4</v>
      </c>
    </row>
    <row r="239" customFormat="false" ht="15" hidden="false" customHeight="true" outlineLevel="0" collapsed="false">
      <c r="A239" s="6" t="s">
        <v>894</v>
      </c>
      <c r="B239" s="6" t="s">
        <v>7</v>
      </c>
      <c r="C239" s="7" t="n">
        <v>2141</v>
      </c>
      <c r="D239" s="7" t="n">
        <v>61</v>
      </c>
      <c r="E239" s="7" t="n">
        <v>58.4</v>
      </c>
    </row>
    <row r="240" customFormat="false" ht="15" hidden="false" customHeight="true" outlineLevel="0" collapsed="false">
      <c r="A240" s="8" t="s">
        <v>362</v>
      </c>
      <c r="B240" s="8" t="s">
        <v>4</v>
      </c>
      <c r="C240" s="9" t="n">
        <v>1535</v>
      </c>
      <c r="D240" s="9" t="n">
        <v>84</v>
      </c>
      <c r="E240" s="9" t="n">
        <v>58.4</v>
      </c>
    </row>
    <row r="241" customFormat="false" ht="15" hidden="false" customHeight="true" outlineLevel="0" collapsed="false">
      <c r="A241" s="6" t="s">
        <v>362</v>
      </c>
      <c r="B241" s="6" t="s">
        <v>5</v>
      </c>
      <c r="C241" s="7"/>
      <c r="D241" s="7" t="n">
        <v>58.4</v>
      </c>
      <c r="E241" s="7" t="n">
        <v>58.4</v>
      </c>
    </row>
    <row r="242" customFormat="false" ht="15" hidden="false" customHeight="true" outlineLevel="0" collapsed="false">
      <c r="A242" s="8" t="s">
        <v>895</v>
      </c>
      <c r="B242" s="8" t="s">
        <v>6</v>
      </c>
      <c r="C242" s="9" t="n">
        <v>1280</v>
      </c>
      <c r="D242" s="9" t="n">
        <v>95</v>
      </c>
      <c r="E242" s="9" t="n">
        <v>58.4</v>
      </c>
    </row>
    <row r="243" customFormat="false" ht="15" hidden="false" customHeight="true" outlineLevel="0" collapsed="false">
      <c r="A243" s="6" t="s">
        <v>895</v>
      </c>
      <c r="B243" s="6" t="s">
        <v>7</v>
      </c>
      <c r="C243" s="7" t="n">
        <v>2141</v>
      </c>
      <c r="D243" s="7" t="n">
        <v>61</v>
      </c>
      <c r="E243" s="7" t="n">
        <v>58.4</v>
      </c>
    </row>
    <row r="244" customFormat="false" ht="15" hidden="false" customHeight="true" outlineLevel="0" collapsed="false">
      <c r="A244" s="8" t="s">
        <v>895</v>
      </c>
      <c r="B244" s="8" t="s">
        <v>8</v>
      </c>
      <c r="C244" s="9" t="n">
        <v>2228</v>
      </c>
      <c r="D244" s="9" t="n">
        <v>58</v>
      </c>
      <c r="E244" s="9" t="n">
        <v>58.4</v>
      </c>
    </row>
    <row r="245" customFormat="false" ht="15" hidden="false" customHeight="true" outlineLevel="0" collapsed="false">
      <c r="A245" s="6" t="s">
        <v>895</v>
      </c>
      <c r="B245" s="6" t="s">
        <v>9</v>
      </c>
      <c r="C245" s="7" t="n">
        <v>2144</v>
      </c>
      <c r="D245" s="7" t="n">
        <v>67</v>
      </c>
      <c r="E245" s="7" t="n">
        <v>58.4</v>
      </c>
    </row>
    <row r="246" customFormat="false" ht="15" hidden="false" customHeight="true" outlineLevel="0" collapsed="false">
      <c r="A246" s="8" t="s">
        <v>363</v>
      </c>
      <c r="B246" s="8" t="s">
        <v>4</v>
      </c>
      <c r="C246" s="9" t="n">
        <v>1581</v>
      </c>
      <c r="D246" s="9" t="n">
        <v>81</v>
      </c>
      <c r="E246" s="9" t="n">
        <v>58.4</v>
      </c>
    </row>
    <row r="247" customFormat="false" ht="15" hidden="false" customHeight="true" outlineLevel="0" collapsed="false">
      <c r="A247" s="6" t="s">
        <v>363</v>
      </c>
      <c r="B247" s="6" t="s">
        <v>5</v>
      </c>
      <c r="C247" s="7"/>
      <c r="D247" s="7" t="n">
        <v>58.4</v>
      </c>
      <c r="E247" s="7" t="n">
        <v>58.4</v>
      </c>
    </row>
    <row r="248" customFormat="false" ht="15" hidden="false" customHeight="true" outlineLevel="0" collapsed="false">
      <c r="A248" s="8" t="s">
        <v>896</v>
      </c>
      <c r="B248" s="8" t="s">
        <v>7</v>
      </c>
      <c r="C248" s="9" t="n">
        <v>2138</v>
      </c>
      <c r="D248" s="9" t="n">
        <v>61</v>
      </c>
      <c r="E248" s="9" t="n">
        <v>58.4</v>
      </c>
    </row>
    <row r="249" customFormat="false" ht="15" hidden="false" customHeight="true" outlineLevel="0" collapsed="false">
      <c r="A249" s="6" t="s">
        <v>896</v>
      </c>
      <c r="B249" s="6" t="s">
        <v>6</v>
      </c>
      <c r="C249" s="7" t="n">
        <v>1374</v>
      </c>
      <c r="D249" s="7" t="n">
        <v>89</v>
      </c>
      <c r="E249" s="7" t="n">
        <v>58.4</v>
      </c>
    </row>
    <row r="250" customFormat="false" ht="15" hidden="false" customHeight="true" outlineLevel="0" collapsed="false">
      <c r="A250" s="8" t="s">
        <v>897</v>
      </c>
      <c r="B250" s="8" t="s">
        <v>8</v>
      </c>
      <c r="C250" s="9" t="n">
        <v>2227</v>
      </c>
      <c r="D250" s="9" t="n">
        <v>58</v>
      </c>
      <c r="E250" s="9" t="n">
        <v>58.4</v>
      </c>
    </row>
    <row r="251" customFormat="false" ht="15" hidden="false" customHeight="true" outlineLevel="0" collapsed="false">
      <c r="A251" s="6" t="s">
        <v>898</v>
      </c>
      <c r="B251" s="6" t="s">
        <v>9</v>
      </c>
      <c r="C251" s="7" t="n">
        <v>2147</v>
      </c>
      <c r="D251" s="7" t="n">
        <v>66</v>
      </c>
      <c r="E251" s="7" t="n">
        <v>58.4</v>
      </c>
    </row>
    <row r="252" customFormat="false" ht="15" hidden="false" customHeight="true" outlineLevel="0" collapsed="false">
      <c r="A252" s="8" t="s">
        <v>364</v>
      </c>
      <c r="B252" s="8" t="s">
        <v>5</v>
      </c>
      <c r="C252" s="9"/>
      <c r="D252" s="9" t="n">
        <v>58.4</v>
      </c>
      <c r="E252" s="9" t="n">
        <v>58.4</v>
      </c>
    </row>
    <row r="253" customFormat="false" ht="15" hidden="false" customHeight="true" outlineLevel="0" collapsed="false">
      <c r="A253" s="6" t="s">
        <v>899</v>
      </c>
      <c r="B253" s="6" t="s">
        <v>6</v>
      </c>
      <c r="C253" s="7" t="n">
        <v>1437</v>
      </c>
      <c r="D253" s="7" t="n">
        <v>85</v>
      </c>
      <c r="E253" s="7" t="n">
        <v>58.4</v>
      </c>
    </row>
    <row r="254" customFormat="false" ht="15" hidden="false" customHeight="true" outlineLevel="0" collapsed="false">
      <c r="A254" s="8" t="s">
        <v>899</v>
      </c>
      <c r="B254" s="8" t="s">
        <v>7</v>
      </c>
      <c r="C254" s="9" t="n">
        <v>2145</v>
      </c>
      <c r="D254" s="9" t="n">
        <v>61</v>
      </c>
      <c r="E254" s="9" t="n">
        <v>58.4</v>
      </c>
    </row>
    <row r="255" customFormat="false" ht="15" hidden="false" customHeight="true" outlineLevel="0" collapsed="false">
      <c r="A255" s="6" t="s">
        <v>899</v>
      </c>
      <c r="B255" s="6" t="s">
        <v>4</v>
      </c>
      <c r="C255" s="7" t="n">
        <v>1569</v>
      </c>
      <c r="D255" s="7" t="n">
        <v>82</v>
      </c>
      <c r="E255" s="7" t="n">
        <v>58.4</v>
      </c>
    </row>
    <row r="256" customFormat="false" ht="15" hidden="false" customHeight="true" outlineLevel="0" collapsed="false">
      <c r="A256" s="8" t="s">
        <v>900</v>
      </c>
      <c r="B256" s="8" t="s">
        <v>8</v>
      </c>
      <c r="C256" s="9" t="n">
        <v>2237</v>
      </c>
      <c r="D256" s="9" t="n">
        <v>57</v>
      </c>
      <c r="E256" s="9" t="n">
        <v>58.4</v>
      </c>
    </row>
    <row r="257" customFormat="false" ht="15" hidden="false" customHeight="true" outlineLevel="0" collapsed="false">
      <c r="A257" s="6" t="s">
        <v>900</v>
      </c>
      <c r="B257" s="6" t="s">
        <v>9</v>
      </c>
      <c r="C257" s="7" t="n">
        <v>2146</v>
      </c>
      <c r="D257" s="7" t="n">
        <v>66</v>
      </c>
      <c r="E257" s="7" t="n">
        <v>58.4</v>
      </c>
    </row>
    <row r="258" customFormat="false" ht="15" hidden="false" customHeight="true" outlineLevel="0" collapsed="false">
      <c r="A258" s="8" t="s">
        <v>365</v>
      </c>
      <c r="B258" s="8" t="s">
        <v>5</v>
      </c>
      <c r="C258" s="9"/>
      <c r="D258" s="9" t="n">
        <v>58.2</v>
      </c>
      <c r="E258" s="9" t="n">
        <v>58.2</v>
      </c>
    </row>
    <row r="259" customFormat="false" ht="15" hidden="false" customHeight="true" outlineLevel="0" collapsed="false">
      <c r="A259" s="6" t="s">
        <v>365</v>
      </c>
      <c r="B259" s="6" t="s">
        <v>4</v>
      </c>
      <c r="C259" s="7" t="n">
        <v>1535</v>
      </c>
      <c r="D259" s="7" t="n">
        <v>84</v>
      </c>
      <c r="E259" s="7" t="n">
        <v>58.2</v>
      </c>
    </row>
    <row r="260" customFormat="false" ht="15" hidden="false" customHeight="true" outlineLevel="0" collapsed="false">
      <c r="A260" s="8" t="s">
        <v>365</v>
      </c>
      <c r="B260" s="8" t="s">
        <v>6</v>
      </c>
      <c r="C260" s="9" t="n">
        <v>1363</v>
      </c>
      <c r="D260" s="9" t="n">
        <v>90</v>
      </c>
      <c r="E260" s="9" t="n">
        <v>58.2</v>
      </c>
    </row>
    <row r="261" customFormat="false" ht="15" hidden="false" customHeight="true" outlineLevel="0" collapsed="false">
      <c r="A261" s="6" t="s">
        <v>901</v>
      </c>
      <c r="B261" s="6" t="s">
        <v>7</v>
      </c>
      <c r="C261" s="7" t="n">
        <v>2143</v>
      </c>
      <c r="D261" s="7" t="n">
        <v>61</v>
      </c>
      <c r="E261" s="7" t="n">
        <v>58.2</v>
      </c>
    </row>
    <row r="262" customFormat="false" ht="15" hidden="false" customHeight="true" outlineLevel="0" collapsed="false">
      <c r="A262" s="8" t="s">
        <v>901</v>
      </c>
      <c r="B262" s="8" t="s">
        <v>8</v>
      </c>
      <c r="C262" s="9" t="n">
        <v>2235</v>
      </c>
      <c r="D262" s="9" t="n">
        <v>57</v>
      </c>
      <c r="E262" s="9" t="n">
        <v>58.2</v>
      </c>
    </row>
    <row r="263" customFormat="false" ht="15" hidden="false" customHeight="true" outlineLevel="0" collapsed="false">
      <c r="A263" s="6" t="s">
        <v>901</v>
      </c>
      <c r="B263" s="6" t="s">
        <v>9</v>
      </c>
      <c r="C263" s="7" t="n">
        <v>2146</v>
      </c>
      <c r="D263" s="7" t="n">
        <v>66</v>
      </c>
      <c r="E263" s="7" t="n">
        <v>58.2</v>
      </c>
    </row>
    <row r="264" customFormat="false" ht="15" hidden="false" customHeight="true" outlineLevel="0" collapsed="false">
      <c r="A264" s="8" t="s">
        <v>366</v>
      </c>
      <c r="B264" s="8" t="s">
        <v>4</v>
      </c>
      <c r="C264" s="9" t="n">
        <v>1571</v>
      </c>
      <c r="D264" s="9" t="n">
        <v>81</v>
      </c>
      <c r="E264" s="9" t="n">
        <v>58.4</v>
      </c>
    </row>
    <row r="265" customFormat="false" ht="15" hidden="false" customHeight="true" outlineLevel="0" collapsed="false">
      <c r="A265" s="6" t="s">
        <v>366</v>
      </c>
      <c r="B265" s="6" t="s">
        <v>5</v>
      </c>
      <c r="C265" s="7"/>
      <c r="D265" s="7" t="n">
        <v>58.4</v>
      </c>
      <c r="E265" s="7" t="n">
        <v>58.4</v>
      </c>
    </row>
    <row r="266" customFormat="false" ht="15" hidden="false" customHeight="true" outlineLevel="0" collapsed="false">
      <c r="A266" s="8" t="s">
        <v>902</v>
      </c>
      <c r="B266" s="8" t="s">
        <v>6</v>
      </c>
      <c r="C266" s="9" t="n">
        <v>1375</v>
      </c>
      <c r="D266" s="9" t="n">
        <v>89</v>
      </c>
      <c r="E266" s="9" t="n">
        <v>58.4</v>
      </c>
    </row>
    <row r="267" customFormat="false" ht="15" hidden="false" customHeight="true" outlineLevel="0" collapsed="false">
      <c r="A267" s="6" t="s">
        <v>902</v>
      </c>
      <c r="B267" s="6" t="s">
        <v>7</v>
      </c>
      <c r="C267" s="7" t="n">
        <v>2146</v>
      </c>
      <c r="D267" s="7" t="n">
        <v>61</v>
      </c>
      <c r="E267" s="7" t="n">
        <v>58.4</v>
      </c>
    </row>
    <row r="268" customFormat="false" ht="15" hidden="false" customHeight="true" outlineLevel="0" collapsed="false">
      <c r="A268" s="8" t="s">
        <v>903</v>
      </c>
      <c r="B268" s="8" t="s">
        <v>9</v>
      </c>
      <c r="C268" s="9" t="n">
        <v>2157</v>
      </c>
      <c r="D268" s="9" t="n">
        <v>64</v>
      </c>
      <c r="E268" s="9" t="n">
        <v>58.4</v>
      </c>
    </row>
    <row r="269" customFormat="false" ht="15" hidden="false" customHeight="true" outlineLevel="0" collapsed="false">
      <c r="A269" s="6" t="s">
        <v>903</v>
      </c>
      <c r="B269" s="6" t="s">
        <v>8</v>
      </c>
      <c r="C269" s="7" t="n">
        <v>2231</v>
      </c>
      <c r="D269" s="7" t="n">
        <v>57</v>
      </c>
      <c r="E269" s="7" t="n">
        <v>58.4</v>
      </c>
    </row>
    <row r="270" customFormat="false" ht="15" hidden="false" customHeight="true" outlineLevel="0" collapsed="false">
      <c r="A270" s="8" t="s">
        <v>367</v>
      </c>
      <c r="B270" s="8" t="s">
        <v>6</v>
      </c>
      <c r="C270" s="9" t="n">
        <v>1363</v>
      </c>
      <c r="D270" s="9" t="n">
        <v>90</v>
      </c>
      <c r="E270" s="9" t="n">
        <v>58.4</v>
      </c>
    </row>
    <row r="271" customFormat="false" ht="15" hidden="false" customHeight="true" outlineLevel="0" collapsed="false">
      <c r="A271" s="6" t="s">
        <v>367</v>
      </c>
      <c r="B271" s="6" t="s">
        <v>7</v>
      </c>
      <c r="C271" s="7" t="n">
        <v>2148</v>
      </c>
      <c r="D271" s="7" t="n">
        <v>61</v>
      </c>
      <c r="E271" s="7" t="n">
        <v>58.4</v>
      </c>
    </row>
    <row r="272" customFormat="false" ht="15" hidden="false" customHeight="true" outlineLevel="0" collapsed="false">
      <c r="A272" s="8" t="s">
        <v>367</v>
      </c>
      <c r="B272" s="8" t="s">
        <v>4</v>
      </c>
      <c r="C272" s="9" t="n">
        <v>1581</v>
      </c>
      <c r="D272" s="9" t="n">
        <v>81</v>
      </c>
      <c r="E272" s="9" t="n">
        <v>58.4</v>
      </c>
    </row>
    <row r="273" customFormat="false" ht="15" hidden="false" customHeight="true" outlineLevel="0" collapsed="false">
      <c r="A273" s="6" t="s">
        <v>367</v>
      </c>
      <c r="B273" s="6" t="s">
        <v>5</v>
      </c>
      <c r="C273" s="7"/>
      <c r="D273" s="7" t="n">
        <v>58.4</v>
      </c>
      <c r="E273" s="7" t="n">
        <v>58.4</v>
      </c>
    </row>
    <row r="274" customFormat="false" ht="15" hidden="false" customHeight="true" outlineLevel="0" collapsed="false">
      <c r="A274" s="8" t="s">
        <v>904</v>
      </c>
      <c r="B274" s="8" t="s">
        <v>8</v>
      </c>
      <c r="C274" s="9" t="n">
        <v>2233</v>
      </c>
      <c r="D274" s="9" t="n">
        <v>57</v>
      </c>
      <c r="E274" s="9" t="n">
        <v>58.4</v>
      </c>
    </row>
    <row r="275" customFormat="false" ht="15" hidden="false" customHeight="true" outlineLevel="0" collapsed="false">
      <c r="A275" s="6" t="s">
        <v>904</v>
      </c>
      <c r="B275" s="6" t="s">
        <v>9</v>
      </c>
      <c r="C275" s="7" t="n">
        <v>2150</v>
      </c>
      <c r="D275" s="7" t="n">
        <v>66</v>
      </c>
      <c r="E275" s="7" t="n">
        <v>58.4</v>
      </c>
    </row>
    <row r="276" customFormat="false" ht="15" hidden="false" customHeight="true" outlineLevel="0" collapsed="false">
      <c r="A276" s="8" t="s">
        <v>368</v>
      </c>
      <c r="B276" s="8" t="s">
        <v>5</v>
      </c>
      <c r="C276" s="9"/>
      <c r="D276" s="9" t="n">
        <v>58.4</v>
      </c>
      <c r="E276" s="9" t="n">
        <v>58.4</v>
      </c>
    </row>
    <row r="277" customFormat="false" ht="15" hidden="false" customHeight="true" outlineLevel="0" collapsed="false">
      <c r="A277" s="6" t="s">
        <v>368</v>
      </c>
      <c r="B277" s="6" t="s">
        <v>6</v>
      </c>
      <c r="C277" s="7" t="n">
        <v>1361</v>
      </c>
      <c r="D277" s="7" t="n">
        <v>90</v>
      </c>
      <c r="E277" s="7" t="n">
        <v>58.4</v>
      </c>
    </row>
    <row r="278" customFormat="false" ht="15" hidden="false" customHeight="true" outlineLevel="0" collapsed="false">
      <c r="A278" s="8" t="s">
        <v>368</v>
      </c>
      <c r="B278" s="8" t="s">
        <v>4</v>
      </c>
      <c r="C278" s="9" t="n">
        <v>1557</v>
      </c>
      <c r="D278" s="9" t="n">
        <v>82</v>
      </c>
      <c r="E278" s="9" t="n">
        <v>58.4</v>
      </c>
    </row>
    <row r="279" customFormat="false" ht="15" hidden="false" customHeight="true" outlineLevel="0" collapsed="false">
      <c r="A279" s="6" t="s">
        <v>905</v>
      </c>
      <c r="B279" s="6" t="s">
        <v>8</v>
      </c>
      <c r="C279" s="7" t="n">
        <v>2228</v>
      </c>
      <c r="D279" s="7" t="n">
        <v>58</v>
      </c>
      <c r="E279" s="7" t="n">
        <v>58.4</v>
      </c>
    </row>
    <row r="280" customFormat="false" ht="15" hidden="false" customHeight="true" outlineLevel="0" collapsed="false">
      <c r="A280" s="8" t="s">
        <v>905</v>
      </c>
      <c r="B280" s="8" t="s">
        <v>9</v>
      </c>
      <c r="C280" s="9" t="n">
        <v>2149</v>
      </c>
      <c r="D280" s="9" t="n">
        <v>66</v>
      </c>
      <c r="E280" s="9" t="n">
        <v>58.4</v>
      </c>
    </row>
    <row r="281" customFormat="false" ht="15" hidden="false" customHeight="true" outlineLevel="0" collapsed="false">
      <c r="A281" s="6" t="s">
        <v>905</v>
      </c>
      <c r="B281" s="6" t="s">
        <v>7</v>
      </c>
      <c r="C281" s="7" t="n">
        <v>2148</v>
      </c>
      <c r="D281" s="7" t="n">
        <v>61</v>
      </c>
      <c r="E281" s="7" t="n">
        <v>58.4</v>
      </c>
    </row>
    <row r="282" customFormat="false" ht="15" hidden="false" customHeight="true" outlineLevel="0" collapsed="false">
      <c r="A282" s="8" t="s">
        <v>369</v>
      </c>
      <c r="B282" s="8" t="s">
        <v>5</v>
      </c>
      <c r="C282" s="9"/>
      <c r="D282" s="9" t="n">
        <v>58.4</v>
      </c>
      <c r="E282" s="9" t="n">
        <v>58.4</v>
      </c>
    </row>
    <row r="283" customFormat="false" ht="15" hidden="false" customHeight="true" outlineLevel="0" collapsed="false">
      <c r="A283" s="6" t="s">
        <v>369</v>
      </c>
      <c r="B283" s="6" t="s">
        <v>4</v>
      </c>
      <c r="C283" s="7" t="n">
        <v>1530</v>
      </c>
      <c r="D283" s="7" t="n">
        <v>84</v>
      </c>
      <c r="E283" s="7" t="n">
        <v>58.4</v>
      </c>
    </row>
    <row r="284" customFormat="false" ht="15" hidden="false" customHeight="true" outlineLevel="0" collapsed="false">
      <c r="A284" s="8" t="s">
        <v>369</v>
      </c>
      <c r="B284" s="8" t="s">
        <v>6</v>
      </c>
      <c r="C284" s="9" t="n">
        <v>1361</v>
      </c>
      <c r="D284" s="9" t="n">
        <v>90</v>
      </c>
      <c r="E284" s="9" t="n">
        <v>58.4</v>
      </c>
    </row>
    <row r="285" customFormat="false" ht="15" hidden="false" customHeight="true" outlineLevel="0" collapsed="false">
      <c r="A285" s="6" t="s">
        <v>906</v>
      </c>
      <c r="B285" s="6" t="s">
        <v>7</v>
      </c>
      <c r="C285" s="7" t="n">
        <v>2146</v>
      </c>
      <c r="D285" s="7" t="n">
        <v>61</v>
      </c>
      <c r="E285" s="7" t="n">
        <v>58.4</v>
      </c>
    </row>
    <row r="286" customFormat="false" ht="15" hidden="false" customHeight="true" outlineLevel="0" collapsed="false">
      <c r="A286" s="8" t="s">
        <v>906</v>
      </c>
      <c r="B286" s="8" t="s">
        <v>8</v>
      </c>
      <c r="C286" s="9" t="n">
        <v>2231</v>
      </c>
      <c r="D286" s="9" t="n">
        <v>57</v>
      </c>
      <c r="E286" s="9" t="n">
        <v>58.4</v>
      </c>
    </row>
    <row r="287" customFormat="false" ht="15" hidden="false" customHeight="true" outlineLevel="0" collapsed="false">
      <c r="A287" s="6" t="s">
        <v>906</v>
      </c>
      <c r="B287" s="6" t="s">
        <v>9</v>
      </c>
      <c r="C287" s="7" t="n">
        <v>2153</v>
      </c>
      <c r="D287" s="7" t="n">
        <v>65</v>
      </c>
      <c r="E287" s="7" t="n">
        <v>58.4</v>
      </c>
    </row>
    <row r="288" customFormat="false" ht="15" hidden="false" customHeight="true" outlineLevel="0" collapsed="false">
      <c r="A288" s="8" t="s">
        <v>370</v>
      </c>
      <c r="B288" s="8" t="s">
        <v>4</v>
      </c>
      <c r="C288" s="9" t="n">
        <v>1573</v>
      </c>
      <c r="D288" s="9" t="n">
        <v>81</v>
      </c>
      <c r="E288" s="9" t="n">
        <v>58.4</v>
      </c>
    </row>
    <row r="289" customFormat="false" ht="15" hidden="false" customHeight="true" outlineLevel="0" collapsed="false">
      <c r="A289" s="6" t="s">
        <v>370</v>
      </c>
      <c r="B289" s="6" t="s">
        <v>5</v>
      </c>
      <c r="C289" s="7"/>
      <c r="D289" s="7" t="n">
        <v>58.4</v>
      </c>
      <c r="E289" s="7" t="n">
        <v>58.4</v>
      </c>
    </row>
    <row r="290" customFormat="false" ht="15" hidden="false" customHeight="true" outlineLevel="0" collapsed="false">
      <c r="A290" s="8" t="s">
        <v>907</v>
      </c>
      <c r="B290" s="8" t="s">
        <v>6</v>
      </c>
      <c r="C290" s="9" t="n">
        <v>1360</v>
      </c>
      <c r="D290" s="9" t="n">
        <v>90</v>
      </c>
      <c r="E290" s="9" t="n">
        <v>58.4</v>
      </c>
    </row>
    <row r="291" customFormat="false" ht="15" hidden="false" customHeight="true" outlineLevel="0" collapsed="false">
      <c r="A291" s="6" t="s">
        <v>907</v>
      </c>
      <c r="B291" s="6" t="s">
        <v>7</v>
      </c>
      <c r="C291" s="7" t="n">
        <v>2153</v>
      </c>
      <c r="D291" s="7" t="n">
        <v>60</v>
      </c>
      <c r="E291" s="7" t="n">
        <v>58.4</v>
      </c>
    </row>
    <row r="292" customFormat="false" ht="15" hidden="false" customHeight="true" outlineLevel="0" collapsed="false">
      <c r="A292" s="8" t="s">
        <v>907</v>
      </c>
      <c r="B292" s="8" t="s">
        <v>8</v>
      </c>
      <c r="C292" s="9" t="n">
        <v>2238</v>
      </c>
      <c r="D292" s="9" t="n">
        <v>56</v>
      </c>
      <c r="E292" s="9" t="n">
        <v>58.4</v>
      </c>
    </row>
    <row r="293" customFormat="false" ht="15" hidden="false" customHeight="true" outlineLevel="0" collapsed="false">
      <c r="A293" s="6" t="s">
        <v>908</v>
      </c>
      <c r="B293" s="6" t="s">
        <v>9</v>
      </c>
      <c r="C293" s="7" t="n">
        <v>2155</v>
      </c>
      <c r="D293" s="7" t="n">
        <v>65</v>
      </c>
      <c r="E293" s="7" t="n">
        <v>58.4</v>
      </c>
    </row>
    <row r="294" customFormat="false" ht="15" hidden="false" customHeight="true" outlineLevel="0" collapsed="false">
      <c r="A294" s="8" t="s">
        <v>371</v>
      </c>
      <c r="B294" s="8" t="s">
        <v>4</v>
      </c>
      <c r="C294" s="9" t="n">
        <v>1587</v>
      </c>
      <c r="D294" s="9" t="n">
        <v>80</v>
      </c>
      <c r="E294" s="9" t="n">
        <v>58.4</v>
      </c>
    </row>
    <row r="295" customFormat="false" ht="15" hidden="false" customHeight="true" outlineLevel="0" collapsed="false">
      <c r="A295" s="6" t="s">
        <v>371</v>
      </c>
      <c r="B295" s="6" t="s">
        <v>5</v>
      </c>
      <c r="C295" s="7"/>
      <c r="D295" s="7" t="n">
        <v>58.4</v>
      </c>
      <c r="E295" s="7" t="n">
        <v>58.4</v>
      </c>
    </row>
    <row r="296" customFormat="false" ht="15" hidden="false" customHeight="true" outlineLevel="0" collapsed="false">
      <c r="A296" s="8" t="s">
        <v>909</v>
      </c>
      <c r="B296" s="8" t="s">
        <v>9</v>
      </c>
      <c r="C296" s="9" t="n">
        <v>2159</v>
      </c>
      <c r="D296" s="9" t="n">
        <v>64</v>
      </c>
      <c r="E296" s="9" t="n">
        <v>58.4</v>
      </c>
    </row>
    <row r="297" customFormat="false" ht="15" hidden="false" customHeight="true" outlineLevel="0" collapsed="false">
      <c r="A297" s="6" t="s">
        <v>909</v>
      </c>
      <c r="B297" s="6" t="s">
        <v>8</v>
      </c>
      <c r="C297" s="7" t="n">
        <v>2238</v>
      </c>
      <c r="D297" s="7" t="n">
        <v>56</v>
      </c>
      <c r="E297" s="7" t="n">
        <v>58.4</v>
      </c>
    </row>
    <row r="298" customFormat="false" ht="15" hidden="false" customHeight="true" outlineLevel="0" collapsed="false">
      <c r="A298" s="8" t="s">
        <v>909</v>
      </c>
      <c r="B298" s="8" t="s">
        <v>6</v>
      </c>
      <c r="C298" s="9" t="n">
        <v>1362</v>
      </c>
      <c r="D298" s="9" t="n">
        <v>90</v>
      </c>
      <c r="E298" s="9" t="n">
        <v>58.4</v>
      </c>
    </row>
    <row r="299" customFormat="false" ht="15" hidden="false" customHeight="true" outlineLevel="0" collapsed="false">
      <c r="A299" s="6" t="s">
        <v>909</v>
      </c>
      <c r="B299" s="6" t="s">
        <v>7</v>
      </c>
      <c r="C299" s="7" t="n">
        <v>2155</v>
      </c>
      <c r="D299" s="7" t="n">
        <v>60</v>
      </c>
      <c r="E299" s="7" t="n">
        <v>58.4</v>
      </c>
    </row>
    <row r="300" customFormat="false" ht="15" hidden="false" customHeight="true" outlineLevel="0" collapsed="false">
      <c r="A300" s="8" t="s">
        <v>372</v>
      </c>
      <c r="B300" s="8" t="s">
        <v>4</v>
      </c>
      <c r="C300" s="9" t="n">
        <v>1556</v>
      </c>
      <c r="D300" s="9" t="n">
        <v>82</v>
      </c>
      <c r="E300" s="9" t="n">
        <v>58.4</v>
      </c>
    </row>
    <row r="301" customFormat="false" ht="15" hidden="false" customHeight="true" outlineLevel="0" collapsed="false">
      <c r="A301" s="6" t="s">
        <v>372</v>
      </c>
      <c r="B301" s="6" t="s">
        <v>5</v>
      </c>
      <c r="C301" s="7"/>
      <c r="D301" s="7" t="n">
        <v>58.4</v>
      </c>
      <c r="E301" s="7" t="n">
        <v>58.4</v>
      </c>
    </row>
    <row r="302" customFormat="false" ht="15" hidden="false" customHeight="true" outlineLevel="0" collapsed="false">
      <c r="A302" s="8" t="s">
        <v>910</v>
      </c>
      <c r="B302" s="8" t="s">
        <v>6</v>
      </c>
      <c r="C302" s="9" t="n">
        <v>1362</v>
      </c>
      <c r="D302" s="9" t="n">
        <v>90</v>
      </c>
      <c r="E302" s="9" t="n">
        <v>58.4</v>
      </c>
    </row>
    <row r="303" customFormat="false" ht="15" hidden="false" customHeight="true" outlineLevel="0" collapsed="false">
      <c r="A303" s="6" t="s">
        <v>910</v>
      </c>
      <c r="B303" s="6" t="s">
        <v>7</v>
      </c>
      <c r="C303" s="7" t="n">
        <v>2157</v>
      </c>
      <c r="D303" s="7" t="n">
        <v>60</v>
      </c>
      <c r="E303" s="7" t="n">
        <v>58.4</v>
      </c>
    </row>
    <row r="304" customFormat="false" ht="15" hidden="false" customHeight="true" outlineLevel="0" collapsed="false">
      <c r="A304" s="8" t="s">
        <v>910</v>
      </c>
      <c r="B304" s="8" t="s">
        <v>8</v>
      </c>
      <c r="C304" s="9" t="n">
        <v>2238</v>
      </c>
      <c r="D304" s="9" t="n">
        <v>56</v>
      </c>
      <c r="E304" s="9" t="n">
        <v>58.4</v>
      </c>
    </row>
    <row r="305" customFormat="false" ht="15" hidden="false" customHeight="true" outlineLevel="0" collapsed="false">
      <c r="A305" s="6" t="s">
        <v>911</v>
      </c>
      <c r="B305" s="6" t="s">
        <v>9</v>
      </c>
      <c r="C305" s="7" t="n">
        <v>2139</v>
      </c>
      <c r="D305" s="7" t="n">
        <v>68</v>
      </c>
      <c r="E305" s="7" t="n">
        <v>58.4</v>
      </c>
    </row>
    <row r="306" customFormat="false" ht="15" hidden="false" customHeight="true" outlineLevel="0" collapsed="false">
      <c r="A306" s="8" t="s">
        <v>373</v>
      </c>
      <c r="B306" s="8" t="s">
        <v>5</v>
      </c>
      <c r="C306" s="9"/>
      <c r="D306" s="9" t="n">
        <v>58.4</v>
      </c>
      <c r="E306" s="9" t="n">
        <v>58.4</v>
      </c>
    </row>
    <row r="307" customFormat="false" ht="15" hidden="false" customHeight="true" outlineLevel="0" collapsed="false">
      <c r="A307" s="6" t="s">
        <v>912</v>
      </c>
      <c r="B307" s="6" t="s">
        <v>8</v>
      </c>
      <c r="C307" s="7" t="n">
        <v>2243</v>
      </c>
      <c r="D307" s="7" t="n">
        <v>56</v>
      </c>
      <c r="E307" s="7" t="n">
        <v>58.4</v>
      </c>
    </row>
    <row r="308" customFormat="false" ht="15" hidden="false" customHeight="true" outlineLevel="0" collapsed="false">
      <c r="A308" s="8" t="s">
        <v>912</v>
      </c>
      <c r="B308" s="8" t="s">
        <v>4</v>
      </c>
      <c r="C308" s="9" t="n">
        <v>1535</v>
      </c>
      <c r="D308" s="9" t="n">
        <v>84</v>
      </c>
      <c r="E308" s="9" t="n">
        <v>58.4</v>
      </c>
    </row>
    <row r="309" customFormat="false" ht="15" hidden="false" customHeight="true" outlineLevel="0" collapsed="false">
      <c r="A309" s="6" t="s">
        <v>912</v>
      </c>
      <c r="B309" s="6" t="s">
        <v>6</v>
      </c>
      <c r="C309" s="7" t="n">
        <v>1360</v>
      </c>
      <c r="D309" s="7" t="n">
        <v>90</v>
      </c>
      <c r="E309" s="7" t="n">
        <v>58.4</v>
      </c>
    </row>
    <row r="310" customFormat="false" ht="15" hidden="false" customHeight="true" outlineLevel="0" collapsed="false">
      <c r="A310" s="8" t="s">
        <v>912</v>
      </c>
      <c r="B310" s="8" t="s">
        <v>7</v>
      </c>
      <c r="C310" s="9" t="n">
        <v>2151</v>
      </c>
      <c r="D310" s="9" t="n">
        <v>60</v>
      </c>
      <c r="E310" s="9" t="n">
        <v>58.4</v>
      </c>
    </row>
    <row r="311" customFormat="false" ht="15" hidden="false" customHeight="true" outlineLevel="0" collapsed="false">
      <c r="A311" s="6" t="s">
        <v>913</v>
      </c>
      <c r="B311" s="6" t="s">
        <v>9</v>
      </c>
      <c r="C311" s="7" t="n">
        <v>2157</v>
      </c>
      <c r="D311" s="7" t="n">
        <v>64</v>
      </c>
      <c r="E311" s="7" t="n">
        <v>58.4</v>
      </c>
    </row>
    <row r="312" customFormat="false" ht="15" hidden="false" customHeight="true" outlineLevel="0" collapsed="false">
      <c r="A312" s="8" t="s">
        <v>374</v>
      </c>
      <c r="B312" s="8" t="s">
        <v>5</v>
      </c>
      <c r="C312" s="9"/>
      <c r="D312" s="9" t="n">
        <v>58.4</v>
      </c>
      <c r="E312" s="9" t="n">
        <v>58.4</v>
      </c>
    </row>
    <row r="313" customFormat="false" ht="15" hidden="false" customHeight="true" outlineLevel="0" collapsed="false">
      <c r="A313" s="6" t="s">
        <v>914</v>
      </c>
      <c r="B313" s="6" t="s">
        <v>6</v>
      </c>
      <c r="C313" s="7" t="n">
        <v>1360</v>
      </c>
      <c r="D313" s="7" t="n">
        <v>90</v>
      </c>
      <c r="E313" s="7" t="n">
        <v>58.4</v>
      </c>
    </row>
    <row r="314" customFormat="false" ht="15" hidden="false" customHeight="true" outlineLevel="0" collapsed="false">
      <c r="A314" s="8" t="s">
        <v>914</v>
      </c>
      <c r="B314" s="8" t="s">
        <v>4</v>
      </c>
      <c r="C314" s="9" t="n">
        <v>1563</v>
      </c>
      <c r="D314" s="9" t="n">
        <v>82</v>
      </c>
      <c r="E314" s="9" t="n">
        <v>58.4</v>
      </c>
    </row>
    <row r="315" customFormat="false" ht="15" hidden="false" customHeight="true" outlineLevel="0" collapsed="false">
      <c r="A315" s="6" t="s">
        <v>915</v>
      </c>
      <c r="B315" s="6" t="s">
        <v>7</v>
      </c>
      <c r="C315" s="7" t="n">
        <v>2154</v>
      </c>
      <c r="D315" s="7" t="n">
        <v>60</v>
      </c>
      <c r="E315" s="7" t="n">
        <v>58.4</v>
      </c>
    </row>
    <row r="316" customFormat="false" ht="15" hidden="false" customHeight="true" outlineLevel="0" collapsed="false">
      <c r="A316" s="8" t="s">
        <v>915</v>
      </c>
      <c r="B316" s="8" t="s">
        <v>8</v>
      </c>
      <c r="C316" s="9" t="n">
        <v>2236</v>
      </c>
      <c r="D316" s="9" t="n">
        <v>57</v>
      </c>
      <c r="E316" s="9" t="n">
        <v>58.4</v>
      </c>
    </row>
    <row r="317" customFormat="false" ht="15" hidden="false" customHeight="true" outlineLevel="0" collapsed="false">
      <c r="A317" s="6" t="s">
        <v>916</v>
      </c>
      <c r="B317" s="6" t="s">
        <v>9</v>
      </c>
      <c r="C317" s="7" t="n">
        <v>2158</v>
      </c>
      <c r="D317" s="7" t="n">
        <v>64</v>
      </c>
      <c r="E317" s="7" t="n">
        <v>58.4</v>
      </c>
    </row>
    <row r="318" customFormat="false" ht="15" hidden="false" customHeight="true" outlineLevel="0" collapsed="false">
      <c r="A318" s="8" t="s">
        <v>375</v>
      </c>
      <c r="B318" s="8" t="s">
        <v>5</v>
      </c>
      <c r="C318" s="9"/>
      <c r="D318" s="9" t="n">
        <v>58.4</v>
      </c>
      <c r="E318" s="9" t="n">
        <v>58.4</v>
      </c>
    </row>
    <row r="319" customFormat="false" ht="15" hidden="false" customHeight="true" outlineLevel="0" collapsed="false">
      <c r="A319" s="6" t="s">
        <v>917</v>
      </c>
      <c r="B319" s="6" t="s">
        <v>9</v>
      </c>
      <c r="C319" s="7" t="n">
        <v>2160</v>
      </c>
      <c r="D319" s="7" t="n">
        <v>64</v>
      </c>
      <c r="E319" s="7" t="n">
        <v>58.4</v>
      </c>
    </row>
    <row r="320" customFormat="false" ht="15" hidden="false" customHeight="true" outlineLevel="0" collapsed="false">
      <c r="A320" s="8" t="s">
        <v>917</v>
      </c>
      <c r="B320" s="8" t="s">
        <v>8</v>
      </c>
      <c r="C320" s="9" t="n">
        <v>2240</v>
      </c>
      <c r="D320" s="9" t="n">
        <v>56</v>
      </c>
      <c r="E320" s="9" t="n">
        <v>58.4</v>
      </c>
    </row>
    <row r="321" customFormat="false" ht="15" hidden="false" customHeight="true" outlineLevel="0" collapsed="false">
      <c r="A321" s="6" t="s">
        <v>917</v>
      </c>
      <c r="B321" s="6" t="s">
        <v>7</v>
      </c>
      <c r="C321" s="7" t="n">
        <v>2156</v>
      </c>
      <c r="D321" s="7" t="n">
        <v>60</v>
      </c>
      <c r="E321" s="7" t="n">
        <v>58.4</v>
      </c>
    </row>
    <row r="322" customFormat="false" ht="15" hidden="false" customHeight="true" outlineLevel="0" collapsed="false">
      <c r="A322" s="8" t="s">
        <v>917</v>
      </c>
      <c r="B322" s="8" t="s">
        <v>6</v>
      </c>
      <c r="C322" s="9" t="n">
        <v>1360</v>
      </c>
      <c r="D322" s="9" t="n">
        <v>90</v>
      </c>
      <c r="E322" s="9" t="n">
        <v>58.4</v>
      </c>
    </row>
    <row r="323" customFormat="false" ht="15" hidden="false" customHeight="true" outlineLevel="0" collapsed="false">
      <c r="A323" s="6" t="s">
        <v>917</v>
      </c>
      <c r="B323" s="6" t="s">
        <v>4</v>
      </c>
      <c r="C323" s="7" t="n">
        <v>1559</v>
      </c>
      <c r="D323" s="7" t="n">
        <v>82</v>
      </c>
      <c r="E323" s="7" t="n">
        <v>58.4</v>
      </c>
    </row>
    <row r="324" customFormat="false" ht="15" hidden="false" customHeight="true" outlineLevel="0" collapsed="false">
      <c r="A324" s="8" t="s">
        <v>376</v>
      </c>
      <c r="B324" s="8" t="s">
        <v>5</v>
      </c>
      <c r="C324" s="9"/>
      <c r="D324" s="9" t="n">
        <v>58.2</v>
      </c>
      <c r="E324" s="9" t="n">
        <v>58.2</v>
      </c>
    </row>
    <row r="325" customFormat="false" ht="15" hidden="false" customHeight="true" outlineLevel="0" collapsed="false">
      <c r="A325" s="6" t="s">
        <v>918</v>
      </c>
      <c r="B325" s="6" t="s">
        <v>7</v>
      </c>
      <c r="C325" s="7" t="n">
        <v>2158</v>
      </c>
      <c r="D325" s="7" t="n">
        <v>60</v>
      </c>
      <c r="E325" s="7" t="n">
        <v>58.2</v>
      </c>
    </row>
    <row r="326" customFormat="false" ht="15" hidden="false" customHeight="true" outlineLevel="0" collapsed="false">
      <c r="A326" s="8" t="s">
        <v>918</v>
      </c>
      <c r="B326" s="8" t="s">
        <v>6</v>
      </c>
      <c r="C326" s="9" t="n">
        <v>1353</v>
      </c>
      <c r="D326" s="9" t="n">
        <v>90</v>
      </c>
      <c r="E326" s="9" t="n">
        <v>58.2</v>
      </c>
    </row>
    <row r="327" customFormat="false" ht="15" hidden="false" customHeight="true" outlineLevel="0" collapsed="false">
      <c r="A327" s="6" t="s">
        <v>918</v>
      </c>
      <c r="B327" s="6" t="s">
        <v>4</v>
      </c>
      <c r="C327" s="7" t="n">
        <v>1571</v>
      </c>
      <c r="D327" s="7" t="n">
        <v>81</v>
      </c>
      <c r="E327" s="7" t="n">
        <v>58.2</v>
      </c>
    </row>
    <row r="328" customFormat="false" ht="15" hidden="false" customHeight="true" outlineLevel="0" collapsed="false">
      <c r="A328" s="8" t="s">
        <v>919</v>
      </c>
      <c r="B328" s="8" t="s">
        <v>9</v>
      </c>
      <c r="C328" s="9" t="n">
        <v>2159</v>
      </c>
      <c r="D328" s="9" t="n">
        <v>64</v>
      </c>
      <c r="E328" s="9" t="n">
        <v>58.2</v>
      </c>
    </row>
    <row r="329" customFormat="false" ht="15" hidden="false" customHeight="true" outlineLevel="0" collapsed="false">
      <c r="A329" s="6" t="s">
        <v>919</v>
      </c>
      <c r="B329" s="6" t="s">
        <v>8</v>
      </c>
      <c r="C329" s="7" t="n">
        <v>2242</v>
      </c>
      <c r="D329" s="7" t="n">
        <v>56</v>
      </c>
      <c r="E329" s="7" t="n">
        <v>58.2</v>
      </c>
    </row>
    <row r="330" customFormat="false" ht="15" hidden="false" customHeight="true" outlineLevel="0" collapsed="false">
      <c r="A330" s="8" t="s">
        <v>377</v>
      </c>
      <c r="B330" s="8" t="s">
        <v>5</v>
      </c>
      <c r="C330" s="9"/>
      <c r="D330" s="9" t="n">
        <v>58.4</v>
      </c>
      <c r="E330" s="9" t="n">
        <v>58.4</v>
      </c>
    </row>
    <row r="331" customFormat="false" ht="15" hidden="false" customHeight="true" outlineLevel="0" collapsed="false">
      <c r="A331" s="6" t="s">
        <v>377</v>
      </c>
      <c r="B331" s="6" t="s">
        <v>6</v>
      </c>
      <c r="C331" s="7" t="n">
        <v>1390</v>
      </c>
      <c r="D331" s="7" t="n">
        <v>88</v>
      </c>
      <c r="E331" s="7" t="n">
        <v>58.4</v>
      </c>
    </row>
    <row r="332" customFormat="false" ht="15" hidden="false" customHeight="true" outlineLevel="0" collapsed="false">
      <c r="A332" s="8" t="s">
        <v>377</v>
      </c>
      <c r="B332" s="8" t="s">
        <v>4</v>
      </c>
      <c r="C332" s="9" t="n">
        <v>1565</v>
      </c>
      <c r="D332" s="9" t="n">
        <v>82</v>
      </c>
      <c r="E332" s="9" t="n">
        <v>58.4</v>
      </c>
    </row>
    <row r="333" customFormat="false" ht="15" hidden="false" customHeight="true" outlineLevel="0" collapsed="false">
      <c r="A333" s="6" t="s">
        <v>920</v>
      </c>
      <c r="B333" s="6" t="s">
        <v>7</v>
      </c>
      <c r="C333" s="7" t="n">
        <v>2174</v>
      </c>
      <c r="D333" s="7" t="n">
        <v>58</v>
      </c>
      <c r="E333" s="7" t="n">
        <v>58.4</v>
      </c>
    </row>
    <row r="334" customFormat="false" ht="15" hidden="false" customHeight="true" outlineLevel="0" collapsed="false">
      <c r="A334" s="8" t="s">
        <v>920</v>
      </c>
      <c r="B334" s="8" t="s">
        <v>8</v>
      </c>
      <c r="C334" s="9" t="n">
        <v>2238</v>
      </c>
      <c r="D334" s="9" t="n">
        <v>56</v>
      </c>
      <c r="E334" s="9" t="n">
        <v>58.4</v>
      </c>
    </row>
    <row r="335" customFormat="false" ht="15" hidden="false" customHeight="true" outlineLevel="0" collapsed="false">
      <c r="A335" s="6" t="s">
        <v>921</v>
      </c>
      <c r="B335" s="6" t="s">
        <v>9</v>
      </c>
      <c r="C335" s="7" t="n">
        <v>2160</v>
      </c>
      <c r="D335" s="7" t="n">
        <v>64</v>
      </c>
      <c r="E335" s="7" t="n">
        <v>58.4</v>
      </c>
    </row>
    <row r="336" customFormat="false" ht="15" hidden="false" customHeight="true" outlineLevel="0" collapsed="false">
      <c r="A336" s="8" t="s">
        <v>378</v>
      </c>
      <c r="B336" s="8" t="s">
        <v>5</v>
      </c>
      <c r="C336" s="9"/>
      <c r="D336" s="9" t="n">
        <v>58.4</v>
      </c>
      <c r="E336" s="9" t="n">
        <v>58.4</v>
      </c>
    </row>
    <row r="337" customFormat="false" ht="15" hidden="false" customHeight="true" outlineLevel="0" collapsed="false">
      <c r="A337" s="6" t="s">
        <v>922</v>
      </c>
      <c r="B337" s="6" t="s">
        <v>6</v>
      </c>
      <c r="C337" s="7" t="n">
        <v>1360</v>
      </c>
      <c r="D337" s="7" t="n">
        <v>90</v>
      </c>
      <c r="E337" s="7" t="n">
        <v>58.4</v>
      </c>
    </row>
    <row r="338" customFormat="false" ht="15" hidden="false" customHeight="true" outlineLevel="0" collapsed="false">
      <c r="A338" s="8" t="s">
        <v>922</v>
      </c>
      <c r="B338" s="8" t="s">
        <v>7</v>
      </c>
      <c r="C338" s="9" t="n">
        <v>2160</v>
      </c>
      <c r="D338" s="9" t="n">
        <v>59</v>
      </c>
      <c r="E338" s="9" t="n">
        <v>58.4</v>
      </c>
    </row>
    <row r="339" customFormat="false" ht="15" hidden="false" customHeight="true" outlineLevel="0" collapsed="false">
      <c r="A339" s="6" t="s">
        <v>922</v>
      </c>
      <c r="B339" s="6" t="s">
        <v>4</v>
      </c>
      <c r="C339" s="7" t="n">
        <v>1534</v>
      </c>
      <c r="D339" s="7" t="n">
        <v>84</v>
      </c>
      <c r="E339" s="7" t="n">
        <v>58.4</v>
      </c>
    </row>
    <row r="340" customFormat="false" ht="15" hidden="false" customHeight="true" outlineLevel="0" collapsed="false">
      <c r="A340" s="8" t="s">
        <v>922</v>
      </c>
      <c r="B340" s="8" t="s">
        <v>8</v>
      </c>
      <c r="C340" s="9" t="n">
        <v>2241</v>
      </c>
      <c r="D340" s="9" t="n">
        <v>56</v>
      </c>
      <c r="E340" s="9" t="n">
        <v>58.4</v>
      </c>
    </row>
    <row r="341" customFormat="false" ht="15" hidden="false" customHeight="true" outlineLevel="0" collapsed="false">
      <c r="A341" s="6" t="s">
        <v>923</v>
      </c>
      <c r="B341" s="6" t="s">
        <v>9</v>
      </c>
      <c r="C341" s="7" t="n">
        <v>2160</v>
      </c>
      <c r="D341" s="7" t="n">
        <v>64</v>
      </c>
      <c r="E341" s="7" t="n">
        <v>58.4</v>
      </c>
    </row>
    <row r="342" customFormat="false" ht="15" hidden="false" customHeight="true" outlineLevel="0" collapsed="false">
      <c r="A342" s="8" t="s">
        <v>379</v>
      </c>
      <c r="B342" s="8" t="s">
        <v>5</v>
      </c>
      <c r="C342" s="9"/>
      <c r="D342" s="9" t="n">
        <v>58.4</v>
      </c>
      <c r="E342" s="9" t="n">
        <v>58.4</v>
      </c>
    </row>
    <row r="343" customFormat="false" ht="15" hidden="false" customHeight="true" outlineLevel="0" collapsed="false">
      <c r="A343" s="6" t="s">
        <v>379</v>
      </c>
      <c r="B343" s="6" t="s">
        <v>4</v>
      </c>
      <c r="C343" s="7" t="n">
        <v>1598</v>
      </c>
      <c r="D343" s="7" t="n">
        <v>80</v>
      </c>
      <c r="E343" s="7" t="n">
        <v>58.4</v>
      </c>
    </row>
    <row r="344" customFormat="false" ht="15" hidden="false" customHeight="true" outlineLevel="0" collapsed="false">
      <c r="A344" s="8" t="s">
        <v>379</v>
      </c>
      <c r="B344" s="8" t="s">
        <v>7</v>
      </c>
      <c r="C344" s="9" t="n">
        <v>2160</v>
      </c>
      <c r="D344" s="9" t="n">
        <v>59</v>
      </c>
      <c r="E344" s="9" t="n">
        <v>58.4</v>
      </c>
    </row>
    <row r="345" customFormat="false" ht="15" hidden="false" customHeight="true" outlineLevel="0" collapsed="false">
      <c r="A345" s="6" t="s">
        <v>379</v>
      </c>
      <c r="B345" s="6" t="s">
        <v>6</v>
      </c>
      <c r="C345" s="7" t="n">
        <v>1362</v>
      </c>
      <c r="D345" s="7" t="n">
        <v>90</v>
      </c>
      <c r="E345" s="7" t="n">
        <v>58.4</v>
      </c>
    </row>
    <row r="346" customFormat="false" ht="15" hidden="false" customHeight="true" outlineLevel="0" collapsed="false">
      <c r="A346" s="8" t="s">
        <v>924</v>
      </c>
      <c r="B346" s="8" t="s">
        <v>8</v>
      </c>
      <c r="C346" s="9" t="n">
        <v>2239</v>
      </c>
      <c r="D346" s="9" t="n">
        <v>56</v>
      </c>
      <c r="E346" s="9" t="n">
        <v>58.4</v>
      </c>
    </row>
    <row r="347" customFormat="false" ht="15" hidden="false" customHeight="true" outlineLevel="0" collapsed="false">
      <c r="A347" s="6" t="s">
        <v>924</v>
      </c>
      <c r="B347" s="6" t="s">
        <v>9</v>
      </c>
      <c r="C347" s="7" t="n">
        <v>2160</v>
      </c>
      <c r="D347" s="7" t="n">
        <v>64</v>
      </c>
      <c r="E347" s="7" t="n">
        <v>58.4</v>
      </c>
    </row>
    <row r="348" customFormat="false" ht="15" hidden="false" customHeight="true" outlineLevel="0" collapsed="false">
      <c r="A348" s="8" t="s">
        <v>380</v>
      </c>
      <c r="B348" s="8" t="s">
        <v>4</v>
      </c>
      <c r="C348" s="9" t="n">
        <v>1559</v>
      </c>
      <c r="D348" s="9" t="n">
        <v>82</v>
      </c>
      <c r="E348" s="9" t="n">
        <v>58.4</v>
      </c>
    </row>
    <row r="349" customFormat="false" ht="15" hidden="false" customHeight="true" outlineLevel="0" collapsed="false">
      <c r="A349" s="6" t="s">
        <v>380</v>
      </c>
      <c r="B349" s="6" t="s">
        <v>5</v>
      </c>
      <c r="C349" s="7"/>
      <c r="D349" s="7" t="n">
        <v>58.4</v>
      </c>
      <c r="E349" s="7" t="n">
        <v>58.4</v>
      </c>
    </row>
    <row r="350" customFormat="false" ht="15" hidden="false" customHeight="true" outlineLevel="0" collapsed="false">
      <c r="A350" s="8" t="s">
        <v>925</v>
      </c>
      <c r="B350" s="8" t="s">
        <v>6</v>
      </c>
      <c r="C350" s="9" t="n">
        <v>1360</v>
      </c>
      <c r="D350" s="9" t="n">
        <v>90</v>
      </c>
      <c r="E350" s="9" t="n">
        <v>58.4</v>
      </c>
    </row>
    <row r="351" customFormat="false" ht="15" hidden="false" customHeight="true" outlineLevel="0" collapsed="false">
      <c r="A351" s="6" t="s">
        <v>925</v>
      </c>
      <c r="B351" s="6" t="s">
        <v>7</v>
      </c>
      <c r="C351" s="7" t="n">
        <v>2160</v>
      </c>
      <c r="D351" s="7" t="n">
        <v>59</v>
      </c>
      <c r="E351" s="7" t="n">
        <v>58.4</v>
      </c>
    </row>
    <row r="352" customFormat="false" ht="15" hidden="false" customHeight="true" outlineLevel="0" collapsed="false">
      <c r="A352" s="8" t="s">
        <v>925</v>
      </c>
      <c r="B352" s="8" t="s">
        <v>8</v>
      </c>
      <c r="C352" s="9" t="n">
        <v>2241</v>
      </c>
      <c r="D352" s="9" t="n">
        <v>56</v>
      </c>
      <c r="E352" s="9" t="n">
        <v>58.4</v>
      </c>
    </row>
    <row r="353" customFormat="false" ht="15" hidden="false" customHeight="true" outlineLevel="0" collapsed="false">
      <c r="A353" s="6" t="s">
        <v>925</v>
      </c>
      <c r="B353" s="6" t="s">
        <v>9</v>
      </c>
      <c r="C353" s="7" t="n">
        <v>2161</v>
      </c>
      <c r="D353" s="7" t="n">
        <v>64</v>
      </c>
      <c r="E353" s="7" t="n">
        <v>58.4</v>
      </c>
    </row>
    <row r="354" customFormat="false" ht="15" hidden="false" customHeight="true" outlineLevel="0" collapsed="false">
      <c r="A354" s="8" t="s">
        <v>381</v>
      </c>
      <c r="B354" s="8" t="s">
        <v>5</v>
      </c>
      <c r="C354" s="9"/>
      <c r="D354" s="9" t="n">
        <v>58.4</v>
      </c>
      <c r="E354" s="9" t="n">
        <v>58.4</v>
      </c>
    </row>
    <row r="355" customFormat="false" ht="15" hidden="false" customHeight="true" outlineLevel="0" collapsed="false">
      <c r="A355" s="6" t="s">
        <v>381</v>
      </c>
      <c r="B355" s="6" t="s">
        <v>6</v>
      </c>
      <c r="C355" s="7" t="n">
        <v>1366</v>
      </c>
      <c r="D355" s="7" t="n">
        <v>89</v>
      </c>
      <c r="E355" s="7" t="n">
        <v>58.4</v>
      </c>
    </row>
    <row r="356" customFormat="false" ht="15" hidden="false" customHeight="true" outlineLevel="0" collapsed="false">
      <c r="A356" s="8" t="s">
        <v>381</v>
      </c>
      <c r="B356" s="8" t="s">
        <v>4</v>
      </c>
      <c r="C356" s="9" t="n">
        <v>1509</v>
      </c>
      <c r="D356" s="9" t="n">
        <v>86</v>
      </c>
      <c r="E356" s="9" t="n">
        <v>58.4</v>
      </c>
    </row>
    <row r="357" customFormat="false" ht="15" hidden="false" customHeight="true" outlineLevel="0" collapsed="false">
      <c r="A357" s="6" t="s">
        <v>926</v>
      </c>
      <c r="B357" s="6" t="s">
        <v>7</v>
      </c>
      <c r="C357" s="7" t="n">
        <v>2160</v>
      </c>
      <c r="D357" s="7" t="n">
        <v>59</v>
      </c>
      <c r="E357" s="7" t="n">
        <v>58.4</v>
      </c>
    </row>
    <row r="358" customFormat="false" ht="15" hidden="false" customHeight="true" outlineLevel="0" collapsed="false">
      <c r="A358" s="8" t="s">
        <v>926</v>
      </c>
      <c r="B358" s="8" t="s">
        <v>8</v>
      </c>
      <c r="C358" s="9" t="n">
        <v>2243</v>
      </c>
      <c r="D358" s="9" t="n">
        <v>56</v>
      </c>
      <c r="E358" s="9" t="n">
        <v>58.4</v>
      </c>
    </row>
    <row r="359" customFormat="false" ht="15" hidden="false" customHeight="true" outlineLevel="0" collapsed="false">
      <c r="A359" s="6" t="s">
        <v>926</v>
      </c>
      <c r="B359" s="6" t="s">
        <v>9</v>
      </c>
      <c r="C359" s="7" t="n">
        <v>2162</v>
      </c>
      <c r="D359" s="7" t="n">
        <v>64</v>
      </c>
      <c r="E359" s="7" t="n">
        <v>58.4</v>
      </c>
    </row>
    <row r="360" customFormat="false" ht="15" hidden="false" customHeight="true" outlineLevel="0" collapsed="false">
      <c r="A360" s="8" t="s">
        <v>382</v>
      </c>
      <c r="B360" s="8" t="s">
        <v>5</v>
      </c>
      <c r="C360" s="9"/>
      <c r="D360" s="9" t="n">
        <v>58.4</v>
      </c>
      <c r="E360" s="9" t="n">
        <v>58.4</v>
      </c>
    </row>
    <row r="361" customFormat="false" ht="15" hidden="false" customHeight="true" outlineLevel="0" collapsed="false">
      <c r="A361" s="6" t="s">
        <v>927</v>
      </c>
      <c r="B361" s="6" t="s">
        <v>6</v>
      </c>
      <c r="C361" s="7" t="n">
        <v>1360</v>
      </c>
      <c r="D361" s="7" t="n">
        <v>90</v>
      </c>
      <c r="E361" s="7" t="n">
        <v>58.4</v>
      </c>
    </row>
    <row r="362" customFormat="false" ht="15" hidden="false" customHeight="true" outlineLevel="0" collapsed="false">
      <c r="A362" s="8" t="s">
        <v>927</v>
      </c>
      <c r="B362" s="8" t="s">
        <v>7</v>
      </c>
      <c r="C362" s="9" t="n">
        <v>2159</v>
      </c>
      <c r="D362" s="9" t="n">
        <v>59</v>
      </c>
      <c r="E362" s="9" t="n">
        <v>58.4</v>
      </c>
    </row>
    <row r="363" customFormat="false" ht="15" hidden="false" customHeight="true" outlineLevel="0" collapsed="false">
      <c r="A363" s="6" t="s">
        <v>927</v>
      </c>
      <c r="B363" s="6" t="s">
        <v>4</v>
      </c>
      <c r="C363" s="7" t="n">
        <v>1563</v>
      </c>
      <c r="D363" s="7" t="n">
        <v>82</v>
      </c>
      <c r="E363" s="7" t="n">
        <v>58.4</v>
      </c>
    </row>
    <row r="364" customFormat="false" ht="15" hidden="false" customHeight="true" outlineLevel="0" collapsed="false">
      <c r="A364" s="8" t="s">
        <v>928</v>
      </c>
      <c r="B364" s="8" t="s">
        <v>9</v>
      </c>
      <c r="C364" s="9" t="n">
        <v>2164</v>
      </c>
      <c r="D364" s="9" t="n">
        <v>63</v>
      </c>
      <c r="E364" s="9" t="n">
        <v>58.4</v>
      </c>
    </row>
    <row r="365" customFormat="false" ht="15" hidden="false" customHeight="true" outlineLevel="0" collapsed="false">
      <c r="A365" s="6" t="s">
        <v>928</v>
      </c>
      <c r="B365" s="6" t="s">
        <v>8</v>
      </c>
      <c r="C365" s="7" t="n">
        <v>2243</v>
      </c>
      <c r="D365" s="7" t="n">
        <v>56</v>
      </c>
      <c r="E365" s="7" t="n">
        <v>58.4</v>
      </c>
    </row>
    <row r="366" customFormat="false" ht="15" hidden="false" customHeight="true" outlineLevel="0" collapsed="false">
      <c r="A366" s="8" t="s">
        <v>383</v>
      </c>
      <c r="B366" s="8" t="s">
        <v>5</v>
      </c>
      <c r="C366" s="9"/>
      <c r="D366" s="9" t="n">
        <v>58.4</v>
      </c>
      <c r="E366" s="9" t="n">
        <v>58.4</v>
      </c>
    </row>
    <row r="367" customFormat="false" ht="15" hidden="false" customHeight="true" outlineLevel="0" collapsed="false">
      <c r="A367" s="6" t="s">
        <v>929</v>
      </c>
      <c r="B367" s="6" t="s">
        <v>6</v>
      </c>
      <c r="C367" s="7" t="n">
        <v>1364</v>
      </c>
      <c r="D367" s="7" t="n">
        <v>90</v>
      </c>
      <c r="E367" s="7" t="n">
        <v>58.4</v>
      </c>
    </row>
    <row r="368" customFormat="false" ht="15" hidden="false" customHeight="true" outlineLevel="0" collapsed="false">
      <c r="A368" s="8" t="s">
        <v>929</v>
      </c>
      <c r="B368" s="8" t="s">
        <v>7</v>
      </c>
      <c r="C368" s="9" t="n">
        <v>2160</v>
      </c>
      <c r="D368" s="9" t="n">
        <v>59</v>
      </c>
      <c r="E368" s="9" t="n">
        <v>58.4</v>
      </c>
    </row>
    <row r="369" customFormat="false" ht="15" hidden="false" customHeight="true" outlineLevel="0" collapsed="false">
      <c r="A369" s="6" t="s">
        <v>929</v>
      </c>
      <c r="B369" s="6" t="s">
        <v>4</v>
      </c>
      <c r="C369" s="7" t="n">
        <v>1535</v>
      </c>
      <c r="D369" s="7" t="n">
        <v>84</v>
      </c>
      <c r="E369" s="7" t="n">
        <v>58.4</v>
      </c>
    </row>
    <row r="370" customFormat="false" ht="15" hidden="false" customHeight="true" outlineLevel="0" collapsed="false">
      <c r="A370" s="8" t="s">
        <v>929</v>
      </c>
      <c r="B370" s="8" t="s">
        <v>8</v>
      </c>
      <c r="C370" s="9" t="n">
        <v>2243</v>
      </c>
      <c r="D370" s="9" t="n">
        <v>56</v>
      </c>
      <c r="E370" s="9" t="n">
        <v>58.4</v>
      </c>
    </row>
    <row r="371" customFormat="false" ht="15" hidden="false" customHeight="true" outlineLevel="0" collapsed="false">
      <c r="A371" s="6" t="s">
        <v>930</v>
      </c>
      <c r="B371" s="6" t="s">
        <v>9</v>
      </c>
      <c r="C371" s="7" t="n">
        <v>2162</v>
      </c>
      <c r="D371" s="7" t="n">
        <v>64</v>
      </c>
      <c r="E371" s="7" t="n">
        <v>58.4</v>
      </c>
    </row>
    <row r="372" customFormat="false" ht="15" hidden="false" customHeight="true" outlineLevel="0" collapsed="false">
      <c r="A372" s="8" t="s">
        <v>384</v>
      </c>
      <c r="B372" s="8" t="s">
        <v>5</v>
      </c>
      <c r="C372" s="9"/>
      <c r="D372" s="9" t="n">
        <v>58.4</v>
      </c>
      <c r="E372" s="9" t="n">
        <v>58.4</v>
      </c>
    </row>
    <row r="373" customFormat="false" ht="15" hidden="false" customHeight="true" outlineLevel="0" collapsed="false">
      <c r="A373" s="6" t="s">
        <v>931</v>
      </c>
      <c r="B373" s="6" t="s">
        <v>6</v>
      </c>
      <c r="C373" s="7" t="n">
        <v>1360</v>
      </c>
      <c r="D373" s="7" t="n">
        <v>90</v>
      </c>
      <c r="E373" s="7" t="n">
        <v>58.4</v>
      </c>
    </row>
    <row r="374" customFormat="false" ht="15" hidden="false" customHeight="true" outlineLevel="0" collapsed="false">
      <c r="A374" s="8" t="s">
        <v>931</v>
      </c>
      <c r="B374" s="8" t="s">
        <v>4</v>
      </c>
      <c r="C374" s="9" t="n">
        <v>1535</v>
      </c>
      <c r="D374" s="9" t="n">
        <v>84</v>
      </c>
      <c r="E374" s="9" t="n">
        <v>58.4</v>
      </c>
    </row>
    <row r="375" customFormat="false" ht="15" hidden="false" customHeight="true" outlineLevel="0" collapsed="false">
      <c r="A375" s="6" t="s">
        <v>932</v>
      </c>
      <c r="B375" s="6" t="s">
        <v>8</v>
      </c>
      <c r="C375" s="7" t="n">
        <v>2242</v>
      </c>
      <c r="D375" s="7" t="n">
        <v>56</v>
      </c>
      <c r="E375" s="7" t="n">
        <v>58.4</v>
      </c>
    </row>
    <row r="376" customFormat="false" ht="15" hidden="false" customHeight="true" outlineLevel="0" collapsed="false">
      <c r="A376" s="8" t="s">
        <v>932</v>
      </c>
      <c r="B376" s="8" t="s">
        <v>7</v>
      </c>
      <c r="C376" s="9" t="n">
        <v>2164</v>
      </c>
      <c r="D376" s="9" t="n">
        <v>59</v>
      </c>
      <c r="E376" s="9" t="n">
        <v>58.4</v>
      </c>
    </row>
    <row r="377" customFormat="false" ht="15" hidden="false" customHeight="true" outlineLevel="0" collapsed="false">
      <c r="A377" s="6" t="s">
        <v>932</v>
      </c>
      <c r="B377" s="6" t="s">
        <v>9</v>
      </c>
      <c r="C377" s="7" t="n">
        <v>2163</v>
      </c>
      <c r="D377" s="7" t="n">
        <v>63</v>
      </c>
      <c r="E377" s="7" t="n">
        <v>58.4</v>
      </c>
    </row>
    <row r="378" customFormat="false" ht="15" hidden="false" customHeight="true" outlineLevel="0" collapsed="false">
      <c r="A378" s="8" t="s">
        <v>385</v>
      </c>
      <c r="B378" s="8" t="s">
        <v>4</v>
      </c>
      <c r="C378" s="9" t="n">
        <v>1535</v>
      </c>
      <c r="D378" s="9" t="n">
        <v>84</v>
      </c>
      <c r="E378" s="9" t="n">
        <v>58.4</v>
      </c>
    </row>
    <row r="379" customFormat="false" ht="15" hidden="false" customHeight="true" outlineLevel="0" collapsed="false">
      <c r="A379" s="6" t="s">
        <v>385</v>
      </c>
      <c r="B379" s="6" t="s">
        <v>5</v>
      </c>
      <c r="C379" s="7"/>
      <c r="D379" s="7" t="n">
        <v>58.4</v>
      </c>
      <c r="E379" s="7" t="n">
        <v>58.4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7" min="4" style="1" width="12"/>
    <col collapsed="false" customWidth="true" hidden="false" outlineLevel="0" max="8" min="8" style="1" width="8"/>
    <col collapsed="false" customWidth="true" hidden="false" outlineLevel="0" max="9" min="9" style="1" width="35"/>
  </cols>
  <sheetData>
    <row r="1" customFormat="false" ht="24" hidden="false" customHeight="true" outlineLevel="0" collapsed="false">
      <c r="A1" s="19" t="s">
        <v>933</v>
      </c>
      <c r="B1" s="19"/>
      <c r="C1" s="19"/>
      <c r="D1" s="19"/>
      <c r="E1" s="19"/>
      <c r="F1" s="19"/>
      <c r="G1" s="19"/>
      <c r="H1" s="19"/>
      <c r="I1" s="19"/>
    </row>
    <row r="2" customFormat="false" ht="30" hidden="false" customHeight="true" outlineLevel="0" collapsed="false">
      <c r="A2" s="21" t="s">
        <v>643</v>
      </c>
      <c r="B2" s="21" t="s">
        <v>934</v>
      </c>
      <c r="C2" s="21" t="s">
        <v>935</v>
      </c>
      <c r="D2" s="21" t="s">
        <v>203</v>
      </c>
      <c r="E2" s="21" t="s">
        <v>936</v>
      </c>
      <c r="F2" s="21" t="s">
        <v>937</v>
      </c>
      <c r="G2" s="21" t="s">
        <v>938</v>
      </c>
      <c r="H2" s="21" t="s">
        <v>207</v>
      </c>
      <c r="I2" s="21" t="s">
        <v>210</v>
      </c>
    </row>
    <row r="3" customFormat="false" ht="15" hidden="false" customHeight="false" outlineLevel="0" collapsed="false">
      <c r="A3" s="22" t="s">
        <v>655</v>
      </c>
      <c r="B3" s="23" t="n">
        <v>8.2</v>
      </c>
      <c r="C3" s="24" t="n">
        <v>13</v>
      </c>
      <c r="D3" s="32" t="s">
        <v>939</v>
      </c>
      <c r="E3" s="32" t="s">
        <v>939</v>
      </c>
      <c r="F3" s="32" t="s">
        <v>939</v>
      </c>
      <c r="G3" s="32" t="s">
        <v>939</v>
      </c>
      <c r="H3" s="23" t="n">
        <v>5.48</v>
      </c>
      <c r="I3" s="45" t="s">
        <v>940</v>
      </c>
    </row>
    <row r="4" customFormat="false" ht="15" hidden="false" customHeight="false" outlineLevel="0" collapsed="false">
      <c r="A4" s="26" t="s">
        <v>656</v>
      </c>
      <c r="B4" s="27" t="n">
        <v>16.21</v>
      </c>
      <c r="C4" s="28" t="n">
        <v>13.9</v>
      </c>
      <c r="D4" s="36" t="s">
        <v>939</v>
      </c>
      <c r="E4" s="36" t="s">
        <v>939</v>
      </c>
      <c r="F4" s="36" t="s">
        <v>939</v>
      </c>
      <c r="G4" s="36" t="s">
        <v>939</v>
      </c>
      <c r="H4" s="27" t="n">
        <v>5.62</v>
      </c>
      <c r="I4" s="46" t="s">
        <v>940</v>
      </c>
    </row>
    <row r="5" customFormat="false" ht="15" hidden="false" customHeight="false" outlineLevel="0" collapsed="false">
      <c r="A5" s="22" t="s">
        <v>657</v>
      </c>
      <c r="B5" s="23" t="n">
        <v>58.42</v>
      </c>
      <c r="C5" s="24" t="n">
        <v>13.7</v>
      </c>
      <c r="D5" s="47" t="n">
        <v>185</v>
      </c>
      <c r="E5" s="38" t="n">
        <v>0</v>
      </c>
      <c r="F5" s="47" t="n">
        <v>46</v>
      </c>
      <c r="G5" s="47" t="n">
        <v>38</v>
      </c>
      <c r="H5" s="23" t="n">
        <v>5.11</v>
      </c>
      <c r="I5" s="45" t="s">
        <v>941</v>
      </c>
    </row>
    <row r="6" customFormat="false" ht="15" hidden="false" customHeight="false" outlineLevel="0" collapsed="false">
      <c r="A6" s="26" t="s">
        <v>658</v>
      </c>
      <c r="B6" s="27" t="n">
        <v>87.56</v>
      </c>
      <c r="C6" s="28" t="n">
        <v>13.7</v>
      </c>
      <c r="D6" s="47" t="n">
        <v>270</v>
      </c>
      <c r="E6" s="47" t="n">
        <v>17</v>
      </c>
      <c r="F6" s="47" t="n">
        <v>87</v>
      </c>
      <c r="G6" s="47" t="n">
        <v>80</v>
      </c>
      <c r="H6" s="27" t="n">
        <v>4.86</v>
      </c>
      <c r="I6" s="46" t="s">
        <v>942</v>
      </c>
    </row>
    <row r="7" customFormat="false" ht="15" hidden="false" customHeight="false" outlineLevel="0" collapsed="false">
      <c r="A7" s="22" t="s">
        <v>659</v>
      </c>
      <c r="B7" s="23" t="n">
        <v>100</v>
      </c>
      <c r="C7" s="24" t="n">
        <v>13.3</v>
      </c>
      <c r="D7" s="47" t="n">
        <v>415</v>
      </c>
      <c r="E7" s="47" t="n">
        <v>48</v>
      </c>
      <c r="F7" s="47" t="n">
        <v>157</v>
      </c>
      <c r="G7" s="47" t="n">
        <v>150</v>
      </c>
      <c r="H7" s="23" t="n">
        <v>5.01</v>
      </c>
      <c r="I7" s="45" t="s">
        <v>943</v>
      </c>
    </row>
    <row r="9" customFormat="false" ht="24" hidden="false" customHeight="true" outlineLevel="0" collapsed="false">
      <c r="A9" s="48" t="s">
        <v>944</v>
      </c>
      <c r="B9" s="48"/>
      <c r="C9" s="48"/>
      <c r="D9" s="48"/>
      <c r="E9" s="48"/>
      <c r="F9" s="48"/>
      <c r="G9" s="48"/>
      <c r="H9" s="48"/>
      <c r="I9" s="48"/>
    </row>
    <row r="10" customFormat="false" ht="15" hidden="false" customHeight="false" outlineLevel="0" collapsed="false">
      <c r="A10" s="20" t="s">
        <v>945</v>
      </c>
      <c r="B10" s="20" t="s">
        <v>946</v>
      </c>
      <c r="C10" s="49" t="s">
        <v>947</v>
      </c>
      <c r="D10" s="49"/>
      <c r="E10" s="49"/>
      <c r="F10" s="49"/>
      <c r="G10" s="49"/>
      <c r="H10" s="49"/>
      <c r="I10" s="49"/>
    </row>
    <row r="11" customFormat="false" ht="15" hidden="false" customHeight="false" outlineLevel="0" collapsed="false">
      <c r="A11" s="22" t="s">
        <v>948</v>
      </c>
      <c r="B11" s="32" t="s">
        <v>949</v>
      </c>
      <c r="C11" s="34" t="s">
        <v>950</v>
      </c>
      <c r="D11" s="34"/>
      <c r="E11" s="34"/>
      <c r="F11" s="34"/>
      <c r="G11" s="34"/>
      <c r="H11" s="34"/>
      <c r="I11" s="34"/>
    </row>
    <row r="12" customFormat="false" ht="15" hidden="false" customHeight="false" outlineLevel="0" collapsed="false">
      <c r="A12" s="26" t="s">
        <v>951</v>
      </c>
      <c r="B12" s="36" t="s">
        <v>952</v>
      </c>
      <c r="C12" s="37" t="s">
        <v>953</v>
      </c>
      <c r="D12" s="37"/>
      <c r="E12" s="37"/>
      <c r="F12" s="37"/>
      <c r="G12" s="37"/>
      <c r="H12" s="37"/>
      <c r="I12" s="37"/>
    </row>
    <row r="13" customFormat="false" ht="15" hidden="false" customHeight="false" outlineLevel="0" collapsed="false">
      <c r="A13" s="22" t="s">
        <v>954</v>
      </c>
      <c r="B13" s="32" t="s">
        <v>955</v>
      </c>
      <c r="C13" s="34" t="s">
        <v>956</v>
      </c>
      <c r="D13" s="34"/>
      <c r="E13" s="34"/>
      <c r="F13" s="34"/>
      <c r="G13" s="34"/>
      <c r="H13" s="34"/>
      <c r="I13" s="34"/>
    </row>
    <row r="14" customFormat="false" ht="15" hidden="false" customHeight="false" outlineLevel="0" collapsed="false">
      <c r="A14" s="26" t="s">
        <v>207</v>
      </c>
      <c r="B14" s="36" t="s">
        <v>957</v>
      </c>
      <c r="C14" s="37" t="s">
        <v>958</v>
      </c>
      <c r="D14" s="37"/>
      <c r="E14" s="37"/>
      <c r="F14" s="37"/>
      <c r="G14" s="37"/>
      <c r="H14" s="37"/>
      <c r="I14" s="37"/>
    </row>
    <row r="15" customFormat="false" ht="15" hidden="false" customHeight="false" outlineLevel="0" collapsed="false">
      <c r="A15" s="22" t="s">
        <v>959</v>
      </c>
      <c r="B15" s="32" t="s">
        <v>960</v>
      </c>
      <c r="C15" s="34" t="s">
        <v>961</v>
      </c>
      <c r="D15" s="34"/>
      <c r="E15" s="34"/>
      <c r="F15" s="34"/>
      <c r="G15" s="34"/>
      <c r="H15" s="34"/>
      <c r="I15" s="34"/>
    </row>
    <row r="17" customFormat="false" ht="31.5" hidden="false" customHeight="true" outlineLevel="0" collapsed="false">
      <c r="A17" s="50" t="s">
        <v>962</v>
      </c>
      <c r="B17" s="50"/>
      <c r="C17" s="50"/>
      <c r="D17" s="50"/>
      <c r="E17" s="50"/>
      <c r="F17" s="50"/>
      <c r="G17" s="50"/>
      <c r="H17" s="50"/>
      <c r="I17" s="50"/>
    </row>
  </sheetData>
  <mergeCells count="9">
    <mergeCell ref="A1:I1"/>
    <mergeCell ref="A9:I9"/>
    <mergeCell ref="C10:I10"/>
    <mergeCell ref="C11:I11"/>
    <mergeCell ref="C12:I12"/>
    <mergeCell ref="C13:I13"/>
    <mergeCell ref="C14:I14"/>
    <mergeCell ref="C15:I15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5"/>
  <sheetViews>
    <sheetView showFormulas="false" showGridLines="true" showRowColHeaders="true" showZeros="true" rightToLeft="false" tabSelected="false" showOutlineSymbols="true" defaultGridColor="true" view="normal" topLeftCell="A55" colorId="64" zoomScale="55" zoomScaleNormal="55" zoomScalePageLayoutView="100" workbookViewId="0">
      <selection pane="topLeft" activeCell="C71" activeCellId="0" sqref="C71"/>
    </sheetView>
  </sheetViews>
  <sheetFormatPr defaultColWidth="11.53515625" defaultRowHeight="12.8" zeroHeight="false" outlineLevelRow="0" outlineLevelCol="0"/>
  <cols>
    <col collapsed="false" customWidth="true" hidden="false" outlineLevel="0" max="9" min="9" style="1" width="5.1"/>
    <col collapsed="false" customWidth="true" hidden="false" outlineLevel="0" max="10" min="10" style="1" width="24.98"/>
  </cols>
  <sheetData>
    <row r="1" customFormat="false" ht="13.8" hidden="false" customHeight="false" outlineLevel="0" collapsed="false">
      <c r="A1" s="1" t="s">
        <v>963</v>
      </c>
      <c r="B1" s="1" t="s">
        <v>5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J1" s="3" t="n">
        <v>46168.7697222222</v>
      </c>
      <c r="K1" s="51" t="s">
        <v>4</v>
      </c>
      <c r="L1" s="51" t="n">
        <v>2140</v>
      </c>
      <c r="M1" s="51" t="n">
        <v>44</v>
      </c>
    </row>
    <row r="2" customFormat="false" ht="13.8" hidden="false" customHeight="false" outlineLevel="0" collapsed="false">
      <c r="B2" s="1" t="n">
        <v>16.2</v>
      </c>
      <c r="C2" s="1" t="n">
        <v>2113</v>
      </c>
      <c r="D2" s="1" t="n">
        <v>2081</v>
      </c>
      <c r="E2" s="1" t="n">
        <v>2085</v>
      </c>
      <c r="F2" s="1" t="n">
        <v>2157</v>
      </c>
      <c r="G2" s="1" t="n">
        <v>2244</v>
      </c>
      <c r="J2" s="3" t="n">
        <v>46168.7697222222</v>
      </c>
      <c r="K2" s="1" t="s">
        <v>6</v>
      </c>
      <c r="L2" s="1" t="n">
        <v>2081</v>
      </c>
      <c r="M2" s="1" t="n">
        <v>42</v>
      </c>
    </row>
    <row r="3" customFormat="false" ht="13.8" hidden="false" customHeight="false" outlineLevel="0" collapsed="false">
      <c r="B3" s="1" t="n">
        <v>16.2</v>
      </c>
      <c r="C3" s="1" t="n">
        <v>2111</v>
      </c>
      <c r="D3" s="1" t="n">
        <v>2189</v>
      </c>
      <c r="E3" s="1" t="n">
        <v>2133</v>
      </c>
      <c r="F3" s="1" t="n">
        <v>2210</v>
      </c>
      <c r="G3" s="1" t="n">
        <v>2271</v>
      </c>
      <c r="J3" s="3" t="n">
        <v>46168.7697337963</v>
      </c>
      <c r="K3" s="1" t="s">
        <v>6</v>
      </c>
      <c r="L3" s="1" t="n">
        <v>2189</v>
      </c>
      <c r="M3" s="1" t="n">
        <v>35</v>
      </c>
    </row>
    <row r="4" customFormat="false" ht="13.8" hidden="false" customHeight="false" outlineLevel="0" collapsed="false">
      <c r="B4" s="1" t="n">
        <v>16.2</v>
      </c>
      <c r="C4" s="1" t="n">
        <v>2103</v>
      </c>
      <c r="D4" s="1" t="n">
        <v>2096</v>
      </c>
      <c r="E4" s="1" t="n">
        <v>2173</v>
      </c>
      <c r="F4" s="1" t="n">
        <v>2251</v>
      </c>
      <c r="G4" s="1" t="n">
        <v>2294</v>
      </c>
      <c r="J4" s="3" t="n">
        <v>46168.7697337963</v>
      </c>
      <c r="K4" s="1" t="s">
        <v>6</v>
      </c>
      <c r="L4" s="1" t="n">
        <v>2096</v>
      </c>
      <c r="M4" s="1" t="n">
        <v>41</v>
      </c>
    </row>
    <row r="5" customFormat="false" ht="13.8" hidden="false" customHeight="false" outlineLevel="0" collapsed="false">
      <c r="B5" s="1" t="n">
        <v>16.3</v>
      </c>
      <c r="C5" s="1" t="n">
        <v>2128</v>
      </c>
      <c r="D5" s="1" t="n">
        <v>2096</v>
      </c>
      <c r="E5" s="1" t="n">
        <v>2206</v>
      </c>
      <c r="F5" s="1" t="n">
        <v>2283</v>
      </c>
      <c r="G5" s="1" t="n">
        <v>2309</v>
      </c>
      <c r="J5" s="3" t="n">
        <v>46168.7697337963</v>
      </c>
      <c r="K5" s="1" t="s">
        <v>6</v>
      </c>
      <c r="L5" s="1" t="n">
        <v>2096</v>
      </c>
      <c r="M5" s="1" t="n">
        <v>41</v>
      </c>
    </row>
    <row r="6" customFormat="false" ht="13.8" hidden="false" customHeight="false" outlineLevel="0" collapsed="false">
      <c r="B6" s="1" t="n">
        <v>16.2</v>
      </c>
      <c r="C6" s="1" t="n">
        <v>2126</v>
      </c>
      <c r="D6" s="1" t="n">
        <v>2087</v>
      </c>
      <c r="E6" s="1" t="n">
        <v>2243</v>
      </c>
      <c r="F6" s="1" t="n">
        <v>2302</v>
      </c>
      <c r="G6" s="1" t="n">
        <v>2321</v>
      </c>
      <c r="J6" s="3" t="n">
        <v>46168.7697453704</v>
      </c>
      <c r="K6" s="1" t="s">
        <v>6</v>
      </c>
      <c r="L6" s="1" t="n">
        <v>2087</v>
      </c>
      <c r="M6" s="1" t="n">
        <v>42</v>
      </c>
    </row>
    <row r="7" customFormat="false" ht="13.8" hidden="false" customHeight="false" outlineLevel="0" collapsed="false">
      <c r="B7" s="1" t="n">
        <v>16.3</v>
      </c>
      <c r="C7" s="1" t="n">
        <v>2129</v>
      </c>
      <c r="D7" s="1" t="n">
        <v>2035</v>
      </c>
      <c r="E7" s="1" t="n">
        <v>2257</v>
      </c>
      <c r="F7" s="1" t="n">
        <v>2320</v>
      </c>
      <c r="G7" s="1" t="n">
        <v>2333</v>
      </c>
      <c r="J7" s="3" t="n">
        <v>46168.7700694444</v>
      </c>
      <c r="K7" s="1" t="s">
        <v>6</v>
      </c>
      <c r="L7" s="1" t="n">
        <v>2035</v>
      </c>
      <c r="M7" s="1" t="n">
        <v>45</v>
      </c>
    </row>
    <row r="8" customFormat="false" ht="13.8" hidden="false" customHeight="false" outlineLevel="0" collapsed="false">
      <c r="B8" s="1" t="n">
        <v>16.2</v>
      </c>
      <c r="C8" s="1" t="n">
        <v>2178</v>
      </c>
      <c r="D8" s="1" t="n">
        <v>2087</v>
      </c>
      <c r="E8" s="1" t="n">
        <v>2281</v>
      </c>
      <c r="F8" s="1" t="n">
        <v>2331</v>
      </c>
      <c r="G8" s="1" t="n">
        <v>2341</v>
      </c>
      <c r="J8" s="3" t="n">
        <v>46168.7700810185</v>
      </c>
      <c r="K8" s="1" t="s">
        <v>6</v>
      </c>
      <c r="L8" s="1" t="n">
        <v>2087</v>
      </c>
      <c r="M8" s="1" t="n">
        <v>42</v>
      </c>
    </row>
    <row r="9" customFormat="false" ht="13.8" hidden="false" customHeight="false" outlineLevel="0" collapsed="false">
      <c r="B9" s="1" t="n">
        <v>16.2</v>
      </c>
      <c r="C9" s="1" t="n">
        <v>2134</v>
      </c>
      <c r="D9" s="1" t="n">
        <v>2079</v>
      </c>
      <c r="E9" s="1" t="n">
        <v>2295</v>
      </c>
      <c r="F9" s="1" t="n">
        <v>2348</v>
      </c>
      <c r="G9" s="1" t="n">
        <v>2347</v>
      </c>
      <c r="J9" s="3" t="n">
        <v>46168.7700810185</v>
      </c>
      <c r="K9" s="1" t="s">
        <v>6</v>
      </c>
      <c r="L9" s="1" t="n">
        <v>2079</v>
      </c>
      <c r="M9" s="1" t="n">
        <v>42</v>
      </c>
    </row>
    <row r="10" customFormat="false" ht="13.8" hidden="false" customHeight="false" outlineLevel="0" collapsed="false">
      <c r="B10" s="1" t="n">
        <v>16.3</v>
      </c>
      <c r="C10" s="1" t="n">
        <v>2126</v>
      </c>
      <c r="D10" s="1" t="n">
        <v>2075</v>
      </c>
      <c r="E10" s="1" t="n">
        <v>2309</v>
      </c>
      <c r="F10" s="1" t="n">
        <v>2368</v>
      </c>
      <c r="G10" s="1" t="n">
        <v>2336</v>
      </c>
      <c r="J10" s="3" t="n">
        <v>46168.7700810185</v>
      </c>
      <c r="K10" s="1" t="s">
        <v>6</v>
      </c>
      <c r="L10" s="1" t="n">
        <v>2075</v>
      </c>
      <c r="M10" s="1" t="n">
        <v>43</v>
      </c>
    </row>
    <row r="11" customFormat="false" ht="13.8" hidden="false" customHeight="false" outlineLevel="0" collapsed="false">
      <c r="B11" s="1" t="n">
        <v>16.2</v>
      </c>
      <c r="C11" s="1" t="n">
        <v>2217</v>
      </c>
      <c r="D11" s="1" t="n">
        <v>2082</v>
      </c>
      <c r="E11" s="1" t="n">
        <v>2325</v>
      </c>
      <c r="F11" s="1" t="n">
        <v>2359</v>
      </c>
      <c r="G11" s="1" t="n">
        <v>2355</v>
      </c>
      <c r="J11" s="3" t="n">
        <v>46168.7700925926</v>
      </c>
      <c r="K11" s="1" t="s">
        <v>6</v>
      </c>
      <c r="L11" s="1" t="n">
        <v>2082</v>
      </c>
      <c r="M11" s="1" t="n">
        <v>42</v>
      </c>
    </row>
    <row r="12" customFormat="false" ht="13.8" hidden="false" customHeight="false" outlineLevel="0" collapsed="false">
      <c r="B12" s="1" t="n">
        <v>16.2</v>
      </c>
      <c r="C12" s="1" t="n">
        <v>2125</v>
      </c>
      <c r="D12" s="1" t="n">
        <v>2079</v>
      </c>
      <c r="E12" s="1" t="n">
        <v>2337</v>
      </c>
      <c r="F12" s="1" t="n">
        <v>2367</v>
      </c>
      <c r="G12" s="1" t="n">
        <v>2368</v>
      </c>
      <c r="J12" s="3" t="n">
        <v>46168.7700925926</v>
      </c>
      <c r="K12" s="1" t="s">
        <v>6</v>
      </c>
      <c r="L12" s="1" t="n">
        <v>2079</v>
      </c>
      <c r="M12" s="1" t="n">
        <v>42</v>
      </c>
    </row>
    <row r="13" customFormat="false" ht="13.8" hidden="false" customHeight="false" outlineLevel="0" collapsed="false">
      <c r="B13" s="1" t="n">
        <v>16.2</v>
      </c>
      <c r="C13" s="1" t="n">
        <v>2132</v>
      </c>
      <c r="D13" s="1" t="n">
        <v>2083</v>
      </c>
      <c r="E13" s="1" t="n">
        <v>2341</v>
      </c>
      <c r="F13" s="1" t="n">
        <v>2369</v>
      </c>
      <c r="G13" s="1" t="n">
        <v>2367</v>
      </c>
      <c r="J13" s="3" t="n">
        <v>46168.7704282407</v>
      </c>
      <c r="K13" s="1" t="s">
        <v>6</v>
      </c>
      <c r="L13" s="1" t="n">
        <v>2083</v>
      </c>
      <c r="M13" s="1" t="n">
        <v>42</v>
      </c>
    </row>
    <row r="14" customFormat="false" ht="13.8" hidden="false" customHeight="false" outlineLevel="0" collapsed="false">
      <c r="B14" s="1" t="n">
        <v>16.2</v>
      </c>
      <c r="C14" s="1" t="n">
        <v>2126</v>
      </c>
      <c r="D14" s="1" t="n">
        <v>2019</v>
      </c>
      <c r="E14" s="1" t="n">
        <v>2351</v>
      </c>
      <c r="F14" s="1" t="n">
        <v>2386</v>
      </c>
      <c r="G14" s="1" t="n">
        <v>2370</v>
      </c>
      <c r="J14" s="3" t="n">
        <v>46168.7704282407</v>
      </c>
      <c r="K14" s="1" t="s">
        <v>6</v>
      </c>
      <c r="L14" s="1" t="n">
        <v>2019</v>
      </c>
      <c r="M14" s="1" t="n">
        <v>46</v>
      </c>
    </row>
    <row r="15" customFormat="false" ht="13.8" hidden="false" customHeight="false" outlineLevel="0" collapsed="false">
      <c r="B15" s="1" t="n">
        <v>16.2</v>
      </c>
      <c r="C15" s="1" t="n">
        <v>2064</v>
      </c>
      <c r="D15" s="1" t="n">
        <v>2081</v>
      </c>
      <c r="E15" s="1" t="n">
        <v>2357</v>
      </c>
      <c r="F15" s="1" t="n">
        <v>2383</v>
      </c>
      <c r="G15" s="1" t="n">
        <v>2384</v>
      </c>
      <c r="J15" s="3" t="n">
        <v>46168.7704398148</v>
      </c>
      <c r="K15" s="1" t="s">
        <v>6</v>
      </c>
      <c r="L15" s="1" t="n">
        <v>2081</v>
      </c>
      <c r="M15" s="1" t="n">
        <v>42</v>
      </c>
    </row>
    <row r="16" customFormat="false" ht="13.8" hidden="false" customHeight="false" outlineLevel="0" collapsed="false">
      <c r="B16" s="1" t="n">
        <v>16.2</v>
      </c>
      <c r="C16" s="1" t="n">
        <v>2119</v>
      </c>
      <c r="D16" s="1" t="n">
        <v>2076</v>
      </c>
      <c r="E16" s="1" t="n">
        <v>2364</v>
      </c>
      <c r="F16" s="1" t="n">
        <v>2384</v>
      </c>
      <c r="G16" s="1" t="n">
        <v>2375</v>
      </c>
      <c r="J16" s="3" t="n">
        <v>46168.7704398148</v>
      </c>
      <c r="K16" s="1" t="s">
        <v>6</v>
      </c>
      <c r="L16" s="1" t="n">
        <v>2076</v>
      </c>
      <c r="M16" s="1" t="n">
        <v>43</v>
      </c>
    </row>
    <row r="17" customFormat="false" ht="13.8" hidden="false" customHeight="false" outlineLevel="0" collapsed="false">
      <c r="B17" s="1" t="n">
        <v>16.2</v>
      </c>
      <c r="C17" s="1" t="n">
        <v>2101</v>
      </c>
      <c r="D17" s="1" t="n">
        <v>2096</v>
      </c>
      <c r="E17" s="1" t="n">
        <v>2369</v>
      </c>
      <c r="F17" s="1" t="n">
        <v>2401</v>
      </c>
      <c r="G17" s="1" t="n">
        <v>2378</v>
      </c>
      <c r="J17" s="3" t="n">
        <v>46168.7704398148</v>
      </c>
      <c r="K17" s="1" t="s">
        <v>6</v>
      </c>
      <c r="L17" s="1" t="n">
        <v>2096</v>
      </c>
      <c r="M17" s="1" t="n">
        <v>41</v>
      </c>
    </row>
    <row r="18" customFormat="false" ht="13.8" hidden="false" customHeight="false" outlineLevel="0" collapsed="false">
      <c r="B18" s="1" t="n">
        <v>16.3</v>
      </c>
      <c r="C18" s="1" t="n">
        <v>2170</v>
      </c>
      <c r="D18" s="1" t="n">
        <v>2081</v>
      </c>
      <c r="E18" s="1" t="n">
        <v>2379</v>
      </c>
      <c r="F18" s="1" t="n">
        <v>2395</v>
      </c>
      <c r="G18" s="1" t="n">
        <v>2384</v>
      </c>
      <c r="J18" s="3" t="n">
        <v>46168.7704398148</v>
      </c>
      <c r="K18" s="1" t="s">
        <v>6</v>
      </c>
      <c r="L18" s="1" t="n">
        <v>2081</v>
      </c>
      <c r="M18" s="1" t="n">
        <v>42</v>
      </c>
    </row>
    <row r="19" customFormat="false" ht="13.8" hidden="false" customHeight="false" outlineLevel="0" collapsed="false">
      <c r="B19" s="1" t="n">
        <v>16.2</v>
      </c>
      <c r="C19" s="1" t="n">
        <v>2126</v>
      </c>
      <c r="D19" s="1" t="n">
        <v>2081</v>
      </c>
      <c r="E19" s="1" t="n">
        <v>2381</v>
      </c>
      <c r="F19" s="1" t="n">
        <v>2431</v>
      </c>
      <c r="G19" s="1" t="n">
        <v>2384</v>
      </c>
      <c r="J19" s="3" t="n">
        <v>46168.770775463</v>
      </c>
      <c r="K19" s="1" t="s">
        <v>6</v>
      </c>
      <c r="L19" s="1" t="n">
        <v>2081</v>
      </c>
      <c r="M19" s="1" t="n">
        <v>42</v>
      </c>
    </row>
    <row r="20" customFormat="false" ht="13.8" hidden="false" customHeight="false" outlineLevel="0" collapsed="false">
      <c r="B20" s="1" t="n">
        <v>16.3</v>
      </c>
      <c r="C20" s="1" t="n">
        <v>2122</v>
      </c>
      <c r="D20" s="1" t="n">
        <v>2078</v>
      </c>
      <c r="E20" s="1" t="n">
        <v>2382</v>
      </c>
      <c r="F20" s="1" t="n">
        <v>2403</v>
      </c>
      <c r="G20" s="1" t="n">
        <v>2384</v>
      </c>
      <c r="J20" s="3" t="n">
        <v>46168.770787037</v>
      </c>
      <c r="K20" s="1" t="s">
        <v>6</v>
      </c>
      <c r="L20" s="1" t="n">
        <v>2078</v>
      </c>
      <c r="M20" s="1" t="n">
        <v>43</v>
      </c>
    </row>
    <row r="21" customFormat="false" ht="13.8" hidden="false" customHeight="false" outlineLevel="0" collapsed="false">
      <c r="B21" s="1" t="n">
        <v>16.2</v>
      </c>
      <c r="C21" s="1" t="n">
        <v>2128</v>
      </c>
      <c r="D21" s="1" t="n">
        <v>2079</v>
      </c>
      <c r="E21" s="1" t="n">
        <v>2384</v>
      </c>
      <c r="F21" s="1" t="n">
        <v>2403</v>
      </c>
      <c r="G21" s="1" t="n">
        <v>2388</v>
      </c>
      <c r="J21" s="3" t="n">
        <v>46168.7707986111</v>
      </c>
      <c r="K21" s="1" t="s">
        <v>6</v>
      </c>
      <c r="L21" s="1" t="n">
        <v>2079</v>
      </c>
      <c r="M21" s="1" t="n">
        <v>42</v>
      </c>
    </row>
    <row r="22" customFormat="false" ht="13.8" hidden="false" customHeight="false" outlineLevel="0" collapsed="false">
      <c r="B22" s="1" t="n">
        <v>16.2</v>
      </c>
      <c r="C22" s="1" t="n">
        <v>2119</v>
      </c>
      <c r="D22" s="1" t="n">
        <v>2079</v>
      </c>
      <c r="E22" s="1" t="n">
        <v>2387</v>
      </c>
      <c r="F22" s="1" t="n">
        <v>2405</v>
      </c>
      <c r="G22" s="1" t="n">
        <v>2390</v>
      </c>
      <c r="J22" s="3" t="n">
        <v>46168.7707986111</v>
      </c>
      <c r="K22" s="1" t="s">
        <v>6</v>
      </c>
      <c r="L22" s="1" t="n">
        <v>2079</v>
      </c>
      <c r="M22" s="1" t="n">
        <v>42</v>
      </c>
    </row>
    <row r="23" customFormat="false" ht="13.8" hidden="false" customHeight="false" outlineLevel="0" collapsed="false">
      <c r="B23" s="1" t="n">
        <v>16.2</v>
      </c>
      <c r="C23" s="1" t="n">
        <v>2117</v>
      </c>
      <c r="D23" s="1" t="n">
        <v>2080</v>
      </c>
      <c r="E23" s="1" t="n">
        <v>2390</v>
      </c>
      <c r="F23" s="1" t="n">
        <v>2401</v>
      </c>
      <c r="G23" s="1" t="n">
        <v>2391</v>
      </c>
      <c r="J23" s="3" t="n">
        <v>46168.7708101852</v>
      </c>
      <c r="K23" s="1" t="s">
        <v>6</v>
      </c>
      <c r="L23" s="1" t="n">
        <v>2080</v>
      </c>
      <c r="M23" s="1" t="n">
        <v>42</v>
      </c>
    </row>
    <row r="24" customFormat="false" ht="13.8" hidden="false" customHeight="false" outlineLevel="0" collapsed="false">
      <c r="B24" s="1" t="n">
        <v>16.2</v>
      </c>
      <c r="C24" s="1" t="n">
        <v>2117</v>
      </c>
      <c r="D24" s="1" t="n">
        <v>2081</v>
      </c>
      <c r="E24" s="1" t="n">
        <v>2402</v>
      </c>
      <c r="F24" s="1" t="n">
        <v>2411</v>
      </c>
      <c r="G24" s="1" t="n">
        <v>2385</v>
      </c>
      <c r="J24" s="3" t="n">
        <v>46168.7708101852</v>
      </c>
      <c r="K24" s="1" t="s">
        <v>6</v>
      </c>
      <c r="L24" s="1" t="n">
        <v>2081</v>
      </c>
      <c r="M24" s="1" t="n">
        <v>42</v>
      </c>
    </row>
    <row r="25" customFormat="false" ht="13.8" hidden="false" customHeight="false" outlineLevel="0" collapsed="false">
      <c r="B25" s="1" t="n">
        <v>16.2</v>
      </c>
      <c r="C25" s="1" t="n">
        <v>2116</v>
      </c>
      <c r="D25" s="1" t="n">
        <v>2077</v>
      </c>
      <c r="E25" s="1" t="n">
        <v>2399</v>
      </c>
      <c r="F25" s="1" t="n">
        <v>2414</v>
      </c>
      <c r="G25" s="1" t="n">
        <v>2388</v>
      </c>
      <c r="J25" s="3" t="n">
        <v>46168.7711226852</v>
      </c>
      <c r="K25" s="1" t="s">
        <v>6</v>
      </c>
      <c r="L25" s="1" t="n">
        <v>2077</v>
      </c>
      <c r="M25" s="1" t="n">
        <v>43</v>
      </c>
    </row>
    <row r="26" customFormat="false" ht="13.8" hidden="false" customHeight="false" outlineLevel="0" collapsed="false">
      <c r="B26" s="1" t="n">
        <v>16.3</v>
      </c>
      <c r="C26" s="1" t="n">
        <v>2125</v>
      </c>
      <c r="D26" s="1" t="n">
        <v>2032</v>
      </c>
      <c r="E26" s="1" t="n">
        <v>2400</v>
      </c>
      <c r="F26" s="1" t="n">
        <v>2415</v>
      </c>
      <c r="G26" s="1" t="n">
        <v>2401</v>
      </c>
      <c r="J26" s="3" t="n">
        <v>46168.7711226852</v>
      </c>
      <c r="K26" s="1" t="s">
        <v>6</v>
      </c>
      <c r="L26" s="1" t="n">
        <v>2032</v>
      </c>
      <c r="M26" s="1" t="n">
        <v>46</v>
      </c>
    </row>
    <row r="27" customFormat="false" ht="13.8" hidden="false" customHeight="false" outlineLevel="0" collapsed="false">
      <c r="B27" s="1" t="n">
        <v>16.3</v>
      </c>
      <c r="C27" s="1" t="n">
        <v>2102</v>
      </c>
      <c r="D27" s="1" t="n">
        <v>2080</v>
      </c>
      <c r="E27" s="1" t="n">
        <v>2416</v>
      </c>
      <c r="F27" s="1" t="n">
        <v>2402</v>
      </c>
      <c r="G27" s="1" t="n">
        <v>2399</v>
      </c>
      <c r="J27" s="3" t="n">
        <v>46168.7711342593</v>
      </c>
      <c r="K27" s="1" t="s">
        <v>6</v>
      </c>
      <c r="L27" s="1" t="n">
        <v>2080</v>
      </c>
      <c r="M27" s="1" t="n">
        <v>42</v>
      </c>
    </row>
    <row r="28" customFormat="false" ht="13.8" hidden="false" customHeight="false" outlineLevel="0" collapsed="false">
      <c r="B28" s="1" t="n">
        <v>16.2</v>
      </c>
      <c r="C28" s="1" t="n">
        <v>2127</v>
      </c>
      <c r="D28" s="1" t="n">
        <v>2096</v>
      </c>
      <c r="E28" s="1" t="n">
        <v>2403</v>
      </c>
      <c r="F28" s="1" t="n">
        <v>2417</v>
      </c>
      <c r="G28" s="1" t="n">
        <v>2398</v>
      </c>
      <c r="J28" s="3" t="n">
        <v>46168.7711342593</v>
      </c>
      <c r="K28" s="1" t="s">
        <v>6</v>
      </c>
      <c r="L28" s="1" t="n">
        <v>2096</v>
      </c>
      <c r="M28" s="1" t="n">
        <v>41</v>
      </c>
    </row>
    <row r="29" customFormat="false" ht="13.8" hidden="false" customHeight="false" outlineLevel="0" collapsed="false">
      <c r="B29" s="1" t="n">
        <v>16.2</v>
      </c>
      <c r="C29" s="1" t="n">
        <v>2125</v>
      </c>
      <c r="D29" s="1" t="n">
        <v>2076</v>
      </c>
      <c r="E29" s="1" t="n">
        <v>2411</v>
      </c>
      <c r="F29" s="1" t="n">
        <v>2419</v>
      </c>
      <c r="G29" s="1" t="n">
        <v>2400</v>
      </c>
      <c r="J29" s="3" t="n">
        <v>46168.7711342593</v>
      </c>
      <c r="K29" s="1" t="s">
        <v>6</v>
      </c>
      <c r="L29" s="1" t="n">
        <v>2076</v>
      </c>
      <c r="M29" s="1" t="n">
        <v>43</v>
      </c>
    </row>
    <row r="30" customFormat="false" ht="13.8" hidden="false" customHeight="false" outlineLevel="0" collapsed="false">
      <c r="B30" s="1" t="n">
        <v>16.2</v>
      </c>
      <c r="C30" s="1" t="n">
        <v>2118</v>
      </c>
      <c r="D30" s="1" t="n">
        <v>2083</v>
      </c>
      <c r="E30" s="1" t="n">
        <v>2411</v>
      </c>
      <c r="F30" s="1" t="n">
        <v>2420</v>
      </c>
      <c r="G30" s="1" t="n">
        <v>2401</v>
      </c>
      <c r="J30" s="3" t="n">
        <v>46168.7711458333</v>
      </c>
      <c r="K30" s="1" t="s">
        <v>6</v>
      </c>
      <c r="L30" s="1" t="n">
        <v>2083</v>
      </c>
      <c r="M30" s="1" t="n">
        <v>42</v>
      </c>
    </row>
    <row r="31" customFormat="false" ht="13.8" hidden="false" customHeight="false" outlineLevel="0" collapsed="false">
      <c r="B31" s="1" t="n">
        <v>16.2</v>
      </c>
      <c r="C31" s="1" t="n">
        <v>2101</v>
      </c>
      <c r="D31" s="1" t="n">
        <v>2043</v>
      </c>
      <c r="E31" s="1" t="n">
        <v>2413</v>
      </c>
      <c r="F31" s="1" t="n">
        <v>2416</v>
      </c>
      <c r="G31" s="1" t="n">
        <v>2402</v>
      </c>
      <c r="J31" s="3" t="n">
        <v>46168.7714814815</v>
      </c>
      <c r="K31" s="1" t="s">
        <v>6</v>
      </c>
      <c r="L31" s="1" t="n">
        <v>2043</v>
      </c>
      <c r="M31" s="1" t="n">
        <v>45</v>
      </c>
    </row>
    <row r="32" customFormat="false" ht="13.8" hidden="false" customHeight="false" outlineLevel="0" collapsed="false">
      <c r="B32" s="1" t="n">
        <v>16.2</v>
      </c>
      <c r="C32" s="1" t="n">
        <v>2125</v>
      </c>
      <c r="D32" s="1" t="n">
        <v>2080</v>
      </c>
      <c r="E32" s="1" t="n">
        <v>2416</v>
      </c>
      <c r="F32" s="1" t="n">
        <v>2423</v>
      </c>
      <c r="G32" s="1" t="n">
        <v>2402</v>
      </c>
      <c r="J32" s="3" t="n">
        <v>46168.7714814815</v>
      </c>
      <c r="K32" s="1" t="s">
        <v>6</v>
      </c>
      <c r="L32" s="1" t="n">
        <v>2080</v>
      </c>
      <c r="M32" s="1" t="n">
        <v>42</v>
      </c>
    </row>
    <row r="33" customFormat="false" ht="13.8" hidden="false" customHeight="false" outlineLevel="0" collapsed="false">
      <c r="B33" s="1" t="n">
        <v>16.2</v>
      </c>
      <c r="C33" s="1" t="n">
        <v>2116</v>
      </c>
      <c r="D33" s="1" t="n">
        <v>2081</v>
      </c>
      <c r="E33" s="1" t="n">
        <v>2416</v>
      </c>
      <c r="F33" s="1" t="n">
        <v>2426</v>
      </c>
      <c r="G33" s="1" t="n">
        <v>2405</v>
      </c>
      <c r="J33" s="3" t="n">
        <v>46168.7714814815</v>
      </c>
      <c r="K33" s="1" t="s">
        <v>6</v>
      </c>
      <c r="L33" s="1" t="n">
        <v>2081</v>
      </c>
      <c r="M33" s="1" t="n">
        <v>42</v>
      </c>
    </row>
    <row r="34" customFormat="false" ht="13.8" hidden="false" customHeight="false" outlineLevel="0" collapsed="false">
      <c r="B34" s="1" t="n">
        <v>16.2</v>
      </c>
      <c r="C34" s="1" t="n">
        <v>2096</v>
      </c>
      <c r="D34" s="1" t="n">
        <v>2067</v>
      </c>
      <c r="E34" s="1" t="n">
        <v>2416</v>
      </c>
      <c r="F34" s="1" t="n">
        <v>2427</v>
      </c>
      <c r="G34" s="1" t="n">
        <v>2406</v>
      </c>
      <c r="J34" s="3" t="n">
        <v>46168.7714930556</v>
      </c>
      <c r="K34" s="1" t="s">
        <v>6</v>
      </c>
      <c r="L34" s="1" t="n">
        <v>2067</v>
      </c>
      <c r="M34" s="1" t="n">
        <v>43</v>
      </c>
    </row>
    <row r="35" customFormat="false" ht="13.8" hidden="false" customHeight="false" outlineLevel="0" collapsed="false">
      <c r="B35" s="1" t="n">
        <v>16.2</v>
      </c>
      <c r="C35" s="1" t="n">
        <v>2124</v>
      </c>
      <c r="D35" s="1" t="n">
        <v>2064</v>
      </c>
      <c r="E35" s="1" t="n">
        <v>2416</v>
      </c>
      <c r="F35" s="1" t="n">
        <v>2430</v>
      </c>
      <c r="G35" s="1" t="n">
        <v>2413</v>
      </c>
      <c r="J35" s="3" t="n">
        <v>46168.7714930556</v>
      </c>
      <c r="K35" s="1" t="s">
        <v>6</v>
      </c>
      <c r="L35" s="1" t="n">
        <v>2064</v>
      </c>
      <c r="M35" s="1" t="n">
        <v>43</v>
      </c>
    </row>
    <row r="36" customFormat="false" ht="13.8" hidden="false" customHeight="false" outlineLevel="0" collapsed="false">
      <c r="B36" s="1" t="n">
        <v>16.2</v>
      </c>
      <c r="C36" s="1" t="n">
        <v>2123</v>
      </c>
      <c r="D36" s="1" t="n">
        <v>2078</v>
      </c>
      <c r="E36" s="1" t="n">
        <v>2419</v>
      </c>
      <c r="F36" s="1" t="n">
        <v>2432</v>
      </c>
      <c r="G36" s="1" t="n">
        <v>2410</v>
      </c>
      <c r="J36" s="3" t="n">
        <v>46168.7714930556</v>
      </c>
      <c r="K36" s="1" t="s">
        <v>6</v>
      </c>
      <c r="L36" s="1" t="n">
        <v>2078</v>
      </c>
      <c r="M36" s="1" t="n">
        <v>43</v>
      </c>
    </row>
    <row r="37" customFormat="false" ht="13.8" hidden="false" customHeight="false" outlineLevel="0" collapsed="false">
      <c r="B37" s="1" t="n">
        <v>16.2</v>
      </c>
      <c r="C37" s="1" t="n">
        <v>2118</v>
      </c>
      <c r="D37" s="1" t="n">
        <v>2075</v>
      </c>
      <c r="E37" s="1" t="n">
        <v>2418</v>
      </c>
      <c r="F37" s="1" t="n">
        <v>2432</v>
      </c>
      <c r="G37" s="1" t="n">
        <v>2412</v>
      </c>
      <c r="J37" s="3" t="n">
        <v>46168.7718287037</v>
      </c>
      <c r="K37" s="1" t="s">
        <v>6</v>
      </c>
      <c r="L37" s="1" t="n">
        <v>2075</v>
      </c>
      <c r="M37" s="1" t="n">
        <v>43</v>
      </c>
    </row>
    <row r="38" customFormat="false" ht="13.8" hidden="false" customHeight="false" outlineLevel="0" collapsed="false">
      <c r="B38" s="1" t="n">
        <v>16.2</v>
      </c>
      <c r="C38" s="1" t="n">
        <v>2116</v>
      </c>
      <c r="D38" s="1" t="n">
        <v>2074</v>
      </c>
      <c r="E38" s="1" t="n">
        <v>2422</v>
      </c>
      <c r="F38" s="1" t="n">
        <v>2432</v>
      </c>
      <c r="G38" s="1" t="n">
        <v>2413</v>
      </c>
      <c r="J38" s="3" t="n">
        <v>46168.7718287037</v>
      </c>
      <c r="K38" s="1" t="s">
        <v>6</v>
      </c>
      <c r="L38" s="1" t="n">
        <v>2074</v>
      </c>
      <c r="M38" s="1" t="n">
        <v>43</v>
      </c>
    </row>
    <row r="39" customFormat="false" ht="13.8" hidden="false" customHeight="false" outlineLevel="0" collapsed="false">
      <c r="B39" s="1" t="n">
        <v>16.2</v>
      </c>
      <c r="C39" s="1" t="n">
        <v>2122</v>
      </c>
      <c r="D39" s="1" t="n">
        <v>2077</v>
      </c>
      <c r="E39" s="1" t="n">
        <v>2426</v>
      </c>
      <c r="F39" s="1" t="n">
        <v>2437</v>
      </c>
      <c r="G39" s="1" t="n">
        <v>2416</v>
      </c>
      <c r="J39" s="3" t="n">
        <v>46168.7718402778</v>
      </c>
      <c r="K39" s="1" t="s">
        <v>6</v>
      </c>
      <c r="L39" s="1" t="n">
        <v>2077</v>
      </c>
      <c r="M39" s="1" t="n">
        <v>43</v>
      </c>
    </row>
    <row r="40" customFormat="false" ht="13.8" hidden="false" customHeight="false" outlineLevel="0" collapsed="false">
      <c r="B40" s="1" t="n">
        <v>16.2</v>
      </c>
      <c r="C40" s="1" t="n">
        <v>2119</v>
      </c>
      <c r="D40" s="1" t="n">
        <v>2033</v>
      </c>
      <c r="E40" s="1" t="n">
        <v>2435</v>
      </c>
      <c r="F40" s="1" t="n">
        <v>2435</v>
      </c>
      <c r="G40" s="1" t="n">
        <v>2416</v>
      </c>
      <c r="J40" s="3" t="n">
        <v>46168.7718402778</v>
      </c>
      <c r="K40" s="1" t="s">
        <v>6</v>
      </c>
      <c r="L40" s="1" t="n">
        <v>2033</v>
      </c>
      <c r="M40" s="1" t="n">
        <v>45</v>
      </c>
    </row>
    <row r="41" customFormat="false" ht="13.8" hidden="false" customHeight="false" outlineLevel="0" collapsed="false">
      <c r="B41" s="1" t="n">
        <v>16.2</v>
      </c>
      <c r="C41" s="1" t="n">
        <v>2100</v>
      </c>
      <c r="D41" s="1" t="n">
        <v>2078</v>
      </c>
      <c r="E41" s="1" t="n">
        <v>2431</v>
      </c>
      <c r="F41" s="1" t="n">
        <v>2429</v>
      </c>
      <c r="G41" s="1" t="n">
        <v>2419</v>
      </c>
      <c r="J41" s="3" t="n">
        <v>46168.7718518519</v>
      </c>
      <c r="K41" s="1" t="s">
        <v>6</v>
      </c>
      <c r="L41" s="1" t="n">
        <v>2078</v>
      </c>
      <c r="M41" s="1" t="n">
        <v>43</v>
      </c>
    </row>
    <row r="42" customFormat="false" ht="13.8" hidden="false" customHeight="false" outlineLevel="0" collapsed="false">
      <c r="B42" s="1" t="n">
        <v>16.2</v>
      </c>
      <c r="C42" s="1" t="n">
        <v>2125</v>
      </c>
      <c r="D42" s="1" t="n">
        <v>2004</v>
      </c>
      <c r="E42" s="1" t="n">
        <v>2431</v>
      </c>
      <c r="F42" s="1" t="n">
        <v>2441</v>
      </c>
      <c r="G42" s="1" t="n">
        <v>2416</v>
      </c>
      <c r="J42" s="3" t="n">
        <v>46168.7718518519</v>
      </c>
      <c r="K42" s="1" t="s">
        <v>6</v>
      </c>
      <c r="L42" s="1" t="n">
        <v>2004</v>
      </c>
      <c r="M42" s="1" t="n">
        <v>47</v>
      </c>
    </row>
    <row r="43" customFormat="false" ht="13.8" hidden="false" customHeight="false" outlineLevel="0" collapsed="false">
      <c r="B43" s="1" t="n">
        <v>16.2</v>
      </c>
      <c r="C43" s="1" t="n">
        <v>2129</v>
      </c>
      <c r="D43" s="1" t="n">
        <v>2082</v>
      </c>
      <c r="E43" s="1" t="n">
        <v>2421</v>
      </c>
      <c r="F43" s="1" t="n">
        <v>2437</v>
      </c>
      <c r="G43" s="1" t="n">
        <v>2417</v>
      </c>
      <c r="J43" s="3" t="n">
        <v>46168.7721875</v>
      </c>
      <c r="K43" s="1" t="s">
        <v>6</v>
      </c>
      <c r="L43" s="1" t="n">
        <v>2082</v>
      </c>
      <c r="M43" s="1" t="n">
        <v>42</v>
      </c>
    </row>
    <row r="44" customFormat="false" ht="13.8" hidden="false" customHeight="false" outlineLevel="0" collapsed="false">
      <c r="B44" s="1" t="n">
        <v>16.2</v>
      </c>
      <c r="C44" s="1" t="n">
        <v>2096</v>
      </c>
      <c r="D44" s="1" t="n">
        <v>2080</v>
      </c>
      <c r="E44" s="1" t="n">
        <v>2432</v>
      </c>
      <c r="F44" s="1" t="n">
        <v>2441</v>
      </c>
      <c r="G44" s="1" t="n">
        <v>2418</v>
      </c>
      <c r="J44" s="3" t="n">
        <v>46168.7721990741</v>
      </c>
      <c r="K44" s="1" t="s">
        <v>6</v>
      </c>
      <c r="L44" s="1" t="n">
        <v>2080</v>
      </c>
      <c r="M44" s="1" t="n">
        <v>42</v>
      </c>
    </row>
    <row r="45" customFormat="false" ht="13.8" hidden="false" customHeight="false" outlineLevel="0" collapsed="false">
      <c r="B45" s="1" t="n">
        <v>16.2</v>
      </c>
      <c r="C45" s="1" t="n">
        <v>2112</v>
      </c>
      <c r="D45" s="1" t="n">
        <v>2073</v>
      </c>
      <c r="E45" s="1" t="n">
        <v>2417</v>
      </c>
      <c r="F45" s="1" t="n">
        <v>2442</v>
      </c>
      <c r="G45" s="1" t="n">
        <v>2422</v>
      </c>
      <c r="J45" s="3" t="n">
        <v>46168.7721990741</v>
      </c>
      <c r="K45" s="1" t="s">
        <v>6</v>
      </c>
      <c r="L45" s="1" t="n">
        <v>2073</v>
      </c>
      <c r="M45" s="1" t="n">
        <v>43</v>
      </c>
    </row>
    <row r="46" customFormat="false" ht="13.8" hidden="false" customHeight="false" outlineLevel="0" collapsed="false">
      <c r="B46" s="1" t="n">
        <v>16.2</v>
      </c>
      <c r="C46" s="1" t="n">
        <v>2126</v>
      </c>
      <c r="D46" s="1" t="n">
        <v>2069</v>
      </c>
      <c r="E46" s="1" t="n">
        <v>2432</v>
      </c>
      <c r="F46" s="1" t="n">
        <v>2445</v>
      </c>
      <c r="G46" s="1" t="n">
        <v>2422</v>
      </c>
      <c r="J46" s="3" t="n">
        <v>46168.7722106482</v>
      </c>
      <c r="K46" s="1" t="s">
        <v>6</v>
      </c>
      <c r="L46" s="1" t="n">
        <v>2069</v>
      </c>
      <c r="M46" s="1" t="n">
        <v>43</v>
      </c>
    </row>
    <row r="47" customFormat="false" ht="13.8" hidden="false" customHeight="false" outlineLevel="0" collapsed="false">
      <c r="B47" s="1" t="n">
        <v>16.2</v>
      </c>
      <c r="C47" s="1" t="n">
        <v>2124</v>
      </c>
      <c r="D47" s="1" t="n">
        <v>2077</v>
      </c>
      <c r="E47" s="1" t="n">
        <v>2434</v>
      </c>
      <c r="F47" s="1" t="n">
        <v>2444</v>
      </c>
      <c r="G47" s="1" t="n">
        <v>2426</v>
      </c>
      <c r="J47" s="3" t="n">
        <v>46168.7722106482</v>
      </c>
      <c r="K47" s="1" t="s">
        <v>6</v>
      </c>
      <c r="L47" s="1" t="n">
        <v>2077</v>
      </c>
      <c r="M47" s="1" t="n">
        <v>43</v>
      </c>
    </row>
    <row r="48" customFormat="false" ht="13.8" hidden="false" customHeight="false" outlineLevel="0" collapsed="false">
      <c r="B48" s="1" t="n">
        <v>16.2</v>
      </c>
      <c r="C48" s="1" t="n">
        <v>2102</v>
      </c>
      <c r="D48" s="1" t="n">
        <v>2157</v>
      </c>
      <c r="E48" s="1" t="n">
        <v>2434</v>
      </c>
      <c r="F48" s="1" t="n">
        <v>2447</v>
      </c>
      <c r="G48" s="1" t="n">
        <v>2426</v>
      </c>
      <c r="J48" s="3" t="n">
        <v>46168.7722222222</v>
      </c>
      <c r="K48" s="1" t="s">
        <v>6</v>
      </c>
      <c r="L48" s="1" t="n">
        <v>2157</v>
      </c>
      <c r="M48" s="1" t="n">
        <v>37</v>
      </c>
    </row>
    <row r="49" customFormat="false" ht="13.8" hidden="false" customHeight="false" outlineLevel="0" collapsed="false">
      <c r="B49" s="1" t="n">
        <v>16.2</v>
      </c>
      <c r="C49" s="1" t="n">
        <v>2112</v>
      </c>
      <c r="D49" s="1" t="n">
        <v>2074</v>
      </c>
      <c r="E49" s="1" t="n">
        <v>2439</v>
      </c>
      <c r="F49" s="1" t="n">
        <v>2444</v>
      </c>
      <c r="G49" s="1" t="n">
        <v>2427</v>
      </c>
      <c r="J49" s="3" t="n">
        <v>46168.7725347222</v>
      </c>
      <c r="K49" s="1" t="s">
        <v>6</v>
      </c>
      <c r="L49" s="1" t="n">
        <v>2074</v>
      </c>
      <c r="M49" s="1" t="n">
        <v>43</v>
      </c>
    </row>
    <row r="50" customFormat="false" ht="13.8" hidden="false" customHeight="false" outlineLevel="0" collapsed="false">
      <c r="B50" s="1" t="n">
        <v>16.2</v>
      </c>
      <c r="C50" s="1" t="n">
        <v>2112</v>
      </c>
      <c r="D50" s="1" t="n">
        <v>2063</v>
      </c>
      <c r="E50" s="1" t="n">
        <v>2437</v>
      </c>
      <c r="F50" s="1" t="n">
        <v>2448</v>
      </c>
      <c r="G50" s="1" t="n">
        <v>2429</v>
      </c>
      <c r="J50" s="3" t="n">
        <v>46168.7725462963</v>
      </c>
      <c r="K50" s="1" t="s">
        <v>6</v>
      </c>
      <c r="L50" s="1" t="n">
        <v>2063</v>
      </c>
      <c r="M50" s="1" t="n">
        <v>44</v>
      </c>
    </row>
    <row r="51" customFormat="false" ht="13.8" hidden="false" customHeight="false" outlineLevel="0" collapsed="false">
      <c r="B51" s="1" t="n">
        <v>16.2</v>
      </c>
      <c r="C51" s="1" t="n">
        <v>2123</v>
      </c>
      <c r="D51" s="1" t="n">
        <v>2061</v>
      </c>
      <c r="E51" s="1" t="n">
        <v>2442</v>
      </c>
      <c r="F51" s="1" t="n">
        <v>2459</v>
      </c>
      <c r="G51" s="1" t="n">
        <v>2426</v>
      </c>
      <c r="J51" s="3" t="n">
        <v>46168.7725462963</v>
      </c>
      <c r="K51" s="1" t="s">
        <v>6</v>
      </c>
      <c r="L51" s="1" t="n">
        <v>2061</v>
      </c>
      <c r="M51" s="1" t="n">
        <v>44</v>
      </c>
    </row>
    <row r="52" customFormat="false" ht="13.8" hidden="false" customHeight="false" outlineLevel="0" collapsed="false">
      <c r="B52" s="1" t="n">
        <v>16.2</v>
      </c>
      <c r="C52" s="1" t="n">
        <v>2112</v>
      </c>
      <c r="D52" s="1" t="n">
        <v>2078</v>
      </c>
      <c r="E52" s="1" t="n">
        <v>2430</v>
      </c>
      <c r="F52" s="1" t="n">
        <v>2448</v>
      </c>
      <c r="G52" s="1" t="n">
        <v>2431</v>
      </c>
      <c r="J52" s="3" t="n">
        <v>46168.7725578704</v>
      </c>
      <c r="K52" s="1" t="s">
        <v>6</v>
      </c>
      <c r="L52" s="1" t="n">
        <v>2078</v>
      </c>
      <c r="M52" s="1" t="n">
        <v>43</v>
      </c>
    </row>
    <row r="53" customFormat="false" ht="13.8" hidden="false" customHeight="false" outlineLevel="0" collapsed="false">
      <c r="B53" s="1" t="n">
        <v>16.2</v>
      </c>
      <c r="C53" s="1" t="n">
        <v>2085</v>
      </c>
      <c r="D53" s="1" t="n">
        <v>2222</v>
      </c>
      <c r="E53" s="1" t="n">
        <v>2443</v>
      </c>
      <c r="F53" s="1" t="n">
        <v>2449</v>
      </c>
      <c r="G53" s="1" t="n">
        <v>2434</v>
      </c>
      <c r="J53" s="3" t="n">
        <v>46168.7725578704</v>
      </c>
      <c r="K53" s="1" t="s">
        <v>6</v>
      </c>
      <c r="L53" s="1" t="n">
        <v>2222</v>
      </c>
      <c r="M53" s="1" t="n">
        <v>33</v>
      </c>
    </row>
    <row r="54" customFormat="false" ht="13.8" hidden="false" customHeight="false" outlineLevel="0" collapsed="false">
      <c r="B54" s="1" t="n">
        <v>16.2</v>
      </c>
      <c r="C54" s="1" t="n">
        <v>2129</v>
      </c>
      <c r="D54" s="1" t="n">
        <v>1984</v>
      </c>
      <c r="E54" s="1" t="n">
        <v>2443</v>
      </c>
      <c r="F54" s="1" t="n">
        <v>2448</v>
      </c>
      <c r="G54" s="1" t="n">
        <v>2429</v>
      </c>
      <c r="J54" s="3" t="n">
        <v>46168.7725578704</v>
      </c>
      <c r="K54" s="1" t="s">
        <v>6</v>
      </c>
      <c r="L54" s="1" t="n">
        <v>1984</v>
      </c>
      <c r="M54" s="1" t="n">
        <v>49</v>
      </c>
    </row>
    <row r="55" customFormat="false" ht="13.8" hidden="false" customHeight="false" outlineLevel="0" collapsed="false">
      <c r="B55" s="1" t="n">
        <v>16.2</v>
      </c>
      <c r="C55" s="1" t="n">
        <v>2128</v>
      </c>
      <c r="D55" s="1" t="n">
        <v>2073</v>
      </c>
      <c r="E55" s="1" t="n">
        <v>2444</v>
      </c>
      <c r="F55" s="1" t="n">
        <v>2454</v>
      </c>
      <c r="G55" s="1" t="n">
        <v>2431</v>
      </c>
      <c r="J55" s="3" t="n">
        <v>46168.7728935185</v>
      </c>
      <c r="K55" s="1" t="s">
        <v>6</v>
      </c>
      <c r="L55" s="1" t="n">
        <v>2073</v>
      </c>
      <c r="M55" s="1" t="n">
        <v>43</v>
      </c>
    </row>
    <row r="56" customFormat="false" ht="13.8" hidden="false" customHeight="false" outlineLevel="0" collapsed="false">
      <c r="B56" s="1" t="n">
        <v>16.2</v>
      </c>
      <c r="C56" s="1" t="n">
        <v>2128</v>
      </c>
      <c r="D56" s="1" t="n">
        <v>2075</v>
      </c>
      <c r="E56" s="1" t="n">
        <v>2445</v>
      </c>
      <c r="F56" s="1" t="n">
        <v>2450</v>
      </c>
      <c r="G56" s="1" t="n">
        <v>2432</v>
      </c>
      <c r="J56" s="3" t="n">
        <v>46168.7728935185</v>
      </c>
      <c r="K56" s="1" t="s">
        <v>6</v>
      </c>
      <c r="L56" s="1" t="n">
        <v>2075</v>
      </c>
      <c r="M56" s="1" t="n">
        <v>43</v>
      </c>
    </row>
    <row r="57" customFormat="false" ht="13.8" hidden="false" customHeight="false" outlineLevel="0" collapsed="false">
      <c r="B57" s="1" t="n">
        <v>16.2</v>
      </c>
      <c r="C57" s="1" t="n">
        <v>2121</v>
      </c>
      <c r="D57" s="1" t="n">
        <v>2073</v>
      </c>
      <c r="E57" s="1" t="n">
        <v>2447</v>
      </c>
      <c r="F57" s="1" t="n">
        <v>2449</v>
      </c>
      <c r="G57" s="1" t="n">
        <v>2434</v>
      </c>
      <c r="J57" s="3" t="n">
        <v>46168.7729050926</v>
      </c>
      <c r="K57" s="1" t="s">
        <v>6</v>
      </c>
      <c r="L57" s="1" t="n">
        <v>2073</v>
      </c>
      <c r="M57" s="1" t="n">
        <v>43</v>
      </c>
    </row>
    <row r="58" customFormat="false" ht="13.8" hidden="false" customHeight="false" outlineLevel="0" collapsed="false">
      <c r="B58" s="1" t="n">
        <v>16.2</v>
      </c>
      <c r="C58" s="1" t="n">
        <v>2111</v>
      </c>
      <c r="D58" s="1" t="n">
        <v>2087</v>
      </c>
      <c r="E58" s="1" t="n">
        <v>2445</v>
      </c>
      <c r="F58" s="1" t="n">
        <v>2450</v>
      </c>
      <c r="G58" s="1" t="n">
        <v>2432</v>
      </c>
      <c r="J58" s="3" t="n">
        <v>46168.7729050926</v>
      </c>
      <c r="K58" s="1" t="s">
        <v>6</v>
      </c>
      <c r="L58" s="1" t="n">
        <v>2087</v>
      </c>
      <c r="M58" s="1" t="n">
        <v>42</v>
      </c>
    </row>
    <row r="59" customFormat="false" ht="13.8" hidden="false" customHeight="false" outlineLevel="0" collapsed="false">
      <c r="B59" s="1" t="n">
        <v>16.2</v>
      </c>
      <c r="C59" s="1" t="n">
        <v>2119</v>
      </c>
      <c r="D59" s="1" t="n">
        <v>2015</v>
      </c>
      <c r="E59" s="1" t="n">
        <v>2447</v>
      </c>
      <c r="F59" s="1" t="n">
        <v>2451</v>
      </c>
      <c r="G59" s="1" t="n">
        <v>2435</v>
      </c>
      <c r="J59" s="3" t="n">
        <v>46168.7729050926</v>
      </c>
      <c r="K59" s="1" t="s">
        <v>6</v>
      </c>
      <c r="L59" s="1" t="n">
        <v>2015</v>
      </c>
      <c r="M59" s="1" t="n">
        <v>47</v>
      </c>
    </row>
    <row r="60" customFormat="false" ht="13.8" hidden="false" customHeight="false" outlineLevel="0" collapsed="false">
      <c r="B60" s="1" t="n">
        <v>16.2</v>
      </c>
      <c r="C60" s="1" t="n">
        <v>2121</v>
      </c>
      <c r="D60" s="1" t="n">
        <v>2085</v>
      </c>
      <c r="E60" s="1" t="n">
        <v>2445</v>
      </c>
      <c r="F60" s="1" t="n">
        <v>2448</v>
      </c>
      <c r="G60" s="1" t="n">
        <v>2435</v>
      </c>
      <c r="J60" s="3" t="n">
        <v>46168.7729050926</v>
      </c>
      <c r="K60" s="1" t="s">
        <v>6</v>
      </c>
      <c r="L60" s="1" t="n">
        <v>2085</v>
      </c>
      <c r="M60" s="1" t="n">
        <v>42</v>
      </c>
    </row>
    <row r="61" customFormat="false" ht="13.8" hidden="false" customHeight="false" outlineLevel="0" collapsed="false">
      <c r="B61" s="1" t="n">
        <v>16.2</v>
      </c>
      <c r="C61" s="1" t="n">
        <v>2121</v>
      </c>
      <c r="D61" s="1" t="n">
        <v>2066</v>
      </c>
      <c r="E61" s="1" t="n">
        <v>2448</v>
      </c>
      <c r="F61" s="1" t="n">
        <v>2454</v>
      </c>
      <c r="G61" s="1" t="n">
        <v>2430</v>
      </c>
      <c r="J61" s="3" t="n">
        <v>46168.7732407407</v>
      </c>
      <c r="K61" s="1" t="s">
        <v>6</v>
      </c>
      <c r="L61" s="1" t="n">
        <v>2066</v>
      </c>
      <c r="M61" s="1" t="n">
        <v>43</v>
      </c>
    </row>
    <row r="62" customFormat="false" ht="13.8" hidden="false" customHeight="false" outlineLevel="0" collapsed="false">
      <c r="B62" s="1" t="n">
        <v>16.2</v>
      </c>
      <c r="C62" s="1" t="n">
        <v>2101</v>
      </c>
      <c r="D62" s="1" t="n">
        <v>2027</v>
      </c>
      <c r="E62" s="1" t="n">
        <v>2449</v>
      </c>
      <c r="F62" s="1" t="n">
        <v>2457</v>
      </c>
      <c r="G62" s="1" t="n">
        <v>2443</v>
      </c>
      <c r="J62" s="3" t="n">
        <v>46168.7732523148</v>
      </c>
      <c r="K62" s="1" t="s">
        <v>6</v>
      </c>
      <c r="L62" s="1" t="n">
        <v>2027</v>
      </c>
      <c r="M62" s="1" t="n">
        <v>46</v>
      </c>
    </row>
    <row r="63" customFormat="false" ht="13.8" hidden="false" customHeight="false" outlineLevel="0" collapsed="false">
      <c r="B63" s="1" t="n">
        <v>16.2</v>
      </c>
      <c r="C63" s="1" t="n">
        <v>2121</v>
      </c>
      <c r="D63" s="1" t="n">
        <v>2079</v>
      </c>
      <c r="E63" s="1" t="n">
        <v>2449</v>
      </c>
      <c r="F63" s="1" t="n">
        <v>2455</v>
      </c>
      <c r="G63" s="1" t="n">
        <v>2433</v>
      </c>
      <c r="J63" s="3" t="n">
        <v>46168.7732523148</v>
      </c>
      <c r="K63" s="1" t="s">
        <v>6</v>
      </c>
      <c r="L63" s="1" t="n">
        <v>2079</v>
      </c>
      <c r="M63" s="1" t="n">
        <v>42</v>
      </c>
    </row>
    <row r="64" customFormat="false" ht="13.8" hidden="false" customHeight="false" outlineLevel="0" collapsed="false">
      <c r="B64" s="1" t="n">
        <v>16.2</v>
      </c>
      <c r="C64" s="1" t="n">
        <v>2101</v>
      </c>
      <c r="D64" s="1" t="n">
        <v>2074</v>
      </c>
      <c r="E64" s="1" t="n">
        <v>2450</v>
      </c>
      <c r="F64" s="1" t="n">
        <v>2450</v>
      </c>
      <c r="G64" s="1" t="n">
        <v>2435</v>
      </c>
      <c r="J64" s="3" t="n">
        <v>46168.7732523148</v>
      </c>
      <c r="K64" s="1" t="s">
        <v>6</v>
      </c>
      <c r="L64" s="1" t="n">
        <v>2074</v>
      </c>
      <c r="M64" s="1" t="n">
        <v>43</v>
      </c>
    </row>
    <row r="65" customFormat="false" ht="13.8" hidden="false" customHeight="false" outlineLevel="0" collapsed="false">
      <c r="B65" s="1" t="n">
        <v>16.2</v>
      </c>
      <c r="C65" s="1" t="n">
        <v>2130</v>
      </c>
      <c r="D65" s="1" t="n">
        <v>2076</v>
      </c>
      <c r="E65" s="1" t="n">
        <v>2450</v>
      </c>
      <c r="F65" s="1" t="n">
        <v>2463</v>
      </c>
      <c r="G65" s="1" t="n">
        <v>2435</v>
      </c>
      <c r="J65" s="3" t="n">
        <v>46168.7732638889</v>
      </c>
      <c r="K65" s="1" t="s">
        <v>6</v>
      </c>
      <c r="L65" s="1" t="n">
        <v>2076</v>
      </c>
      <c r="M65" s="1" t="n">
        <v>43</v>
      </c>
    </row>
    <row r="66" customFormat="false" ht="13.8" hidden="false" customHeight="false" outlineLevel="0" collapsed="false">
      <c r="B66" s="1" t="n">
        <v>16.2</v>
      </c>
      <c r="C66" s="1" t="n">
        <v>2119</v>
      </c>
      <c r="D66" s="1" t="n">
        <v>2096</v>
      </c>
      <c r="E66" s="1" t="n">
        <v>2448</v>
      </c>
      <c r="F66" s="1" t="n">
        <v>2458</v>
      </c>
      <c r="G66" s="1" t="n">
        <v>2426</v>
      </c>
      <c r="J66" s="3" t="n">
        <v>46168.7732638889</v>
      </c>
      <c r="K66" s="1" t="s">
        <v>6</v>
      </c>
      <c r="L66" s="1" t="n">
        <v>2096</v>
      </c>
      <c r="M66" s="1" t="n">
        <v>41</v>
      </c>
    </row>
    <row r="67" customFormat="false" ht="13.8" hidden="false" customHeight="false" outlineLevel="0" collapsed="false">
      <c r="B67" s="1" t="n">
        <v>16.2</v>
      </c>
      <c r="C67" s="1" t="n">
        <v>2111</v>
      </c>
      <c r="D67" s="1" t="n">
        <v>2065</v>
      </c>
      <c r="E67" s="1" t="n">
        <v>2451</v>
      </c>
      <c r="F67" s="1" t="n">
        <v>2461</v>
      </c>
      <c r="G67" s="1" t="n">
        <v>2443</v>
      </c>
      <c r="J67" s="3" t="n">
        <v>46168.773599537</v>
      </c>
      <c r="K67" s="1" t="s">
        <v>6</v>
      </c>
      <c r="L67" s="1" t="n">
        <v>2065</v>
      </c>
      <c r="M67" s="1" t="n">
        <v>43</v>
      </c>
    </row>
    <row r="68" customFormat="false" ht="13.8" hidden="false" customHeight="false" outlineLevel="0" collapsed="false">
      <c r="B68" s="1" t="n">
        <v>16.2</v>
      </c>
      <c r="C68" s="1" t="n">
        <v>2112</v>
      </c>
      <c r="D68" s="1" t="n">
        <v>2068</v>
      </c>
      <c r="E68" s="1" t="n">
        <v>2463</v>
      </c>
      <c r="F68" s="1" t="n">
        <v>2466</v>
      </c>
      <c r="G68" s="1" t="n">
        <v>2442</v>
      </c>
      <c r="J68" s="3" t="n">
        <v>46168.773599537</v>
      </c>
      <c r="K68" s="1" t="s">
        <v>6</v>
      </c>
      <c r="L68" s="1" t="n">
        <v>2068</v>
      </c>
      <c r="M68" s="1" t="n">
        <v>43</v>
      </c>
    </row>
    <row r="69" customFormat="false" ht="13.8" hidden="false" customHeight="false" outlineLevel="0" collapsed="false">
      <c r="B69" s="1" t="n">
        <v>16.2</v>
      </c>
      <c r="C69" s="1" t="n">
        <v>2112</v>
      </c>
      <c r="D69" s="1" t="n">
        <v>2068</v>
      </c>
      <c r="E69" s="1" t="n">
        <v>2462</v>
      </c>
      <c r="F69" s="1" t="n">
        <v>2469</v>
      </c>
      <c r="G69" s="1" t="n">
        <v>2439</v>
      </c>
      <c r="J69" s="3" t="n">
        <v>46168.7736111111</v>
      </c>
      <c r="K69" s="1" t="s">
        <v>6</v>
      </c>
      <c r="L69" s="1" t="n">
        <v>2068</v>
      </c>
      <c r="M69" s="1" t="n">
        <v>43</v>
      </c>
    </row>
    <row r="70" customFormat="false" ht="13.8" hidden="false" customHeight="false" outlineLevel="0" collapsed="false">
      <c r="B70" s="1"/>
      <c r="C70" s="52" t="s">
        <v>964</v>
      </c>
      <c r="D70" s="52" t="s">
        <v>965</v>
      </c>
      <c r="E70" s="52" t="s">
        <v>966</v>
      </c>
      <c r="F70" s="52" t="s">
        <v>967</v>
      </c>
      <c r="G70" s="52" t="s">
        <v>968</v>
      </c>
      <c r="J70" s="3" t="n">
        <v>46168.7736111111</v>
      </c>
      <c r="K70" s="1" t="s">
        <v>6</v>
      </c>
      <c r="L70" s="1" t="n">
        <v>2071</v>
      </c>
      <c r="M70" s="1" t="n">
        <v>43</v>
      </c>
    </row>
    <row r="71" customFormat="false" ht="13.8" hidden="false" customHeight="false" outlineLevel="0" collapsed="false">
      <c r="B71" s="1" t="s">
        <v>969</v>
      </c>
      <c r="C71" s="1" t="n">
        <f aca="false">AVERAGE($C$2:$C$69)</f>
        <v>2119.80882352941</v>
      </c>
      <c r="D71" s="1" t="n">
        <f aca="false">AVERAGE($D$2:$D$69)</f>
        <v>2075.66176470588</v>
      </c>
      <c r="E71" s="1" t="n">
        <f aca="false">AVERAGE($E$2:$E$69)</f>
        <v>2390.83823529412</v>
      </c>
      <c r="F71" s="1" t="n">
        <f aca="false">AVERAGE($F$2:$F$69)</f>
        <v>2410.32352941177</v>
      </c>
      <c r="G71" s="1" t="n">
        <f aca="false">AVERAGE($G$2:$G$69)</f>
        <v>2397.76470588235</v>
      </c>
      <c r="J71" s="3" t="n">
        <v>46168.7736226852</v>
      </c>
      <c r="K71" s="1" t="s">
        <v>7</v>
      </c>
      <c r="L71" s="1" t="n">
        <v>2085</v>
      </c>
      <c r="M71" s="1" t="n">
        <v>67</v>
      </c>
    </row>
    <row r="72" customFormat="false" ht="13.8" hidden="false" customHeight="false" outlineLevel="0" collapsed="false">
      <c r="B72" s="1" t="s">
        <v>970</v>
      </c>
      <c r="C72" s="1" t="n">
        <f aca="false">SQRT(VAR($C$2:$C$69)/COUNT($C$2:$C$69))</f>
        <v>2.37388274658434</v>
      </c>
      <c r="D72" s="1" t="n">
        <f aca="false">SQRT(VAR($D$2:$D$69)/COUNT($D$2:$D$69))</f>
        <v>4.03461810300575</v>
      </c>
      <c r="E72" s="1" t="n">
        <f aca="false">SQRT(VAR($E$2:$E$69)/COUNT($E$2:$E$69))</f>
        <v>9.51018608052796</v>
      </c>
      <c r="F72" s="1" t="n">
        <f aca="false">SQRT(VAR($F$2:$F$69)/COUNT($F$2:$F$69))</f>
        <v>7.24975980276232</v>
      </c>
      <c r="G72" s="1" t="n">
        <f aca="false">SQRT(VAR($G$2:$G$69)/COUNT($G$2:$G$69))</f>
        <v>5.08428165530007</v>
      </c>
      <c r="J72" s="3" t="n">
        <v>46168.7736226852</v>
      </c>
      <c r="K72" s="1" t="s">
        <v>7</v>
      </c>
      <c r="L72" s="1" t="n">
        <v>2133</v>
      </c>
      <c r="M72" s="1" t="n">
        <v>62</v>
      </c>
    </row>
    <row r="73" customFormat="false" ht="13.8" hidden="false" customHeight="false" outlineLevel="0" collapsed="false">
      <c r="B73" s="1" t="s">
        <v>971</v>
      </c>
      <c r="C73" s="1" t="n">
        <f aca="false">MODE($C$2:$C$69)</f>
        <v>2112</v>
      </c>
      <c r="D73" s="1" t="n">
        <f aca="false">MODE($D$2:$D$69)</f>
        <v>2081</v>
      </c>
      <c r="E73" s="1" t="n">
        <f aca="false">MODE($E$2:$E$69)</f>
        <v>2416</v>
      </c>
      <c r="F73" s="1" t="n">
        <f aca="false">MODE($F$2:$F$69)</f>
        <v>2448</v>
      </c>
      <c r="G73" s="1" t="n">
        <f aca="false">MODE($G$2:$G$69)</f>
        <v>2384</v>
      </c>
      <c r="J73" s="3" t="n">
        <v>46168.7739583333</v>
      </c>
      <c r="K73" s="1" t="s">
        <v>7</v>
      </c>
      <c r="L73" s="1" t="n">
        <v>2173</v>
      </c>
      <c r="M73" s="1" t="n">
        <v>58</v>
      </c>
    </row>
    <row r="74" customFormat="false" ht="13.8" hidden="false" customHeight="false" outlineLevel="0" collapsed="false">
      <c r="B74" s="1" t="s">
        <v>972</v>
      </c>
      <c r="C74" s="1" t="n">
        <f aca="false">MEDIAN($C$2:$C$69)</f>
        <v>2120</v>
      </c>
      <c r="D74" s="1" t="n">
        <f aca="false">MEDIAN($D$2:$D$69)</f>
        <v>2078</v>
      </c>
      <c r="E74" s="1" t="n">
        <f aca="false">MEDIAN($E$2:$E$69)</f>
        <v>2416.5</v>
      </c>
      <c r="F74" s="1" t="n">
        <f aca="false">MEDIAN($F$2:$F$69)</f>
        <v>2430.5</v>
      </c>
      <c r="G74" s="1" t="n">
        <f aca="false">MEDIAN($G$2:$G$69)</f>
        <v>2411</v>
      </c>
      <c r="J74" s="3" t="n">
        <v>46168.7739583333</v>
      </c>
      <c r="K74" s="1" t="s">
        <v>7</v>
      </c>
      <c r="L74" s="1" t="n">
        <v>2206</v>
      </c>
      <c r="M74" s="1" t="n">
        <v>55</v>
      </c>
    </row>
    <row r="75" customFormat="false" ht="13.8" hidden="false" customHeight="false" outlineLevel="0" collapsed="false">
      <c r="B75" s="1" t="s">
        <v>973</v>
      </c>
      <c r="C75" s="1" t="n">
        <f aca="false">QUARTILE($C$2:$C$69, 1)</f>
        <v>2112</v>
      </c>
      <c r="D75" s="1" t="n">
        <f aca="false">QUARTILE($D$2:$D$69, 1)</f>
        <v>2068.75</v>
      </c>
      <c r="E75" s="1" t="n">
        <f aca="false">QUARTILE($E$2:$E$69, 1)</f>
        <v>2380.5</v>
      </c>
      <c r="F75" s="1" t="n">
        <f aca="false">QUARTILE($F$2:$F$69, 1)</f>
        <v>2401</v>
      </c>
      <c r="G75" s="1" t="n">
        <f aca="false">QUARTILE($G$2:$G$69, 1)</f>
        <v>2384</v>
      </c>
      <c r="J75" s="3" t="n">
        <v>46168.7739699074</v>
      </c>
      <c r="K75" s="1" t="s">
        <v>7</v>
      </c>
      <c r="L75" s="1" t="n">
        <v>2243</v>
      </c>
      <c r="M75" s="1" t="n">
        <v>51</v>
      </c>
    </row>
    <row r="76" customFormat="false" ht="13.8" hidden="false" customHeight="false" outlineLevel="0" collapsed="false">
      <c r="B76" s="1" t="s">
        <v>974</v>
      </c>
      <c r="C76" s="1" t="n">
        <f aca="false">QUARTILE($C$2:$C$69, 3)</f>
        <v>2126</v>
      </c>
      <c r="D76" s="1" t="n">
        <f aca="false">QUARTILE($D$2:$D$69, 3)</f>
        <v>2081</v>
      </c>
      <c r="E76" s="1" t="n">
        <f aca="false">QUARTILE($E$2:$E$69, 3)</f>
        <v>2442.25</v>
      </c>
      <c r="F76" s="1" t="n">
        <f aca="false">QUARTILE($F$2:$F$69, 3)</f>
        <v>2448</v>
      </c>
      <c r="G76" s="1" t="n">
        <f aca="false">QUARTILE($G$2:$G$69, 3)</f>
        <v>2429</v>
      </c>
      <c r="J76" s="3" t="n">
        <v>46168.7739699074</v>
      </c>
      <c r="K76" s="1" t="s">
        <v>7</v>
      </c>
      <c r="L76" s="1" t="n">
        <v>2257</v>
      </c>
      <c r="M76" s="1" t="n">
        <v>50</v>
      </c>
    </row>
    <row r="77" customFormat="false" ht="13.8" hidden="false" customHeight="false" outlineLevel="0" collapsed="false">
      <c r="B77" s="1" t="s">
        <v>975</v>
      </c>
      <c r="C77" s="1" t="n">
        <f aca="false">VAR($C$2:$C$69)</f>
        <v>383.201712028095</v>
      </c>
      <c r="D77" s="1" t="n">
        <f aca="false">VAR($D$2:$D$69)</f>
        <v>1106.91374012291</v>
      </c>
      <c r="E77" s="1" t="n">
        <f aca="false">VAR($E$2:$E$69)</f>
        <v>6150.1674714662</v>
      </c>
      <c r="F77" s="1" t="n">
        <f aca="false">VAR($F$2:$F$69)</f>
        <v>3574.01316944688</v>
      </c>
      <c r="G77" s="1" t="n">
        <f aca="false">VAR($G$2:$G$69)</f>
        <v>1757.79455662862</v>
      </c>
      <c r="J77" s="3" t="n">
        <v>46168.7739699074</v>
      </c>
      <c r="K77" s="1" t="s">
        <v>7</v>
      </c>
      <c r="L77" s="1" t="n">
        <v>2281</v>
      </c>
      <c r="M77" s="1" t="n">
        <v>48</v>
      </c>
    </row>
    <row r="78" customFormat="false" ht="13.8" hidden="false" customHeight="false" outlineLevel="0" collapsed="false">
      <c r="B78" s="1" t="s">
        <v>976</v>
      </c>
      <c r="C78" s="1" t="n">
        <f aca="false">STDEV($C$2:$C$69)</f>
        <v>19.5755386139972</v>
      </c>
      <c r="D78" s="1" t="n">
        <f aca="false">STDEV($D$2:$D$69)</f>
        <v>33.2703131954437</v>
      </c>
      <c r="E78" s="1" t="n">
        <f aca="false">STDEV($E$2:$E$69)</f>
        <v>78.4230034585912</v>
      </c>
      <c r="F78" s="1" t="n">
        <f aca="false">STDEV($F$2:$F$69)</f>
        <v>59.7830508542922</v>
      </c>
      <c r="G78" s="1" t="n">
        <f aca="false">STDEV($G$2:$G$69)</f>
        <v>41.9260605903848</v>
      </c>
      <c r="J78" s="3" t="n">
        <v>46168.7739699074</v>
      </c>
      <c r="K78" s="1" t="s">
        <v>7</v>
      </c>
      <c r="L78" s="1" t="n">
        <v>2295</v>
      </c>
      <c r="M78" s="1" t="n">
        <v>46</v>
      </c>
    </row>
    <row r="79" customFormat="false" ht="13.8" hidden="false" customHeight="false" outlineLevel="0" collapsed="false">
      <c r="B79" s="1" t="s">
        <v>977</v>
      </c>
      <c r="C79" s="1" t="n">
        <f aca="false">KURT($C$2:$C$69)</f>
        <v>10.1962582052349</v>
      </c>
      <c r="D79" s="1" t="n">
        <f aca="false">KURT($D$2:$D$69)</f>
        <v>7.59468504649682</v>
      </c>
      <c r="E79" s="1" t="n">
        <f aca="false">KURT($E$2:$E$69)</f>
        <v>4.60784541047491</v>
      </c>
      <c r="F79" s="1" t="n">
        <f aca="false">KURT($F$2:$F$69)</f>
        <v>5.81824373104535</v>
      </c>
      <c r="G79" s="1" t="n">
        <f aca="false">KURT($G$2:$G$69)</f>
        <v>2.81125899696496</v>
      </c>
      <c r="J79" s="3" t="n">
        <v>46168.7743055556</v>
      </c>
      <c r="K79" s="1" t="s">
        <v>7</v>
      </c>
      <c r="L79" s="1" t="n">
        <v>2309</v>
      </c>
      <c r="M79" s="1" t="n">
        <v>45</v>
      </c>
    </row>
    <row r="80" customFormat="false" ht="13.8" hidden="false" customHeight="false" outlineLevel="0" collapsed="false">
      <c r="B80" s="1" t="s">
        <v>978</v>
      </c>
      <c r="C80" s="1" t="n">
        <f aca="false">SKEW($C$2:$C$69)</f>
        <v>1.95864359436103</v>
      </c>
      <c r="D80" s="1" t="n">
        <f aca="false">SKEW($D$2:$D$69)</f>
        <v>1.35523612066581</v>
      </c>
      <c r="E80" s="1" t="n">
        <f aca="false">SKEW($E$2:$E$69)</f>
        <v>-2.1326676282932</v>
      </c>
      <c r="F80" s="1" t="n">
        <f aca="false">SKEW($F$2:$F$69)</f>
        <v>-2.25864975167969</v>
      </c>
      <c r="G80" s="1" t="n">
        <f aca="false">SKEW($G$2:$G$69)</f>
        <v>-1.63117537568719</v>
      </c>
      <c r="J80" s="3" t="n">
        <v>46168.7743055556</v>
      </c>
      <c r="K80" s="1" t="s">
        <v>7</v>
      </c>
      <c r="L80" s="1" t="n">
        <v>2325</v>
      </c>
      <c r="M80" s="1" t="n">
        <v>44</v>
      </c>
    </row>
    <row r="81" customFormat="false" ht="13.8" hidden="false" customHeight="false" outlineLevel="0" collapsed="false">
      <c r="B81" s="1" t="s">
        <v>979</v>
      </c>
      <c r="C81" s="1" t="n">
        <f aca="false">MAX($C$2:$C$69)-MIN($C$2:$C$69)</f>
        <v>153</v>
      </c>
      <c r="D81" s="1" t="n">
        <f aca="false">MAX($D$2:$D$69)-MIN($D$2:$D$69)</f>
        <v>238</v>
      </c>
      <c r="E81" s="1" t="n">
        <f aca="false">MAX($E$2:$E$69)-MIN($E$2:$E$69)</f>
        <v>378</v>
      </c>
      <c r="F81" s="1" t="n">
        <f aca="false">MAX($F$2:$F$69)-MIN($F$2:$F$69)</f>
        <v>312</v>
      </c>
      <c r="G81" s="1" t="n">
        <f aca="false">MAX($G$2:$G$69)-MIN($G$2:$G$69)</f>
        <v>199</v>
      </c>
      <c r="J81" s="3" t="n">
        <v>46168.7743171296</v>
      </c>
      <c r="K81" s="1" t="s">
        <v>7</v>
      </c>
      <c r="L81" s="1" t="n">
        <v>2337</v>
      </c>
      <c r="M81" s="1" t="n">
        <v>42</v>
      </c>
    </row>
    <row r="82" customFormat="false" ht="13.8" hidden="false" customHeight="false" outlineLevel="0" collapsed="false">
      <c r="B82" s="1" t="s">
        <v>980</v>
      </c>
      <c r="C82" s="1" t="n">
        <f aca="false">MIN($C$2:$C$69)</f>
        <v>2064</v>
      </c>
      <c r="D82" s="1" t="n">
        <f aca="false">MIN($D$2:$D$69)</f>
        <v>1984</v>
      </c>
      <c r="E82" s="1" t="n">
        <f aca="false">MIN($E$2:$E$69)</f>
        <v>2085</v>
      </c>
      <c r="F82" s="1" t="n">
        <f aca="false">MIN($F$2:$F$69)</f>
        <v>2157</v>
      </c>
      <c r="G82" s="1" t="n">
        <f aca="false">MIN($G$2:$G$69)</f>
        <v>2244</v>
      </c>
      <c r="J82" s="3" t="n">
        <v>46168.7743171296</v>
      </c>
      <c r="K82" s="1" t="s">
        <v>7</v>
      </c>
      <c r="L82" s="1" t="n">
        <v>2341</v>
      </c>
      <c r="M82" s="1" t="n">
        <v>42</v>
      </c>
    </row>
    <row r="83" customFormat="false" ht="13.8" hidden="false" customHeight="false" outlineLevel="0" collapsed="false">
      <c r="B83" s="1" t="s">
        <v>981</v>
      </c>
      <c r="C83" s="1" t="n">
        <f aca="false">MAX($C$2:$C$69)</f>
        <v>2217</v>
      </c>
      <c r="D83" s="1" t="n">
        <f aca="false">MAX($D$2:$D$69)</f>
        <v>2222</v>
      </c>
      <c r="E83" s="1" t="n">
        <f aca="false">MAX($E$2:$E$69)</f>
        <v>2463</v>
      </c>
      <c r="F83" s="1" t="n">
        <f aca="false">MAX($F$2:$F$69)</f>
        <v>2469</v>
      </c>
      <c r="G83" s="1" t="n">
        <f aca="false">MAX($G$2:$G$69)</f>
        <v>2443</v>
      </c>
      <c r="J83" s="3" t="n">
        <v>46168.7743171296</v>
      </c>
      <c r="K83" s="1" t="s">
        <v>7</v>
      </c>
      <c r="L83" s="1" t="n">
        <v>2351</v>
      </c>
      <c r="M83" s="1" t="n">
        <v>41</v>
      </c>
    </row>
    <row r="84" customFormat="false" ht="13.8" hidden="false" customHeight="false" outlineLevel="0" collapsed="false">
      <c r="B84" s="1" t="s">
        <v>982</v>
      </c>
      <c r="C84" s="1" t="n">
        <f aca="false">SUM($C$2:$C$69)</f>
        <v>144147</v>
      </c>
      <c r="D84" s="1" t="n">
        <f aca="false">SUM($D$2:$D$69)</f>
        <v>141145</v>
      </c>
      <c r="E84" s="1" t="n">
        <f aca="false">SUM($E$2:$E$69)</f>
        <v>162577</v>
      </c>
      <c r="F84" s="1" t="n">
        <f aca="false">SUM($F$2:$F$69)</f>
        <v>163902</v>
      </c>
      <c r="G84" s="1" t="n">
        <f aca="false">SUM($G$2:$G$69)</f>
        <v>163048</v>
      </c>
      <c r="J84" s="3" t="n">
        <v>46168.7743287037</v>
      </c>
      <c r="K84" s="1" t="s">
        <v>7</v>
      </c>
      <c r="L84" s="1" t="n">
        <v>2357</v>
      </c>
      <c r="M84" s="1" t="n">
        <v>41</v>
      </c>
    </row>
    <row r="85" customFormat="false" ht="13.8" hidden="false" customHeight="false" outlineLevel="0" collapsed="false">
      <c r="B85" s="1" t="s">
        <v>983</v>
      </c>
      <c r="C85" s="1" t="n">
        <f aca="false">COUNT($C$2:$C$69)</f>
        <v>68</v>
      </c>
      <c r="D85" s="1" t="n">
        <f aca="false">COUNT($D$2:$D$69)</f>
        <v>68</v>
      </c>
      <c r="E85" s="1" t="n">
        <f aca="false">COUNT($E$2:$E$69)</f>
        <v>68</v>
      </c>
      <c r="F85" s="1" t="n">
        <f aca="false">COUNT($F$2:$F$69)</f>
        <v>68</v>
      </c>
      <c r="G85" s="1" t="n">
        <f aca="false">COUNT($G$2:$G$69)</f>
        <v>68</v>
      </c>
      <c r="J85" s="3" t="n">
        <v>46168.7746527778</v>
      </c>
      <c r="K85" s="1" t="s">
        <v>7</v>
      </c>
      <c r="L85" s="1" t="n">
        <v>2364</v>
      </c>
      <c r="M85" s="1" t="n">
        <v>40</v>
      </c>
    </row>
    <row r="86" customFormat="false" ht="13.8" hidden="false" customHeight="false" outlineLevel="0" collapsed="false">
      <c r="J86" s="3" t="n">
        <v>46168.7746527778</v>
      </c>
      <c r="K86" s="1" t="s">
        <v>7</v>
      </c>
      <c r="L86" s="1" t="n">
        <v>2369</v>
      </c>
      <c r="M86" s="1" t="n">
        <v>39</v>
      </c>
    </row>
    <row r="87" customFormat="false" ht="13.8" hidden="false" customHeight="false" outlineLevel="0" collapsed="false">
      <c r="J87" s="3" t="n">
        <v>46168.7746643519</v>
      </c>
      <c r="K87" s="1" t="s">
        <v>7</v>
      </c>
      <c r="L87" s="1" t="n">
        <v>2379</v>
      </c>
      <c r="M87" s="1" t="n">
        <v>38</v>
      </c>
    </row>
    <row r="88" customFormat="false" ht="13.8" hidden="false" customHeight="false" outlineLevel="0" collapsed="false">
      <c r="J88" s="3" t="n">
        <v>46168.7746759259</v>
      </c>
      <c r="K88" s="1" t="s">
        <v>7</v>
      </c>
      <c r="L88" s="1" t="n">
        <v>2381</v>
      </c>
      <c r="M88" s="1" t="n">
        <v>38</v>
      </c>
    </row>
    <row r="89" customFormat="false" ht="13.8" hidden="false" customHeight="false" outlineLevel="0" collapsed="false">
      <c r="J89" s="3" t="n">
        <v>46168.7746759259</v>
      </c>
      <c r="K89" s="1" t="s">
        <v>7</v>
      </c>
      <c r="L89" s="1" t="n">
        <v>2382</v>
      </c>
      <c r="M89" s="1" t="n">
        <v>38</v>
      </c>
    </row>
    <row r="90" customFormat="false" ht="13.8" hidden="false" customHeight="false" outlineLevel="0" collapsed="false">
      <c r="J90" s="3" t="n">
        <v>46168.7746759259</v>
      </c>
      <c r="K90" s="1" t="s">
        <v>7</v>
      </c>
      <c r="L90" s="1" t="n">
        <v>2384</v>
      </c>
      <c r="M90" s="1" t="n">
        <v>38</v>
      </c>
    </row>
    <row r="91" customFormat="false" ht="13.8" hidden="false" customHeight="false" outlineLevel="0" collapsed="false">
      <c r="J91" s="3" t="n">
        <v>46168.7750115741</v>
      </c>
      <c r="K91" s="1" t="s">
        <v>7</v>
      </c>
      <c r="L91" s="1" t="n">
        <v>2387</v>
      </c>
      <c r="M91" s="1" t="n">
        <v>38</v>
      </c>
    </row>
    <row r="92" customFormat="false" ht="13.8" hidden="false" customHeight="false" outlineLevel="0" collapsed="false">
      <c r="J92" s="3" t="n">
        <v>46168.7750115741</v>
      </c>
      <c r="K92" s="1" t="s">
        <v>7</v>
      </c>
      <c r="L92" s="1" t="n">
        <v>2390</v>
      </c>
      <c r="M92" s="1" t="n">
        <v>37</v>
      </c>
    </row>
    <row r="93" customFormat="false" ht="13.8" hidden="false" customHeight="false" outlineLevel="0" collapsed="false">
      <c r="J93" s="3" t="n">
        <v>46168.7750115741</v>
      </c>
      <c r="K93" s="1" t="s">
        <v>7</v>
      </c>
      <c r="L93" s="1" t="n">
        <v>2402</v>
      </c>
      <c r="M93" s="1" t="n">
        <v>36</v>
      </c>
    </row>
    <row r="94" customFormat="false" ht="13.8" hidden="false" customHeight="false" outlineLevel="0" collapsed="false">
      <c r="J94" s="3" t="n">
        <v>46168.7750231482</v>
      </c>
      <c r="K94" s="1" t="s">
        <v>7</v>
      </c>
      <c r="L94" s="1" t="n">
        <v>2399</v>
      </c>
      <c r="M94" s="1" t="n">
        <v>37</v>
      </c>
    </row>
    <row r="95" customFormat="false" ht="13.8" hidden="false" customHeight="false" outlineLevel="0" collapsed="false">
      <c r="J95" s="3" t="n">
        <v>46168.7750231482</v>
      </c>
      <c r="K95" s="1" t="s">
        <v>7</v>
      </c>
      <c r="L95" s="1" t="n">
        <v>2400</v>
      </c>
      <c r="M95" s="1" t="n">
        <v>36</v>
      </c>
    </row>
    <row r="96" customFormat="false" ht="13.8" hidden="false" customHeight="false" outlineLevel="0" collapsed="false">
      <c r="J96" s="3" t="n">
        <v>46168.7750231482</v>
      </c>
      <c r="K96" s="1" t="s">
        <v>7</v>
      </c>
      <c r="L96" s="1" t="n">
        <v>2416</v>
      </c>
      <c r="M96" s="1" t="n">
        <v>35</v>
      </c>
    </row>
    <row r="97" customFormat="false" ht="13.8" hidden="false" customHeight="false" outlineLevel="0" collapsed="false">
      <c r="J97" s="3" t="n">
        <v>46168.7753587963</v>
      </c>
      <c r="K97" s="1" t="s">
        <v>7</v>
      </c>
      <c r="L97" s="1" t="n">
        <v>2403</v>
      </c>
      <c r="M97" s="1" t="n">
        <v>36</v>
      </c>
    </row>
    <row r="98" customFormat="false" ht="13.8" hidden="false" customHeight="false" outlineLevel="0" collapsed="false">
      <c r="J98" s="3" t="n">
        <v>46168.7753587963</v>
      </c>
      <c r="K98" s="1" t="s">
        <v>7</v>
      </c>
      <c r="L98" s="1" t="n">
        <v>2411</v>
      </c>
      <c r="M98" s="1" t="n">
        <v>35</v>
      </c>
    </row>
    <row r="99" customFormat="false" ht="13.8" hidden="false" customHeight="false" outlineLevel="0" collapsed="false">
      <c r="J99" s="3" t="n">
        <v>46168.7753703704</v>
      </c>
      <c r="K99" s="1" t="s">
        <v>7</v>
      </c>
      <c r="L99" s="1" t="n">
        <v>2411</v>
      </c>
      <c r="M99" s="1" t="n">
        <v>35</v>
      </c>
    </row>
    <row r="100" customFormat="false" ht="13.8" hidden="false" customHeight="false" outlineLevel="0" collapsed="false">
      <c r="J100" s="3" t="n">
        <v>46168.7753703704</v>
      </c>
      <c r="K100" s="1" t="s">
        <v>7</v>
      </c>
      <c r="L100" s="1" t="n">
        <v>2413</v>
      </c>
      <c r="M100" s="1" t="n">
        <v>35</v>
      </c>
    </row>
    <row r="101" customFormat="false" ht="13.8" hidden="false" customHeight="false" outlineLevel="0" collapsed="false">
      <c r="J101" s="3" t="n">
        <v>46168.7753703704</v>
      </c>
      <c r="K101" s="1" t="s">
        <v>7</v>
      </c>
      <c r="L101" s="1" t="n">
        <v>2416</v>
      </c>
      <c r="M101" s="1" t="n">
        <v>35</v>
      </c>
    </row>
    <row r="102" customFormat="false" ht="13.8" hidden="false" customHeight="false" outlineLevel="0" collapsed="false">
      <c r="J102" s="3" t="n">
        <v>46168.7753819445</v>
      </c>
      <c r="K102" s="1" t="s">
        <v>7</v>
      </c>
      <c r="L102" s="1" t="n">
        <v>2416</v>
      </c>
      <c r="M102" s="1" t="n">
        <v>35</v>
      </c>
    </row>
    <row r="103" customFormat="false" ht="13.8" hidden="false" customHeight="false" outlineLevel="0" collapsed="false">
      <c r="J103" s="3" t="n">
        <v>46168.7757060185</v>
      </c>
      <c r="K103" s="1" t="s">
        <v>7</v>
      </c>
      <c r="L103" s="1" t="n">
        <v>2416</v>
      </c>
      <c r="M103" s="1" t="n">
        <v>35</v>
      </c>
    </row>
    <row r="104" customFormat="false" ht="13.8" hidden="false" customHeight="false" outlineLevel="0" collapsed="false">
      <c r="J104" s="3" t="n">
        <v>46168.7757175926</v>
      </c>
      <c r="K104" s="1" t="s">
        <v>7</v>
      </c>
      <c r="L104" s="1" t="n">
        <v>2416</v>
      </c>
      <c r="M104" s="1" t="n">
        <v>35</v>
      </c>
    </row>
    <row r="105" customFormat="false" ht="13.8" hidden="false" customHeight="false" outlineLevel="0" collapsed="false">
      <c r="J105" s="3" t="n">
        <v>46168.7757175926</v>
      </c>
      <c r="K105" s="1" t="s">
        <v>7</v>
      </c>
      <c r="L105" s="1" t="n">
        <v>2419</v>
      </c>
      <c r="M105" s="1" t="n">
        <v>35</v>
      </c>
    </row>
    <row r="106" customFormat="false" ht="13.8" hidden="false" customHeight="false" outlineLevel="0" collapsed="false">
      <c r="J106" s="3" t="n">
        <v>46168.7757291667</v>
      </c>
      <c r="K106" s="1" t="s">
        <v>7</v>
      </c>
      <c r="L106" s="1" t="n">
        <v>2418</v>
      </c>
      <c r="M106" s="1" t="n">
        <v>35</v>
      </c>
    </row>
    <row r="107" customFormat="false" ht="13.8" hidden="false" customHeight="false" outlineLevel="0" collapsed="false">
      <c r="J107" s="3" t="n">
        <v>46168.7757291667</v>
      </c>
      <c r="K107" s="1" t="s">
        <v>7</v>
      </c>
      <c r="L107" s="1" t="n">
        <v>2422</v>
      </c>
      <c r="M107" s="1" t="n">
        <v>34</v>
      </c>
    </row>
    <row r="108" customFormat="false" ht="13.8" hidden="false" customHeight="false" outlineLevel="0" collapsed="false">
      <c r="J108" s="3" t="n">
        <v>46168.7757291667</v>
      </c>
      <c r="K108" s="1" t="s">
        <v>7</v>
      </c>
      <c r="L108" s="1" t="n">
        <v>2426</v>
      </c>
      <c r="M108" s="1" t="n">
        <v>34</v>
      </c>
    </row>
    <row r="109" customFormat="false" ht="13.8" hidden="false" customHeight="false" outlineLevel="0" collapsed="false">
      <c r="J109" s="3" t="n">
        <v>46168.7760648148</v>
      </c>
      <c r="K109" s="1" t="s">
        <v>7</v>
      </c>
      <c r="L109" s="1" t="n">
        <v>2435</v>
      </c>
      <c r="M109" s="1" t="n">
        <v>33</v>
      </c>
    </row>
    <row r="110" customFormat="false" ht="13.8" hidden="false" customHeight="false" outlineLevel="0" collapsed="false">
      <c r="J110" s="3" t="n">
        <v>46168.7760648148</v>
      </c>
      <c r="K110" s="1" t="s">
        <v>7</v>
      </c>
      <c r="L110" s="1" t="n">
        <v>2431</v>
      </c>
      <c r="M110" s="1" t="n">
        <v>34</v>
      </c>
    </row>
    <row r="111" customFormat="false" ht="13.8" hidden="false" customHeight="false" outlineLevel="0" collapsed="false">
      <c r="J111" s="3" t="n">
        <v>46168.7760763889</v>
      </c>
      <c r="K111" s="1" t="s">
        <v>7</v>
      </c>
      <c r="L111" s="1" t="n">
        <v>2431</v>
      </c>
      <c r="M111" s="1" t="n">
        <v>34</v>
      </c>
    </row>
    <row r="112" customFormat="false" ht="13.8" hidden="false" customHeight="false" outlineLevel="0" collapsed="false">
      <c r="J112" s="3" t="n">
        <v>46168.7760763889</v>
      </c>
      <c r="K112" s="1" t="s">
        <v>7</v>
      </c>
      <c r="L112" s="1" t="n">
        <v>2421</v>
      </c>
      <c r="M112" s="1" t="n">
        <v>34</v>
      </c>
    </row>
    <row r="113" customFormat="false" ht="13.8" hidden="false" customHeight="false" outlineLevel="0" collapsed="false">
      <c r="J113" s="3" t="n">
        <v>46168.7760763889</v>
      </c>
      <c r="K113" s="1" t="s">
        <v>7</v>
      </c>
      <c r="L113" s="1" t="n">
        <v>2432</v>
      </c>
      <c r="M113" s="1" t="n">
        <v>33</v>
      </c>
    </row>
    <row r="114" customFormat="false" ht="13.8" hidden="false" customHeight="false" outlineLevel="0" collapsed="false">
      <c r="J114" s="3" t="n">
        <v>46168.7760763889</v>
      </c>
      <c r="K114" s="1" t="s">
        <v>7</v>
      </c>
      <c r="L114" s="1" t="n">
        <v>2417</v>
      </c>
      <c r="M114" s="1" t="n">
        <v>35</v>
      </c>
    </row>
    <row r="115" customFormat="false" ht="13.8" hidden="false" customHeight="false" outlineLevel="0" collapsed="false">
      <c r="J115" s="3" t="n">
        <v>46168.776412037</v>
      </c>
      <c r="K115" s="1" t="s">
        <v>7</v>
      </c>
      <c r="L115" s="1" t="n">
        <v>2432</v>
      </c>
      <c r="M115" s="1" t="n">
        <v>33</v>
      </c>
    </row>
    <row r="116" customFormat="false" ht="13.8" hidden="false" customHeight="false" outlineLevel="0" collapsed="false">
      <c r="J116" s="3" t="n">
        <v>46168.776412037</v>
      </c>
      <c r="K116" s="1" t="s">
        <v>7</v>
      </c>
      <c r="L116" s="1" t="n">
        <v>2434</v>
      </c>
      <c r="M116" s="1" t="n">
        <v>33</v>
      </c>
    </row>
    <row r="117" customFormat="false" ht="13.8" hidden="false" customHeight="false" outlineLevel="0" collapsed="false">
      <c r="J117" s="3" t="n">
        <v>46168.7764236111</v>
      </c>
      <c r="K117" s="1" t="s">
        <v>7</v>
      </c>
      <c r="L117" s="1" t="n">
        <v>2434</v>
      </c>
      <c r="M117" s="1" t="n">
        <v>33</v>
      </c>
    </row>
    <row r="118" customFormat="false" ht="13.8" hidden="false" customHeight="false" outlineLevel="0" collapsed="false">
      <c r="J118" s="3" t="n">
        <v>46168.7764236111</v>
      </c>
      <c r="K118" s="1" t="s">
        <v>7</v>
      </c>
      <c r="L118" s="1" t="n">
        <v>2439</v>
      </c>
      <c r="M118" s="1" t="n">
        <v>33</v>
      </c>
    </row>
    <row r="119" customFormat="false" ht="13.8" hidden="false" customHeight="false" outlineLevel="0" collapsed="false">
      <c r="J119" s="3" t="n">
        <v>46168.7764351852</v>
      </c>
      <c r="K119" s="1" t="s">
        <v>7</v>
      </c>
      <c r="L119" s="1" t="n">
        <v>2437</v>
      </c>
      <c r="M119" s="1" t="n">
        <v>33</v>
      </c>
    </row>
    <row r="120" customFormat="false" ht="13.8" hidden="false" customHeight="false" outlineLevel="0" collapsed="false">
      <c r="J120" s="3" t="n">
        <v>46168.7764351852</v>
      </c>
      <c r="K120" s="1" t="s">
        <v>7</v>
      </c>
      <c r="L120" s="1" t="n">
        <v>2442</v>
      </c>
      <c r="M120" s="1" t="n">
        <v>32</v>
      </c>
    </row>
    <row r="121" customFormat="false" ht="13.8" hidden="false" customHeight="false" outlineLevel="0" collapsed="false">
      <c r="J121" s="3" t="n">
        <v>46168.7767708333</v>
      </c>
      <c r="K121" s="1" t="s">
        <v>7</v>
      </c>
      <c r="L121" s="1" t="n">
        <v>2430</v>
      </c>
      <c r="M121" s="1" t="n">
        <v>34</v>
      </c>
    </row>
    <row r="122" customFormat="false" ht="13.8" hidden="false" customHeight="false" outlineLevel="0" collapsed="false">
      <c r="J122" s="3" t="n">
        <v>46168.7767708333</v>
      </c>
      <c r="K122" s="1" t="s">
        <v>7</v>
      </c>
      <c r="L122" s="1" t="n">
        <v>2443</v>
      </c>
      <c r="M122" s="1" t="n">
        <v>32</v>
      </c>
    </row>
    <row r="123" customFormat="false" ht="13.8" hidden="false" customHeight="false" outlineLevel="0" collapsed="false">
      <c r="J123" s="3" t="n">
        <v>46168.7767708333</v>
      </c>
      <c r="K123" s="1" t="s">
        <v>7</v>
      </c>
      <c r="L123" s="1" t="n">
        <v>2443</v>
      </c>
      <c r="M123" s="1" t="n">
        <v>32</v>
      </c>
    </row>
    <row r="124" customFormat="false" ht="13.8" hidden="false" customHeight="false" outlineLevel="0" collapsed="false">
      <c r="J124" s="3" t="n">
        <v>46168.7767824074</v>
      </c>
      <c r="K124" s="1" t="s">
        <v>7</v>
      </c>
      <c r="L124" s="1" t="n">
        <v>2444</v>
      </c>
      <c r="M124" s="1" t="n">
        <v>32</v>
      </c>
    </row>
    <row r="125" customFormat="false" ht="13.8" hidden="false" customHeight="false" outlineLevel="0" collapsed="false">
      <c r="J125" s="3" t="n">
        <v>46168.7767824074</v>
      </c>
      <c r="K125" s="1" t="s">
        <v>7</v>
      </c>
      <c r="L125" s="1" t="n">
        <v>2445</v>
      </c>
      <c r="M125" s="1" t="n">
        <v>32</v>
      </c>
    </row>
    <row r="126" customFormat="false" ht="13.8" hidden="false" customHeight="false" outlineLevel="0" collapsed="false">
      <c r="J126" s="3" t="n">
        <v>46168.7767824074</v>
      </c>
      <c r="K126" s="1" t="s">
        <v>7</v>
      </c>
      <c r="L126" s="1" t="n">
        <v>2447</v>
      </c>
      <c r="M126" s="1" t="n">
        <v>32</v>
      </c>
    </row>
    <row r="127" customFormat="false" ht="13.8" hidden="false" customHeight="false" outlineLevel="0" collapsed="false">
      <c r="J127" s="3" t="n">
        <v>46168.7771180556</v>
      </c>
      <c r="K127" s="1" t="s">
        <v>7</v>
      </c>
      <c r="L127" s="1" t="n">
        <v>2445</v>
      </c>
      <c r="M127" s="1" t="n">
        <v>32</v>
      </c>
    </row>
    <row r="128" customFormat="false" ht="13.8" hidden="false" customHeight="false" outlineLevel="0" collapsed="false">
      <c r="J128" s="3" t="n">
        <v>46168.7771180556</v>
      </c>
      <c r="K128" s="1" t="s">
        <v>7</v>
      </c>
      <c r="L128" s="1" t="n">
        <v>2447</v>
      </c>
      <c r="M128" s="1" t="n">
        <v>32</v>
      </c>
    </row>
    <row r="129" customFormat="false" ht="13.8" hidden="false" customHeight="false" outlineLevel="0" collapsed="false">
      <c r="J129" s="3" t="n">
        <v>46168.7771296296</v>
      </c>
      <c r="K129" s="1" t="s">
        <v>7</v>
      </c>
      <c r="L129" s="1" t="n">
        <v>2445</v>
      </c>
      <c r="M129" s="1" t="n">
        <v>32</v>
      </c>
    </row>
    <row r="130" customFormat="false" ht="13.8" hidden="false" customHeight="false" outlineLevel="0" collapsed="false">
      <c r="J130" s="3" t="n">
        <v>46168.7771296296</v>
      </c>
      <c r="K130" s="1" t="s">
        <v>7</v>
      </c>
      <c r="L130" s="1" t="n">
        <v>2448</v>
      </c>
      <c r="M130" s="1" t="n">
        <v>32</v>
      </c>
    </row>
    <row r="131" customFormat="false" ht="13.8" hidden="false" customHeight="false" outlineLevel="0" collapsed="false">
      <c r="J131" s="3" t="n">
        <v>46168.7771296296</v>
      </c>
      <c r="K131" s="1" t="s">
        <v>7</v>
      </c>
      <c r="L131" s="1" t="n">
        <v>2449</v>
      </c>
      <c r="M131" s="1" t="n">
        <v>32</v>
      </c>
    </row>
    <row r="132" customFormat="false" ht="13.8" hidden="false" customHeight="false" outlineLevel="0" collapsed="false">
      <c r="J132" s="3" t="n">
        <v>46168.7771412037</v>
      </c>
      <c r="K132" s="1" t="s">
        <v>7</v>
      </c>
      <c r="L132" s="1" t="n">
        <v>2449</v>
      </c>
      <c r="M132" s="1" t="n">
        <v>32</v>
      </c>
    </row>
    <row r="133" customFormat="false" ht="13.8" hidden="false" customHeight="false" outlineLevel="0" collapsed="false">
      <c r="J133" s="3" t="n">
        <v>46168.7774652778</v>
      </c>
      <c r="K133" s="1" t="s">
        <v>7</v>
      </c>
      <c r="L133" s="1" t="n">
        <v>2450</v>
      </c>
      <c r="M133" s="1" t="n">
        <v>32</v>
      </c>
    </row>
    <row r="134" customFormat="false" ht="13.8" hidden="false" customHeight="false" outlineLevel="0" collapsed="false">
      <c r="J134" s="3" t="n">
        <v>46168.7774652778</v>
      </c>
      <c r="K134" s="1" t="s">
        <v>7</v>
      </c>
      <c r="L134" s="1" t="n">
        <v>2450</v>
      </c>
      <c r="M134" s="1" t="n">
        <v>32</v>
      </c>
    </row>
    <row r="135" customFormat="false" ht="13.8" hidden="false" customHeight="false" outlineLevel="0" collapsed="false">
      <c r="J135" s="3" t="n">
        <v>46168.7774768519</v>
      </c>
      <c r="K135" s="1" t="s">
        <v>7</v>
      </c>
      <c r="L135" s="1" t="n">
        <v>2448</v>
      </c>
      <c r="M135" s="1" t="n">
        <v>32</v>
      </c>
    </row>
    <row r="136" customFormat="false" ht="13.8" hidden="false" customHeight="false" outlineLevel="0" collapsed="false">
      <c r="J136" s="3" t="n">
        <v>46168.7774768519</v>
      </c>
      <c r="K136" s="1" t="s">
        <v>7</v>
      </c>
      <c r="L136" s="1" t="n">
        <v>2451</v>
      </c>
      <c r="M136" s="1" t="n">
        <v>32</v>
      </c>
    </row>
    <row r="137" customFormat="false" ht="13.8" hidden="false" customHeight="false" outlineLevel="0" collapsed="false">
      <c r="J137" s="3" t="n">
        <v>46168.7774768519</v>
      </c>
      <c r="K137" s="1" t="s">
        <v>7</v>
      </c>
      <c r="L137" s="1" t="n">
        <v>2463</v>
      </c>
      <c r="M137" s="1" t="n">
        <v>30</v>
      </c>
    </row>
    <row r="138" customFormat="false" ht="13.8" hidden="false" customHeight="false" outlineLevel="0" collapsed="false">
      <c r="J138" s="3" t="n">
        <v>46168.7774884259</v>
      </c>
      <c r="K138" s="1" t="s">
        <v>7</v>
      </c>
      <c r="L138" s="1" t="n">
        <v>2462</v>
      </c>
      <c r="M138" s="1" t="n">
        <v>31</v>
      </c>
    </row>
    <row r="139" customFormat="false" ht="13.8" hidden="false" customHeight="false" outlineLevel="0" collapsed="false">
      <c r="J139" s="3" t="n">
        <v>46168.7778125</v>
      </c>
      <c r="K139" s="1" t="s">
        <v>7</v>
      </c>
      <c r="L139" s="1" t="n">
        <v>2464</v>
      </c>
      <c r="M139" s="1" t="n">
        <v>30</v>
      </c>
    </row>
    <row r="140" customFormat="false" ht="13.8" hidden="false" customHeight="false" outlineLevel="0" collapsed="false">
      <c r="J140" s="3" t="n">
        <v>46168.7778125</v>
      </c>
      <c r="K140" s="1" t="s">
        <v>4</v>
      </c>
      <c r="L140" s="1" t="n">
        <v>2113</v>
      </c>
      <c r="M140" s="1" t="n">
        <v>46</v>
      </c>
    </row>
    <row r="141" customFormat="false" ht="13.8" hidden="false" customHeight="false" outlineLevel="0" collapsed="false">
      <c r="J141" s="3" t="n">
        <v>46168.7778240741</v>
      </c>
      <c r="K141" s="1" t="s">
        <v>4</v>
      </c>
      <c r="L141" s="1" t="n">
        <v>2111</v>
      </c>
      <c r="M141" s="1" t="n">
        <v>46</v>
      </c>
    </row>
    <row r="142" customFormat="false" ht="13.8" hidden="false" customHeight="false" outlineLevel="0" collapsed="false">
      <c r="J142" s="3" t="n">
        <v>46168.7778240741</v>
      </c>
      <c r="K142" s="1" t="s">
        <v>4</v>
      </c>
      <c r="L142" s="1" t="n">
        <v>2103</v>
      </c>
      <c r="M142" s="1" t="n">
        <v>46</v>
      </c>
    </row>
    <row r="143" customFormat="false" ht="13.8" hidden="false" customHeight="false" outlineLevel="0" collapsed="false">
      <c r="J143" s="3" t="n">
        <v>46168.7778240741</v>
      </c>
      <c r="K143" s="1" t="s">
        <v>4</v>
      </c>
      <c r="L143" s="1" t="n">
        <v>2128</v>
      </c>
      <c r="M143" s="1" t="n">
        <v>45</v>
      </c>
    </row>
    <row r="144" customFormat="false" ht="13.8" hidden="false" customHeight="false" outlineLevel="0" collapsed="false">
      <c r="J144" s="3" t="n">
        <v>46168.7778356482</v>
      </c>
      <c r="K144" s="1" t="s">
        <v>4</v>
      </c>
      <c r="L144" s="1" t="n">
        <v>2126</v>
      </c>
      <c r="M144" s="1" t="n">
        <v>45</v>
      </c>
    </row>
    <row r="145" customFormat="false" ht="13.8" hidden="false" customHeight="false" outlineLevel="0" collapsed="false">
      <c r="J145" s="3" t="n">
        <v>46168.7781597222</v>
      </c>
      <c r="K145" s="1" t="s">
        <v>4</v>
      </c>
      <c r="L145" s="1" t="n">
        <v>2129</v>
      </c>
      <c r="M145" s="1" t="n">
        <v>45</v>
      </c>
    </row>
    <row r="146" customFormat="false" ht="13.8" hidden="false" customHeight="false" outlineLevel="0" collapsed="false">
      <c r="J146" s="3" t="n">
        <v>46168.7781712963</v>
      </c>
      <c r="K146" s="1" t="s">
        <v>4</v>
      </c>
      <c r="L146" s="1" t="n">
        <v>2178</v>
      </c>
      <c r="M146" s="1" t="n">
        <v>41</v>
      </c>
    </row>
    <row r="147" customFormat="false" ht="13.8" hidden="false" customHeight="false" outlineLevel="0" collapsed="false">
      <c r="J147" s="3" t="n">
        <v>46168.7781712963</v>
      </c>
      <c r="K147" s="1" t="s">
        <v>4</v>
      </c>
      <c r="L147" s="1" t="n">
        <v>2134</v>
      </c>
      <c r="M147" s="1" t="n">
        <v>44</v>
      </c>
    </row>
    <row r="148" customFormat="false" ht="13.8" hidden="false" customHeight="false" outlineLevel="0" collapsed="false">
      <c r="J148" s="3" t="n">
        <v>46168.7781712963</v>
      </c>
      <c r="K148" s="1" t="s">
        <v>4</v>
      </c>
      <c r="L148" s="1" t="n">
        <v>2126</v>
      </c>
      <c r="M148" s="1" t="n">
        <v>45</v>
      </c>
    </row>
    <row r="149" customFormat="false" ht="13.8" hidden="false" customHeight="false" outlineLevel="0" collapsed="false">
      <c r="J149" s="3" t="n">
        <v>46168.7781828704</v>
      </c>
      <c r="K149" s="1" t="s">
        <v>4</v>
      </c>
      <c r="L149" s="1" t="n">
        <v>2217</v>
      </c>
      <c r="M149" s="1" t="n">
        <v>39</v>
      </c>
    </row>
    <row r="150" customFormat="false" ht="13.8" hidden="false" customHeight="false" outlineLevel="0" collapsed="false">
      <c r="J150" s="3" t="n">
        <v>46168.7781828704</v>
      </c>
      <c r="K150" s="1" t="s">
        <v>4</v>
      </c>
      <c r="L150" s="1" t="n">
        <v>2125</v>
      </c>
      <c r="M150" s="1" t="n">
        <v>45</v>
      </c>
    </row>
    <row r="151" customFormat="false" ht="13.8" hidden="false" customHeight="false" outlineLevel="0" collapsed="false">
      <c r="J151" s="3" t="n">
        <v>46168.7785185185</v>
      </c>
      <c r="K151" s="1" t="s">
        <v>4</v>
      </c>
      <c r="L151" s="1" t="n">
        <v>2132</v>
      </c>
      <c r="M151" s="1" t="n">
        <v>44</v>
      </c>
    </row>
    <row r="152" customFormat="false" ht="13.8" hidden="false" customHeight="false" outlineLevel="0" collapsed="false">
      <c r="J152" s="3" t="n">
        <v>46168.7785185185</v>
      </c>
      <c r="K152" s="1" t="s">
        <v>4</v>
      </c>
      <c r="L152" s="1" t="n">
        <v>2126</v>
      </c>
      <c r="M152" s="1" t="n">
        <v>45</v>
      </c>
    </row>
    <row r="153" customFormat="false" ht="13.8" hidden="false" customHeight="false" outlineLevel="0" collapsed="false">
      <c r="J153" s="3" t="n">
        <v>46168.7785185185</v>
      </c>
      <c r="K153" s="1" t="s">
        <v>4</v>
      </c>
      <c r="L153" s="1" t="n">
        <v>2064</v>
      </c>
      <c r="M153" s="1" t="n">
        <v>49</v>
      </c>
    </row>
    <row r="154" customFormat="false" ht="13.8" hidden="false" customHeight="false" outlineLevel="0" collapsed="false">
      <c r="J154" s="3" t="n">
        <v>46168.7785300926</v>
      </c>
      <c r="K154" s="1" t="s">
        <v>4</v>
      </c>
      <c r="L154" s="1" t="n">
        <v>2119</v>
      </c>
      <c r="M154" s="1" t="n">
        <v>45</v>
      </c>
    </row>
    <row r="155" customFormat="false" ht="13.8" hidden="false" customHeight="false" outlineLevel="0" collapsed="false">
      <c r="J155" s="3" t="n">
        <v>46168.7785300926</v>
      </c>
      <c r="K155" s="1" t="s">
        <v>4</v>
      </c>
      <c r="L155" s="1" t="n">
        <v>2101</v>
      </c>
      <c r="M155" s="1" t="n">
        <v>46</v>
      </c>
    </row>
    <row r="156" customFormat="false" ht="13.8" hidden="false" customHeight="false" outlineLevel="0" collapsed="false">
      <c r="J156" s="3" t="n">
        <v>46168.7785416667</v>
      </c>
      <c r="K156" s="1" t="s">
        <v>4</v>
      </c>
      <c r="L156" s="1" t="n">
        <v>2170</v>
      </c>
      <c r="M156" s="1" t="n">
        <v>42</v>
      </c>
    </row>
    <row r="157" customFormat="false" ht="13.8" hidden="false" customHeight="false" outlineLevel="0" collapsed="false">
      <c r="J157" s="3" t="n">
        <v>46168.7788657407</v>
      </c>
      <c r="K157" s="1" t="s">
        <v>4</v>
      </c>
      <c r="L157" s="1" t="n">
        <v>2126</v>
      </c>
      <c r="M157" s="1" t="n">
        <v>45</v>
      </c>
    </row>
    <row r="158" customFormat="false" ht="13.8" hidden="false" customHeight="false" outlineLevel="0" collapsed="false">
      <c r="J158" s="3" t="n">
        <v>46168.7788657407</v>
      </c>
      <c r="K158" s="1" t="s">
        <v>4</v>
      </c>
      <c r="L158" s="1" t="n">
        <v>2122</v>
      </c>
      <c r="M158" s="1" t="n">
        <v>45</v>
      </c>
    </row>
    <row r="159" customFormat="false" ht="13.8" hidden="false" customHeight="false" outlineLevel="0" collapsed="false">
      <c r="J159" s="3" t="n">
        <v>46168.7788773148</v>
      </c>
      <c r="K159" s="1" t="s">
        <v>4</v>
      </c>
      <c r="L159" s="1" t="n">
        <v>2128</v>
      </c>
      <c r="M159" s="1" t="n">
        <v>45</v>
      </c>
    </row>
    <row r="160" customFormat="false" ht="13.8" hidden="false" customHeight="false" outlineLevel="0" collapsed="false">
      <c r="J160" s="3" t="n">
        <v>46168.7788773148</v>
      </c>
      <c r="K160" s="1" t="s">
        <v>4</v>
      </c>
      <c r="L160" s="1" t="n">
        <v>2119</v>
      </c>
      <c r="M160" s="1" t="n">
        <v>45</v>
      </c>
    </row>
    <row r="161" customFormat="false" ht="13.8" hidden="false" customHeight="false" outlineLevel="0" collapsed="false">
      <c r="J161" s="3" t="n">
        <v>46168.7788888889</v>
      </c>
      <c r="K161" s="1" t="s">
        <v>4</v>
      </c>
      <c r="L161" s="1" t="n">
        <v>2117</v>
      </c>
      <c r="M161" s="1" t="n">
        <v>45</v>
      </c>
    </row>
    <row r="162" customFormat="false" ht="13.8" hidden="false" customHeight="false" outlineLevel="0" collapsed="false">
      <c r="J162" s="3" t="n">
        <v>46168.7788888889</v>
      </c>
      <c r="K162" s="1" t="s">
        <v>4</v>
      </c>
      <c r="L162" s="1" t="n">
        <v>2117</v>
      </c>
      <c r="M162" s="1" t="n">
        <v>45</v>
      </c>
    </row>
    <row r="163" customFormat="false" ht="13.8" hidden="false" customHeight="false" outlineLevel="0" collapsed="false">
      <c r="J163" s="3" t="n">
        <v>46168.779212963</v>
      </c>
      <c r="K163" s="1" t="s">
        <v>4</v>
      </c>
      <c r="L163" s="1" t="n">
        <v>2116</v>
      </c>
      <c r="M163" s="1" t="n">
        <v>45</v>
      </c>
    </row>
    <row r="164" customFormat="false" ht="13.8" hidden="false" customHeight="false" outlineLevel="0" collapsed="false">
      <c r="J164" s="3" t="n">
        <v>46168.779224537</v>
      </c>
      <c r="K164" s="1" t="s">
        <v>4</v>
      </c>
      <c r="L164" s="1" t="n">
        <v>2125</v>
      </c>
      <c r="M164" s="1" t="n">
        <v>45</v>
      </c>
    </row>
    <row r="165" customFormat="false" ht="13.8" hidden="false" customHeight="false" outlineLevel="0" collapsed="false">
      <c r="J165" s="3" t="n">
        <v>46168.779224537</v>
      </c>
      <c r="K165" s="1" t="s">
        <v>4</v>
      </c>
      <c r="L165" s="1" t="n">
        <v>2102</v>
      </c>
      <c r="M165" s="1" t="n">
        <v>46</v>
      </c>
    </row>
    <row r="166" customFormat="false" ht="13.8" hidden="false" customHeight="false" outlineLevel="0" collapsed="false">
      <c r="J166" s="3" t="n">
        <v>46168.779224537</v>
      </c>
      <c r="K166" s="1" t="s">
        <v>4</v>
      </c>
      <c r="L166" s="1" t="n">
        <v>2127</v>
      </c>
      <c r="M166" s="1" t="n">
        <v>45</v>
      </c>
    </row>
    <row r="167" customFormat="false" ht="13.8" hidden="false" customHeight="false" outlineLevel="0" collapsed="false">
      <c r="J167" s="3" t="n">
        <v>46168.7792361111</v>
      </c>
      <c r="K167" s="1" t="s">
        <v>4</v>
      </c>
      <c r="L167" s="1" t="n">
        <v>2125</v>
      </c>
      <c r="M167" s="1" t="n">
        <v>45</v>
      </c>
    </row>
    <row r="168" customFormat="false" ht="13.8" hidden="false" customHeight="false" outlineLevel="0" collapsed="false">
      <c r="J168" s="3" t="n">
        <v>46168.7792361111</v>
      </c>
      <c r="K168" s="1" t="s">
        <v>4</v>
      </c>
      <c r="L168" s="1" t="n">
        <v>2118</v>
      </c>
      <c r="M168" s="1" t="n">
        <v>45</v>
      </c>
    </row>
    <row r="169" customFormat="false" ht="13.8" hidden="false" customHeight="false" outlineLevel="0" collapsed="false">
      <c r="J169" s="3" t="n">
        <v>46168.7795717593</v>
      </c>
      <c r="K169" s="1" t="s">
        <v>4</v>
      </c>
      <c r="L169" s="1" t="n">
        <v>2101</v>
      </c>
      <c r="M169" s="1" t="n">
        <v>46</v>
      </c>
    </row>
    <row r="170" customFormat="false" ht="13.8" hidden="false" customHeight="false" outlineLevel="0" collapsed="false">
      <c r="J170" s="3" t="n">
        <v>46168.7795717593</v>
      </c>
      <c r="K170" s="1" t="s">
        <v>4</v>
      </c>
      <c r="L170" s="1" t="n">
        <v>2125</v>
      </c>
      <c r="M170" s="1" t="n">
        <v>45</v>
      </c>
    </row>
    <row r="171" customFormat="false" ht="13.8" hidden="false" customHeight="false" outlineLevel="0" collapsed="false">
      <c r="J171" s="3" t="n">
        <v>46168.7795833333</v>
      </c>
      <c r="K171" s="1" t="s">
        <v>4</v>
      </c>
      <c r="L171" s="1" t="n">
        <v>2116</v>
      </c>
      <c r="M171" s="1" t="n">
        <v>45</v>
      </c>
    </row>
    <row r="172" customFormat="false" ht="13.8" hidden="false" customHeight="false" outlineLevel="0" collapsed="false">
      <c r="J172" s="3" t="n">
        <v>46168.7795833333</v>
      </c>
      <c r="K172" s="1" t="s">
        <v>4</v>
      </c>
      <c r="L172" s="1" t="n">
        <v>2096</v>
      </c>
      <c r="M172" s="1" t="n">
        <v>47</v>
      </c>
    </row>
    <row r="173" customFormat="false" ht="13.8" hidden="false" customHeight="false" outlineLevel="0" collapsed="false">
      <c r="J173" s="3" t="n">
        <v>46168.7795949074</v>
      </c>
      <c r="K173" s="1" t="s">
        <v>4</v>
      </c>
      <c r="L173" s="1" t="n">
        <v>2124</v>
      </c>
      <c r="M173" s="1" t="n">
        <v>45</v>
      </c>
    </row>
    <row r="174" customFormat="false" ht="13.8" hidden="false" customHeight="false" outlineLevel="0" collapsed="false">
      <c r="J174" s="3" t="n">
        <v>46168.7795949074</v>
      </c>
      <c r="K174" s="1" t="s">
        <v>4</v>
      </c>
      <c r="L174" s="1" t="n">
        <v>2123</v>
      </c>
      <c r="M174" s="1" t="n">
        <v>45</v>
      </c>
    </row>
    <row r="175" customFormat="false" ht="13.8" hidden="false" customHeight="false" outlineLevel="0" collapsed="false">
      <c r="J175" s="3" t="n">
        <v>46168.7799189815</v>
      </c>
      <c r="K175" s="1" t="s">
        <v>4</v>
      </c>
      <c r="L175" s="1" t="n">
        <v>2118</v>
      </c>
      <c r="M175" s="1" t="n">
        <v>45</v>
      </c>
    </row>
    <row r="176" customFormat="false" ht="13.8" hidden="false" customHeight="false" outlineLevel="0" collapsed="false">
      <c r="J176" s="3" t="n">
        <v>46168.7799189815</v>
      </c>
      <c r="K176" s="1" t="s">
        <v>4</v>
      </c>
      <c r="L176" s="1" t="n">
        <v>2116</v>
      </c>
      <c r="M176" s="1" t="n">
        <v>45</v>
      </c>
    </row>
    <row r="177" customFormat="false" ht="13.8" hidden="false" customHeight="false" outlineLevel="0" collapsed="false">
      <c r="J177" s="3" t="n">
        <v>46168.7799189815</v>
      </c>
      <c r="K177" s="1" t="s">
        <v>4</v>
      </c>
      <c r="L177" s="1" t="n">
        <v>2122</v>
      </c>
      <c r="M177" s="1" t="n">
        <v>45</v>
      </c>
    </row>
    <row r="178" customFormat="false" ht="13.8" hidden="false" customHeight="false" outlineLevel="0" collapsed="false">
      <c r="J178" s="3" t="n">
        <v>46168.7799305556</v>
      </c>
      <c r="K178" s="1" t="s">
        <v>4</v>
      </c>
      <c r="L178" s="1" t="n">
        <v>2119</v>
      </c>
      <c r="M178" s="1" t="n">
        <v>45</v>
      </c>
    </row>
    <row r="179" customFormat="false" ht="13.8" hidden="false" customHeight="false" outlineLevel="0" collapsed="false">
      <c r="J179" s="3" t="n">
        <v>46168.7799305556</v>
      </c>
      <c r="K179" s="1" t="s">
        <v>4</v>
      </c>
      <c r="L179" s="1" t="n">
        <v>2100</v>
      </c>
      <c r="M179" s="1" t="n">
        <v>46</v>
      </c>
    </row>
    <row r="180" customFormat="false" ht="13.8" hidden="false" customHeight="false" outlineLevel="0" collapsed="false">
      <c r="J180" s="3" t="n">
        <v>46168.7799305556</v>
      </c>
      <c r="K180" s="1" t="s">
        <v>4</v>
      </c>
      <c r="L180" s="1" t="n">
        <v>2125</v>
      </c>
      <c r="M180" s="1" t="n">
        <v>45</v>
      </c>
    </row>
    <row r="181" customFormat="false" ht="13.8" hidden="false" customHeight="false" outlineLevel="0" collapsed="false">
      <c r="J181" s="3" t="n">
        <v>46168.7802662037</v>
      </c>
      <c r="K181" s="1" t="s">
        <v>4</v>
      </c>
      <c r="L181" s="1" t="n">
        <v>2129</v>
      </c>
      <c r="M181" s="1" t="n">
        <v>45</v>
      </c>
    </row>
    <row r="182" customFormat="false" ht="13.8" hidden="false" customHeight="false" outlineLevel="0" collapsed="false">
      <c r="J182" s="3" t="n">
        <v>46168.7802662037</v>
      </c>
      <c r="K182" s="1" t="s">
        <v>4</v>
      </c>
      <c r="L182" s="1" t="n">
        <v>2096</v>
      </c>
      <c r="M182" s="1" t="n">
        <v>47</v>
      </c>
    </row>
    <row r="183" customFormat="false" ht="13.8" hidden="false" customHeight="false" outlineLevel="0" collapsed="false">
      <c r="J183" s="3" t="n">
        <v>46168.7802662037</v>
      </c>
      <c r="K183" s="1" t="s">
        <v>4</v>
      </c>
      <c r="L183" s="1" t="n">
        <v>2112</v>
      </c>
      <c r="M183" s="1" t="n">
        <v>46</v>
      </c>
    </row>
    <row r="184" customFormat="false" ht="13.8" hidden="false" customHeight="false" outlineLevel="0" collapsed="false">
      <c r="J184" s="3" t="n">
        <v>46168.7802777778</v>
      </c>
      <c r="K184" s="1" t="s">
        <v>4</v>
      </c>
      <c r="L184" s="1" t="n">
        <v>2126</v>
      </c>
      <c r="M184" s="1" t="n">
        <v>45</v>
      </c>
    </row>
    <row r="185" customFormat="false" ht="13.8" hidden="false" customHeight="false" outlineLevel="0" collapsed="false">
      <c r="J185" s="3" t="n">
        <v>46168.7802777778</v>
      </c>
      <c r="K185" s="1" t="s">
        <v>4</v>
      </c>
      <c r="L185" s="1" t="n">
        <v>2124</v>
      </c>
      <c r="M185" s="1" t="n">
        <v>45</v>
      </c>
    </row>
    <row r="186" customFormat="false" ht="13.8" hidden="false" customHeight="false" outlineLevel="0" collapsed="false">
      <c r="J186" s="3" t="n">
        <v>46168.7802777778</v>
      </c>
      <c r="K186" s="1" t="s">
        <v>4</v>
      </c>
      <c r="L186" s="1" t="n">
        <v>2102</v>
      </c>
      <c r="M186" s="1" t="n">
        <v>46</v>
      </c>
    </row>
    <row r="187" customFormat="false" ht="13.8" hidden="false" customHeight="false" outlineLevel="0" collapsed="false">
      <c r="J187" s="3" t="n">
        <v>46168.7806134259</v>
      </c>
      <c r="K187" s="1" t="s">
        <v>4</v>
      </c>
      <c r="L187" s="1" t="n">
        <v>2112</v>
      </c>
      <c r="M187" s="1" t="n">
        <v>46</v>
      </c>
    </row>
    <row r="188" customFormat="false" ht="13.8" hidden="false" customHeight="false" outlineLevel="0" collapsed="false">
      <c r="J188" s="3" t="n">
        <v>46168.7806134259</v>
      </c>
      <c r="K188" s="1" t="s">
        <v>4</v>
      </c>
      <c r="L188" s="1" t="n">
        <v>2112</v>
      </c>
      <c r="M188" s="1" t="n">
        <v>46</v>
      </c>
    </row>
    <row r="189" customFormat="false" ht="13.8" hidden="false" customHeight="false" outlineLevel="0" collapsed="false">
      <c r="J189" s="3" t="n">
        <v>46168.7806134259</v>
      </c>
      <c r="K189" s="1" t="s">
        <v>4</v>
      </c>
      <c r="L189" s="1" t="n">
        <v>2123</v>
      </c>
      <c r="M189" s="1" t="n">
        <v>45</v>
      </c>
    </row>
    <row r="190" customFormat="false" ht="13.8" hidden="false" customHeight="false" outlineLevel="0" collapsed="false">
      <c r="J190" s="3" t="n">
        <v>46168.7806134259</v>
      </c>
      <c r="K190" s="1" t="s">
        <v>4</v>
      </c>
      <c r="L190" s="1" t="n">
        <v>2112</v>
      </c>
      <c r="M190" s="1" t="n">
        <v>46</v>
      </c>
    </row>
    <row r="191" customFormat="false" ht="13.8" hidden="false" customHeight="false" outlineLevel="0" collapsed="false">
      <c r="J191" s="3" t="n">
        <v>46168.780625</v>
      </c>
      <c r="K191" s="1" t="s">
        <v>4</v>
      </c>
      <c r="L191" s="1" t="n">
        <v>2085</v>
      </c>
      <c r="M191" s="1" t="n">
        <v>47</v>
      </c>
    </row>
    <row r="192" customFormat="false" ht="13.8" hidden="false" customHeight="false" outlineLevel="0" collapsed="false">
      <c r="J192" s="3" t="n">
        <v>46168.780625</v>
      </c>
      <c r="K192" s="1" t="s">
        <v>4</v>
      </c>
      <c r="L192" s="1" t="n">
        <v>2129</v>
      </c>
      <c r="M192" s="1" t="n">
        <v>45</v>
      </c>
    </row>
    <row r="193" customFormat="false" ht="13.8" hidden="false" customHeight="false" outlineLevel="0" collapsed="false">
      <c r="J193" s="3" t="n">
        <v>46168.7809606482</v>
      </c>
      <c r="K193" s="1" t="s">
        <v>4</v>
      </c>
      <c r="L193" s="1" t="n">
        <v>2128</v>
      </c>
      <c r="M193" s="1" t="n">
        <v>45</v>
      </c>
    </row>
    <row r="194" customFormat="false" ht="13.8" hidden="false" customHeight="false" outlineLevel="0" collapsed="false">
      <c r="J194" s="3" t="n">
        <v>46168.7809606482</v>
      </c>
      <c r="K194" s="1" t="s">
        <v>4</v>
      </c>
      <c r="L194" s="1" t="n">
        <v>2128</v>
      </c>
      <c r="M194" s="1" t="n">
        <v>45</v>
      </c>
    </row>
    <row r="195" customFormat="false" ht="13.8" hidden="false" customHeight="false" outlineLevel="0" collapsed="false">
      <c r="J195" s="3" t="n">
        <v>46168.7809722222</v>
      </c>
      <c r="K195" s="1" t="s">
        <v>4</v>
      </c>
      <c r="L195" s="1" t="n">
        <v>2121</v>
      </c>
      <c r="M195" s="1" t="n">
        <v>45</v>
      </c>
    </row>
    <row r="196" customFormat="false" ht="13.8" hidden="false" customHeight="false" outlineLevel="0" collapsed="false">
      <c r="J196" s="3" t="n">
        <v>46168.7809722222</v>
      </c>
      <c r="K196" s="1" t="s">
        <v>4</v>
      </c>
      <c r="L196" s="1" t="n">
        <v>2111</v>
      </c>
      <c r="M196" s="1" t="n">
        <v>46</v>
      </c>
    </row>
    <row r="197" customFormat="false" ht="13.8" hidden="false" customHeight="false" outlineLevel="0" collapsed="false">
      <c r="J197" s="3" t="n">
        <v>46168.7809722222</v>
      </c>
      <c r="K197" s="1" t="s">
        <v>4</v>
      </c>
      <c r="L197" s="1" t="n">
        <v>2119</v>
      </c>
      <c r="M197" s="1" t="n">
        <v>45</v>
      </c>
    </row>
    <row r="198" customFormat="false" ht="13.8" hidden="false" customHeight="false" outlineLevel="0" collapsed="false">
      <c r="J198" s="3" t="n">
        <v>46168.7809722222</v>
      </c>
      <c r="K198" s="1" t="s">
        <v>4</v>
      </c>
      <c r="L198" s="1" t="n">
        <v>2121</v>
      </c>
      <c r="M198" s="1" t="n">
        <v>45</v>
      </c>
    </row>
    <row r="199" customFormat="false" ht="13.8" hidden="false" customHeight="false" outlineLevel="0" collapsed="false">
      <c r="J199" s="3" t="n">
        <v>46168.7813078704</v>
      </c>
      <c r="K199" s="1" t="s">
        <v>4</v>
      </c>
      <c r="L199" s="1" t="n">
        <v>2121</v>
      </c>
      <c r="M199" s="1" t="n">
        <v>45</v>
      </c>
    </row>
    <row r="200" customFormat="false" ht="13.8" hidden="false" customHeight="false" outlineLevel="0" collapsed="false">
      <c r="J200" s="3" t="n">
        <v>46168.7813194445</v>
      </c>
      <c r="K200" s="1" t="s">
        <v>4</v>
      </c>
      <c r="L200" s="1" t="n">
        <v>2101</v>
      </c>
      <c r="M200" s="1" t="n">
        <v>46</v>
      </c>
    </row>
    <row r="201" customFormat="false" ht="13.8" hidden="false" customHeight="false" outlineLevel="0" collapsed="false">
      <c r="J201" s="3" t="n">
        <v>46168.7813310185</v>
      </c>
      <c r="K201" s="1" t="s">
        <v>4</v>
      </c>
      <c r="L201" s="1" t="n">
        <v>2121</v>
      </c>
      <c r="M201" s="1" t="n">
        <v>45</v>
      </c>
    </row>
    <row r="202" customFormat="false" ht="13.8" hidden="false" customHeight="false" outlineLevel="0" collapsed="false">
      <c r="J202" s="3" t="n">
        <v>46168.7813310185</v>
      </c>
      <c r="K202" s="1" t="s">
        <v>4</v>
      </c>
      <c r="L202" s="1" t="n">
        <v>2101</v>
      </c>
      <c r="M202" s="1" t="n">
        <v>46</v>
      </c>
    </row>
    <row r="203" customFormat="false" ht="13.8" hidden="false" customHeight="false" outlineLevel="0" collapsed="false">
      <c r="J203" s="3" t="n">
        <v>46168.7813310185</v>
      </c>
      <c r="K203" s="1" t="s">
        <v>4</v>
      </c>
      <c r="L203" s="1" t="n">
        <v>2130</v>
      </c>
      <c r="M203" s="1" t="n">
        <v>45</v>
      </c>
    </row>
    <row r="204" customFormat="false" ht="13.8" hidden="false" customHeight="false" outlineLevel="0" collapsed="false">
      <c r="J204" s="3" t="n">
        <v>46168.7813310185</v>
      </c>
      <c r="K204" s="1" t="s">
        <v>4</v>
      </c>
      <c r="L204" s="1" t="n">
        <v>2119</v>
      </c>
      <c r="M204" s="1" t="n">
        <v>45</v>
      </c>
    </row>
    <row r="205" customFormat="false" ht="13.8" hidden="false" customHeight="false" outlineLevel="0" collapsed="false">
      <c r="J205" s="3" t="n">
        <v>46168.7816666667</v>
      </c>
      <c r="K205" s="1" t="s">
        <v>4</v>
      </c>
      <c r="L205" s="1" t="n">
        <v>2111</v>
      </c>
      <c r="M205" s="1" t="n">
        <v>46</v>
      </c>
    </row>
    <row r="206" customFormat="false" ht="13.8" hidden="false" customHeight="false" outlineLevel="0" collapsed="false">
      <c r="J206" s="3" t="n">
        <v>46168.7816666667</v>
      </c>
      <c r="K206" s="1" t="s">
        <v>4</v>
      </c>
      <c r="L206" s="1" t="n">
        <v>2112</v>
      </c>
      <c r="M206" s="1" t="n">
        <v>46</v>
      </c>
    </row>
    <row r="207" customFormat="false" ht="13.8" hidden="false" customHeight="false" outlineLevel="0" collapsed="false">
      <c r="J207" s="3" t="n">
        <v>46168.7816782407</v>
      </c>
      <c r="K207" s="1" t="s">
        <v>4</v>
      </c>
      <c r="L207" s="1" t="n">
        <v>2112</v>
      </c>
      <c r="M207" s="1" t="n">
        <v>46</v>
      </c>
    </row>
    <row r="208" customFormat="false" ht="13.8" hidden="false" customHeight="false" outlineLevel="0" collapsed="false">
      <c r="J208" s="3" t="n">
        <v>46168.7816782407</v>
      </c>
      <c r="K208" s="1" t="s">
        <v>8</v>
      </c>
      <c r="L208" s="1" t="n">
        <v>2157</v>
      </c>
      <c r="M208" s="1" t="n">
        <v>66</v>
      </c>
    </row>
    <row r="209" customFormat="false" ht="13.8" hidden="false" customHeight="false" outlineLevel="0" collapsed="false">
      <c r="J209" s="3" t="n">
        <v>46168.7816782407</v>
      </c>
      <c r="K209" s="1" t="s">
        <v>8</v>
      </c>
      <c r="L209" s="1" t="n">
        <v>2210</v>
      </c>
      <c r="M209" s="1" t="n">
        <v>60</v>
      </c>
    </row>
    <row r="210" customFormat="false" ht="13.8" hidden="false" customHeight="false" outlineLevel="0" collapsed="false">
      <c r="J210" s="3" t="n">
        <v>46168.7816782407</v>
      </c>
      <c r="K210" s="1" t="s">
        <v>8</v>
      </c>
      <c r="L210" s="1" t="n">
        <v>2251</v>
      </c>
      <c r="M210" s="1" t="n">
        <v>55</v>
      </c>
    </row>
    <row r="211" customFormat="false" ht="13.8" hidden="false" customHeight="false" outlineLevel="0" collapsed="false">
      <c r="J211" s="3" t="n">
        <v>46168.7820138889</v>
      </c>
      <c r="K211" s="1" t="s">
        <v>8</v>
      </c>
      <c r="L211" s="1" t="n">
        <v>2283</v>
      </c>
      <c r="M211" s="1" t="n">
        <v>51</v>
      </c>
    </row>
    <row r="212" customFormat="false" ht="13.8" hidden="false" customHeight="false" outlineLevel="0" collapsed="false">
      <c r="J212" s="3" t="n">
        <v>46168.782025463</v>
      </c>
      <c r="K212" s="1" t="s">
        <v>8</v>
      </c>
      <c r="L212" s="1" t="n">
        <v>2302</v>
      </c>
      <c r="M212" s="1" t="n">
        <v>49</v>
      </c>
    </row>
    <row r="213" customFormat="false" ht="13.8" hidden="false" customHeight="false" outlineLevel="0" collapsed="false">
      <c r="J213" s="3" t="n">
        <v>46168.782025463</v>
      </c>
      <c r="K213" s="1" t="s">
        <v>8</v>
      </c>
      <c r="L213" s="1" t="n">
        <v>2320</v>
      </c>
      <c r="M213" s="1" t="n">
        <v>47</v>
      </c>
    </row>
    <row r="214" customFormat="false" ht="13.8" hidden="false" customHeight="false" outlineLevel="0" collapsed="false">
      <c r="J214" s="3" t="n">
        <v>46168.782025463</v>
      </c>
      <c r="K214" s="1" t="s">
        <v>8</v>
      </c>
      <c r="L214" s="1" t="n">
        <v>2331</v>
      </c>
      <c r="M214" s="1" t="n">
        <v>45</v>
      </c>
    </row>
    <row r="215" customFormat="false" ht="13.8" hidden="false" customHeight="false" outlineLevel="0" collapsed="false">
      <c r="J215" s="3" t="n">
        <v>46168.782037037</v>
      </c>
      <c r="K215" s="1" t="s">
        <v>8</v>
      </c>
      <c r="L215" s="1" t="n">
        <v>2348</v>
      </c>
      <c r="M215" s="1" t="n">
        <v>43</v>
      </c>
    </row>
    <row r="216" customFormat="false" ht="13.8" hidden="false" customHeight="false" outlineLevel="0" collapsed="false">
      <c r="J216" s="3" t="n">
        <v>46168.782037037</v>
      </c>
      <c r="K216" s="1" t="s">
        <v>8</v>
      </c>
      <c r="L216" s="1" t="n">
        <v>2368</v>
      </c>
      <c r="M216" s="1" t="n">
        <v>41</v>
      </c>
    </row>
    <row r="217" customFormat="false" ht="13.8" hidden="false" customHeight="false" outlineLevel="0" collapsed="false">
      <c r="J217" s="3" t="n">
        <v>46168.7823726852</v>
      </c>
      <c r="K217" s="1" t="s">
        <v>8</v>
      </c>
      <c r="L217" s="1" t="n">
        <v>2359</v>
      </c>
      <c r="M217" s="1" t="n">
        <v>42</v>
      </c>
    </row>
    <row r="218" customFormat="false" ht="13.8" hidden="false" customHeight="false" outlineLevel="0" collapsed="false">
      <c r="J218" s="3" t="n">
        <v>46168.7823726852</v>
      </c>
      <c r="K218" s="1" t="s">
        <v>8</v>
      </c>
      <c r="L218" s="1" t="n">
        <v>2367</v>
      </c>
      <c r="M218" s="1" t="n">
        <v>41</v>
      </c>
    </row>
    <row r="219" customFormat="false" ht="13.8" hidden="false" customHeight="false" outlineLevel="0" collapsed="false">
      <c r="J219" s="3" t="n">
        <v>46168.7823726852</v>
      </c>
      <c r="K219" s="1" t="s">
        <v>8</v>
      </c>
      <c r="L219" s="1" t="n">
        <v>2369</v>
      </c>
      <c r="M219" s="1" t="n">
        <v>41</v>
      </c>
    </row>
    <row r="220" customFormat="false" ht="13.8" hidden="false" customHeight="false" outlineLevel="0" collapsed="false">
      <c r="J220" s="3" t="n">
        <v>46168.7823842593</v>
      </c>
      <c r="K220" s="1" t="s">
        <v>8</v>
      </c>
      <c r="L220" s="1" t="n">
        <v>2386</v>
      </c>
      <c r="M220" s="1" t="n">
        <v>39</v>
      </c>
    </row>
    <row r="221" customFormat="false" ht="13.8" hidden="false" customHeight="false" outlineLevel="0" collapsed="false">
      <c r="J221" s="3" t="n">
        <v>46168.7823842593</v>
      </c>
      <c r="K221" s="1" t="s">
        <v>8</v>
      </c>
      <c r="L221" s="1" t="n">
        <v>2383</v>
      </c>
      <c r="M221" s="1" t="n">
        <v>39</v>
      </c>
    </row>
    <row r="222" customFormat="false" ht="13.8" hidden="false" customHeight="false" outlineLevel="0" collapsed="false">
      <c r="J222" s="3" t="n">
        <v>46168.7823842593</v>
      </c>
      <c r="K222" s="1" t="s">
        <v>8</v>
      </c>
      <c r="L222" s="1" t="n">
        <v>2384</v>
      </c>
      <c r="M222" s="1" t="n">
        <v>39</v>
      </c>
    </row>
    <row r="223" customFormat="false" ht="13.8" hidden="false" customHeight="false" outlineLevel="0" collapsed="false">
      <c r="J223" s="3" t="n">
        <v>46168.7827199074</v>
      </c>
      <c r="K223" s="1" t="s">
        <v>8</v>
      </c>
      <c r="L223" s="1" t="n">
        <v>2401</v>
      </c>
      <c r="M223" s="1" t="n">
        <v>37</v>
      </c>
    </row>
    <row r="224" customFormat="false" ht="13.8" hidden="false" customHeight="false" outlineLevel="0" collapsed="false">
      <c r="J224" s="3" t="n">
        <v>46168.7827199074</v>
      </c>
      <c r="K224" s="1" t="s">
        <v>8</v>
      </c>
      <c r="L224" s="1" t="n">
        <v>2395</v>
      </c>
      <c r="M224" s="1" t="n">
        <v>38</v>
      </c>
    </row>
    <row r="225" customFormat="false" ht="13.8" hidden="false" customHeight="false" outlineLevel="0" collapsed="false">
      <c r="J225" s="3" t="n">
        <v>46168.7827199074</v>
      </c>
      <c r="K225" s="1" t="s">
        <v>8</v>
      </c>
      <c r="L225" s="1" t="n">
        <v>2431</v>
      </c>
      <c r="M225" s="1" t="n">
        <v>33</v>
      </c>
    </row>
    <row r="226" customFormat="false" ht="13.8" hidden="false" customHeight="false" outlineLevel="0" collapsed="false">
      <c r="J226" s="3" t="n">
        <v>46168.7827314815</v>
      </c>
      <c r="K226" s="1" t="s">
        <v>8</v>
      </c>
      <c r="L226" s="1" t="n">
        <v>2403</v>
      </c>
      <c r="M226" s="1" t="n">
        <v>37</v>
      </c>
    </row>
    <row r="227" customFormat="false" ht="13.8" hidden="false" customHeight="false" outlineLevel="0" collapsed="false">
      <c r="J227" s="3" t="n">
        <v>46168.7827314815</v>
      </c>
      <c r="K227" s="1" t="s">
        <v>8</v>
      </c>
      <c r="L227" s="1" t="n">
        <v>2403</v>
      </c>
      <c r="M227" s="1" t="n">
        <v>37</v>
      </c>
    </row>
    <row r="228" customFormat="false" ht="13.8" hidden="false" customHeight="false" outlineLevel="0" collapsed="false">
      <c r="J228" s="3" t="n">
        <v>46168.7827314815</v>
      </c>
      <c r="K228" s="1" t="s">
        <v>8</v>
      </c>
      <c r="L228" s="1" t="n">
        <v>2405</v>
      </c>
      <c r="M228" s="1" t="n">
        <v>36</v>
      </c>
    </row>
    <row r="229" customFormat="false" ht="13.8" hidden="false" customHeight="false" outlineLevel="0" collapsed="false">
      <c r="J229" s="3" t="n">
        <v>46168.7830671296</v>
      </c>
      <c r="K229" s="1" t="s">
        <v>8</v>
      </c>
      <c r="L229" s="1" t="n">
        <v>2401</v>
      </c>
      <c r="M229" s="1" t="n">
        <v>37</v>
      </c>
    </row>
    <row r="230" customFormat="false" ht="13.8" hidden="false" customHeight="false" outlineLevel="0" collapsed="false">
      <c r="J230" s="3" t="n">
        <v>46168.7830671296</v>
      </c>
      <c r="K230" s="1" t="s">
        <v>8</v>
      </c>
      <c r="L230" s="1" t="n">
        <v>2411</v>
      </c>
      <c r="M230" s="1" t="n">
        <v>36</v>
      </c>
    </row>
    <row r="231" customFormat="false" ht="13.8" hidden="false" customHeight="false" outlineLevel="0" collapsed="false">
      <c r="J231" s="3" t="n">
        <v>46168.7830671296</v>
      </c>
      <c r="K231" s="1" t="s">
        <v>8</v>
      </c>
      <c r="L231" s="1" t="n">
        <v>2414</v>
      </c>
      <c r="M231" s="1" t="n">
        <v>35</v>
      </c>
    </row>
    <row r="232" customFormat="false" ht="13.8" hidden="false" customHeight="false" outlineLevel="0" collapsed="false">
      <c r="J232" s="3" t="n">
        <v>46168.7830787037</v>
      </c>
      <c r="K232" s="1" t="s">
        <v>8</v>
      </c>
      <c r="L232" s="1" t="n">
        <v>2415</v>
      </c>
      <c r="M232" s="1" t="n">
        <v>35</v>
      </c>
    </row>
    <row r="233" customFormat="false" ht="13.8" hidden="false" customHeight="false" outlineLevel="0" collapsed="false">
      <c r="J233" s="3" t="n">
        <v>46168.7830787037</v>
      </c>
      <c r="K233" s="1" t="s">
        <v>8</v>
      </c>
      <c r="L233" s="1" t="n">
        <v>2402</v>
      </c>
      <c r="M233" s="1" t="n">
        <v>37</v>
      </c>
    </row>
    <row r="234" customFormat="false" ht="13.8" hidden="false" customHeight="false" outlineLevel="0" collapsed="false">
      <c r="J234" s="3" t="n">
        <v>46168.7830902778</v>
      </c>
      <c r="K234" s="1" t="s">
        <v>8</v>
      </c>
      <c r="L234" s="1" t="n">
        <v>2417</v>
      </c>
      <c r="M234" s="1" t="n">
        <v>35</v>
      </c>
    </row>
    <row r="235" customFormat="false" ht="13.8" hidden="false" customHeight="false" outlineLevel="0" collapsed="false">
      <c r="J235" s="3" t="n">
        <v>46168.7834143519</v>
      </c>
      <c r="K235" s="1" t="s">
        <v>8</v>
      </c>
      <c r="L235" s="1" t="n">
        <v>2419</v>
      </c>
      <c r="M235" s="1" t="n">
        <v>35</v>
      </c>
    </row>
    <row r="236" customFormat="false" ht="13.8" hidden="false" customHeight="false" outlineLevel="0" collapsed="false">
      <c r="J236" s="3" t="n">
        <v>46168.7834143519</v>
      </c>
      <c r="K236" s="1" t="s">
        <v>8</v>
      </c>
      <c r="L236" s="1" t="n">
        <v>2420</v>
      </c>
      <c r="M236" s="1" t="n">
        <v>35</v>
      </c>
    </row>
    <row r="237" customFormat="false" ht="13.8" hidden="false" customHeight="false" outlineLevel="0" collapsed="false">
      <c r="J237" s="3" t="n">
        <v>46168.7834259259</v>
      </c>
      <c r="K237" s="1" t="s">
        <v>8</v>
      </c>
      <c r="L237" s="1" t="n">
        <v>2416</v>
      </c>
      <c r="M237" s="1" t="n">
        <v>35</v>
      </c>
    </row>
    <row r="238" customFormat="false" ht="13.8" hidden="false" customHeight="false" outlineLevel="0" collapsed="false">
      <c r="J238" s="3" t="n">
        <v>46168.7834259259</v>
      </c>
      <c r="K238" s="1" t="s">
        <v>8</v>
      </c>
      <c r="L238" s="1" t="n">
        <v>2423</v>
      </c>
      <c r="M238" s="1" t="n">
        <v>34</v>
      </c>
    </row>
    <row r="239" customFormat="false" ht="13.8" hidden="false" customHeight="false" outlineLevel="0" collapsed="false">
      <c r="J239" s="3" t="n">
        <v>46168.7834259259</v>
      </c>
      <c r="K239" s="1" t="s">
        <v>8</v>
      </c>
      <c r="L239" s="1" t="n">
        <v>2426</v>
      </c>
      <c r="M239" s="1" t="n">
        <v>34</v>
      </c>
    </row>
    <row r="240" customFormat="false" ht="13.8" hidden="false" customHeight="false" outlineLevel="0" collapsed="false">
      <c r="J240" s="3" t="n">
        <v>46168.7834259259</v>
      </c>
      <c r="K240" s="1" t="s">
        <v>8</v>
      </c>
      <c r="L240" s="1" t="n">
        <v>2427</v>
      </c>
      <c r="M240" s="1" t="n">
        <v>34</v>
      </c>
    </row>
    <row r="241" customFormat="false" ht="13.8" hidden="false" customHeight="false" outlineLevel="0" collapsed="false">
      <c r="J241" s="3" t="n">
        <v>46168.7837615741</v>
      </c>
      <c r="K241" s="1" t="s">
        <v>8</v>
      </c>
      <c r="L241" s="1" t="n">
        <v>2430</v>
      </c>
      <c r="M241" s="1" t="n">
        <v>33</v>
      </c>
    </row>
    <row r="242" customFormat="false" ht="13.8" hidden="false" customHeight="false" outlineLevel="0" collapsed="false">
      <c r="J242" s="3" t="n">
        <v>46168.7837615741</v>
      </c>
      <c r="K242" s="1" t="s">
        <v>8</v>
      </c>
      <c r="L242" s="1" t="n">
        <v>2432</v>
      </c>
      <c r="M242" s="1" t="n">
        <v>33</v>
      </c>
    </row>
    <row r="243" customFormat="false" ht="13.8" hidden="false" customHeight="false" outlineLevel="0" collapsed="false">
      <c r="J243" s="3" t="n">
        <v>46168.7837731482</v>
      </c>
      <c r="K243" s="1" t="s">
        <v>8</v>
      </c>
      <c r="L243" s="1" t="n">
        <v>2432</v>
      </c>
      <c r="M243" s="1" t="n">
        <v>33</v>
      </c>
    </row>
    <row r="244" customFormat="false" ht="13.8" hidden="false" customHeight="false" outlineLevel="0" collapsed="false">
      <c r="J244" s="3" t="n">
        <v>46168.7837731482</v>
      </c>
      <c r="K244" s="1" t="s">
        <v>8</v>
      </c>
      <c r="L244" s="1" t="n">
        <v>2432</v>
      </c>
      <c r="M244" s="1" t="n">
        <v>33</v>
      </c>
    </row>
    <row r="245" customFormat="false" ht="13.8" hidden="false" customHeight="false" outlineLevel="0" collapsed="false">
      <c r="J245" s="3" t="n">
        <v>46168.7837731482</v>
      </c>
      <c r="K245" s="1" t="s">
        <v>8</v>
      </c>
      <c r="L245" s="1" t="n">
        <v>2437</v>
      </c>
      <c r="M245" s="1" t="n">
        <v>32</v>
      </c>
    </row>
    <row r="246" customFormat="false" ht="13.8" hidden="false" customHeight="false" outlineLevel="0" collapsed="false">
      <c r="J246" s="3" t="n">
        <v>46168.7837731482</v>
      </c>
      <c r="K246" s="1" t="s">
        <v>8</v>
      </c>
      <c r="L246" s="1" t="n">
        <v>2435</v>
      </c>
      <c r="M246" s="1" t="n">
        <v>33</v>
      </c>
    </row>
    <row r="247" customFormat="false" ht="13.8" hidden="false" customHeight="false" outlineLevel="0" collapsed="false">
      <c r="J247" s="3" t="n">
        <v>46168.7841087963</v>
      </c>
      <c r="K247" s="1" t="s">
        <v>8</v>
      </c>
      <c r="L247" s="1" t="n">
        <v>2429</v>
      </c>
      <c r="M247" s="1" t="n">
        <v>33</v>
      </c>
    </row>
    <row r="248" customFormat="false" ht="13.8" hidden="false" customHeight="false" outlineLevel="0" collapsed="false">
      <c r="J248" s="3" t="n">
        <v>46168.7841203704</v>
      </c>
      <c r="K248" s="1" t="s">
        <v>8</v>
      </c>
      <c r="L248" s="1" t="n">
        <v>2441</v>
      </c>
      <c r="M248" s="1" t="n">
        <v>32</v>
      </c>
    </row>
    <row r="249" customFormat="false" ht="13.8" hidden="false" customHeight="false" outlineLevel="0" collapsed="false">
      <c r="J249" s="3" t="n">
        <v>46168.7841203704</v>
      </c>
      <c r="K249" s="1" t="s">
        <v>8</v>
      </c>
      <c r="L249" s="1" t="n">
        <v>2437</v>
      </c>
      <c r="M249" s="1" t="n">
        <v>32</v>
      </c>
    </row>
    <row r="250" customFormat="false" ht="13.8" hidden="false" customHeight="false" outlineLevel="0" collapsed="false">
      <c r="J250" s="3" t="n">
        <v>46168.7841203704</v>
      </c>
      <c r="K250" s="1" t="s">
        <v>8</v>
      </c>
      <c r="L250" s="1" t="n">
        <v>2441</v>
      </c>
      <c r="M250" s="1" t="n">
        <v>32</v>
      </c>
    </row>
    <row r="251" customFormat="false" ht="13.8" hidden="false" customHeight="false" outlineLevel="0" collapsed="false">
      <c r="J251" s="3" t="n">
        <v>46168.7841203704</v>
      </c>
      <c r="K251" s="1" t="s">
        <v>8</v>
      </c>
      <c r="L251" s="1" t="n">
        <v>2442</v>
      </c>
      <c r="M251" s="1" t="n">
        <v>32</v>
      </c>
    </row>
    <row r="252" customFormat="false" ht="13.8" hidden="false" customHeight="false" outlineLevel="0" collapsed="false">
      <c r="J252" s="3" t="n">
        <v>46168.7841319444</v>
      </c>
      <c r="K252" s="1" t="s">
        <v>8</v>
      </c>
      <c r="L252" s="1" t="n">
        <v>2445</v>
      </c>
      <c r="M252" s="1" t="n">
        <v>32</v>
      </c>
    </row>
    <row r="253" customFormat="false" ht="13.8" hidden="false" customHeight="false" outlineLevel="0" collapsed="false">
      <c r="J253" s="3" t="n">
        <v>46168.7844560185</v>
      </c>
      <c r="K253" s="1" t="s">
        <v>8</v>
      </c>
      <c r="L253" s="1" t="n">
        <v>2444</v>
      </c>
      <c r="M253" s="1" t="n">
        <v>32</v>
      </c>
    </row>
    <row r="254" customFormat="false" ht="13.8" hidden="false" customHeight="false" outlineLevel="0" collapsed="false">
      <c r="J254" s="3" t="n">
        <v>46168.7844675926</v>
      </c>
      <c r="K254" s="1" t="s">
        <v>8</v>
      </c>
      <c r="L254" s="1" t="n">
        <v>2447</v>
      </c>
      <c r="M254" s="1" t="n">
        <v>31</v>
      </c>
    </row>
    <row r="255" customFormat="false" ht="13.8" hidden="false" customHeight="false" outlineLevel="0" collapsed="false">
      <c r="J255" s="3" t="n">
        <v>46168.7844675926</v>
      </c>
      <c r="K255" s="1" t="s">
        <v>8</v>
      </c>
      <c r="L255" s="1" t="n">
        <v>2444</v>
      </c>
      <c r="M255" s="1" t="n">
        <v>32</v>
      </c>
    </row>
    <row r="256" customFormat="false" ht="13.8" hidden="false" customHeight="false" outlineLevel="0" collapsed="false">
      <c r="J256" s="3" t="n">
        <v>46168.7844675926</v>
      </c>
      <c r="K256" s="1" t="s">
        <v>8</v>
      </c>
      <c r="L256" s="1" t="n">
        <v>2448</v>
      </c>
      <c r="M256" s="1" t="n">
        <v>31</v>
      </c>
    </row>
    <row r="257" customFormat="false" ht="13.8" hidden="false" customHeight="false" outlineLevel="0" collapsed="false">
      <c r="J257" s="3" t="n">
        <v>46168.7844675926</v>
      </c>
      <c r="K257" s="1" t="s">
        <v>8</v>
      </c>
      <c r="L257" s="1" t="n">
        <v>2459</v>
      </c>
      <c r="M257" s="1" t="n">
        <v>30</v>
      </c>
    </row>
    <row r="258" customFormat="false" ht="13.8" hidden="false" customHeight="false" outlineLevel="0" collapsed="false">
      <c r="J258" s="3" t="n">
        <v>46168.7844675926</v>
      </c>
      <c r="K258" s="1" t="s">
        <v>8</v>
      </c>
      <c r="L258" s="1" t="n">
        <v>2448</v>
      </c>
      <c r="M258" s="1" t="n">
        <v>31</v>
      </c>
    </row>
    <row r="259" customFormat="false" ht="13.8" hidden="false" customHeight="false" outlineLevel="0" collapsed="false">
      <c r="J259" s="3" t="n">
        <v>46168.7848032407</v>
      </c>
      <c r="K259" s="1" t="s">
        <v>8</v>
      </c>
      <c r="L259" s="1" t="n">
        <v>2449</v>
      </c>
      <c r="M259" s="1" t="n">
        <v>31</v>
      </c>
    </row>
    <row r="260" customFormat="false" ht="13.8" hidden="false" customHeight="false" outlineLevel="0" collapsed="false">
      <c r="J260" s="3" t="n">
        <v>46168.7848148148</v>
      </c>
      <c r="K260" s="1" t="s">
        <v>8</v>
      </c>
      <c r="L260" s="1" t="n">
        <v>2448</v>
      </c>
      <c r="M260" s="1" t="n">
        <v>31</v>
      </c>
    </row>
    <row r="261" customFormat="false" ht="13.8" hidden="false" customHeight="false" outlineLevel="0" collapsed="false">
      <c r="J261" s="3" t="n">
        <v>46168.7848148148</v>
      </c>
      <c r="K261" s="1" t="s">
        <v>8</v>
      </c>
      <c r="L261" s="1" t="n">
        <v>2454</v>
      </c>
      <c r="M261" s="1" t="n">
        <v>30</v>
      </c>
    </row>
    <row r="262" customFormat="false" ht="13.8" hidden="false" customHeight="false" outlineLevel="0" collapsed="false">
      <c r="J262" s="3" t="n">
        <v>46168.7848148148</v>
      </c>
      <c r="K262" s="1" t="s">
        <v>8</v>
      </c>
      <c r="L262" s="1" t="n">
        <v>2450</v>
      </c>
      <c r="M262" s="1" t="n">
        <v>31</v>
      </c>
    </row>
    <row r="263" customFormat="false" ht="13.8" hidden="false" customHeight="false" outlineLevel="0" collapsed="false">
      <c r="J263" s="3" t="n">
        <v>46168.7848148148</v>
      </c>
      <c r="K263" s="1" t="s">
        <v>8</v>
      </c>
      <c r="L263" s="1" t="n">
        <v>2449</v>
      </c>
      <c r="M263" s="1" t="n">
        <v>31</v>
      </c>
    </row>
    <row r="264" customFormat="false" ht="13.8" hidden="false" customHeight="false" outlineLevel="0" collapsed="false">
      <c r="J264" s="3" t="n">
        <v>46168.7848263889</v>
      </c>
      <c r="K264" s="1" t="s">
        <v>8</v>
      </c>
      <c r="L264" s="1" t="n">
        <v>2450</v>
      </c>
      <c r="M264" s="1" t="n">
        <v>31</v>
      </c>
    </row>
    <row r="265" customFormat="false" ht="13.8" hidden="false" customHeight="false" outlineLevel="0" collapsed="false">
      <c r="J265" s="3" t="n">
        <v>46168.785150463</v>
      </c>
      <c r="K265" s="1" t="s">
        <v>8</v>
      </c>
      <c r="L265" s="1" t="n">
        <v>2451</v>
      </c>
      <c r="M265" s="1" t="n">
        <v>31</v>
      </c>
    </row>
    <row r="266" customFormat="false" ht="13.8" hidden="false" customHeight="false" outlineLevel="0" collapsed="false">
      <c r="J266" s="3" t="n">
        <v>46168.785162037</v>
      </c>
      <c r="K266" s="1" t="s">
        <v>8</v>
      </c>
      <c r="L266" s="1" t="n">
        <v>2448</v>
      </c>
      <c r="M266" s="1" t="n">
        <v>31</v>
      </c>
    </row>
    <row r="267" customFormat="false" ht="13.8" hidden="false" customHeight="false" outlineLevel="0" collapsed="false">
      <c r="J267" s="3" t="n">
        <v>46168.785162037</v>
      </c>
      <c r="K267" s="1" t="s">
        <v>8</v>
      </c>
      <c r="L267" s="1" t="n">
        <v>2454</v>
      </c>
      <c r="M267" s="1" t="n">
        <v>30</v>
      </c>
    </row>
    <row r="268" customFormat="false" ht="13.8" hidden="false" customHeight="false" outlineLevel="0" collapsed="false">
      <c r="J268" s="3" t="n">
        <v>46168.785162037</v>
      </c>
      <c r="K268" s="1" t="s">
        <v>8</v>
      </c>
      <c r="L268" s="1" t="n">
        <v>2457</v>
      </c>
      <c r="M268" s="1" t="n">
        <v>30</v>
      </c>
    </row>
    <row r="269" customFormat="false" ht="13.8" hidden="false" customHeight="false" outlineLevel="0" collapsed="false">
      <c r="J269" s="3" t="n">
        <v>46168.785162037</v>
      </c>
      <c r="K269" s="1" t="s">
        <v>8</v>
      </c>
      <c r="L269" s="1" t="n">
        <v>2455</v>
      </c>
      <c r="M269" s="1" t="n">
        <v>30</v>
      </c>
    </row>
    <row r="270" customFormat="false" ht="13.8" hidden="false" customHeight="false" outlineLevel="0" collapsed="false">
      <c r="J270" s="3" t="n">
        <v>46168.7851736111</v>
      </c>
      <c r="K270" s="1" t="s">
        <v>8</v>
      </c>
      <c r="L270" s="1" t="n">
        <v>2450</v>
      </c>
      <c r="M270" s="1" t="n">
        <v>31</v>
      </c>
    </row>
    <row r="271" customFormat="false" ht="13.8" hidden="false" customHeight="false" outlineLevel="0" collapsed="false">
      <c r="J271" s="3" t="n">
        <v>46168.7854976852</v>
      </c>
      <c r="K271" s="1" t="s">
        <v>8</v>
      </c>
      <c r="L271" s="1" t="n">
        <v>2463</v>
      </c>
      <c r="M271" s="1" t="n">
        <v>29</v>
      </c>
    </row>
    <row r="272" customFormat="false" ht="13.8" hidden="false" customHeight="false" outlineLevel="0" collapsed="false">
      <c r="J272" s="3" t="n">
        <v>46168.7855092593</v>
      </c>
      <c r="K272" s="1" t="s">
        <v>8</v>
      </c>
      <c r="L272" s="1" t="n">
        <v>2458</v>
      </c>
      <c r="M272" s="1" t="n">
        <v>30</v>
      </c>
    </row>
    <row r="273" customFormat="false" ht="13.8" hidden="false" customHeight="false" outlineLevel="0" collapsed="false">
      <c r="J273" s="3" t="n">
        <v>46168.7855092593</v>
      </c>
      <c r="K273" s="1" t="s">
        <v>8</v>
      </c>
      <c r="L273" s="1" t="n">
        <v>2461</v>
      </c>
      <c r="M273" s="1" t="n">
        <v>30</v>
      </c>
    </row>
    <row r="274" customFormat="false" ht="13.8" hidden="false" customHeight="false" outlineLevel="0" collapsed="false">
      <c r="J274" s="3" t="n">
        <v>46168.7855208333</v>
      </c>
      <c r="K274" s="1" t="s">
        <v>8</v>
      </c>
      <c r="L274" s="1" t="n">
        <v>2466</v>
      </c>
      <c r="M274" s="1" t="n">
        <v>29</v>
      </c>
    </row>
    <row r="275" customFormat="false" ht="13.8" hidden="false" customHeight="false" outlineLevel="0" collapsed="false">
      <c r="J275" s="3" t="n">
        <v>46168.7855208333</v>
      </c>
      <c r="K275" s="1" t="s">
        <v>8</v>
      </c>
      <c r="L275" s="1" t="n">
        <v>2469</v>
      </c>
      <c r="M275" s="1" t="n">
        <v>29</v>
      </c>
    </row>
    <row r="276" customFormat="false" ht="13.8" hidden="false" customHeight="false" outlineLevel="0" collapsed="false">
      <c r="J276" s="3" t="n">
        <v>46168.7855208333</v>
      </c>
      <c r="K276" s="1" t="s">
        <v>8</v>
      </c>
      <c r="L276" s="1" t="n">
        <v>2469</v>
      </c>
      <c r="M276" s="1" t="n">
        <v>29</v>
      </c>
    </row>
    <row r="277" customFormat="false" ht="13.8" hidden="false" customHeight="false" outlineLevel="0" collapsed="false">
      <c r="J277" s="3" t="n">
        <v>46168.7858564815</v>
      </c>
      <c r="K277" s="1" t="s">
        <v>9</v>
      </c>
      <c r="L277" s="1" t="n">
        <v>2244</v>
      </c>
      <c r="M277" s="1" t="n">
        <v>49</v>
      </c>
    </row>
    <row r="278" customFormat="false" ht="13.8" hidden="false" customHeight="false" outlineLevel="0" collapsed="false">
      <c r="J278" s="3" t="n">
        <v>46168.7858564815</v>
      </c>
      <c r="K278" s="1" t="s">
        <v>9</v>
      </c>
      <c r="L278" s="1" t="n">
        <v>2271</v>
      </c>
      <c r="M278" s="1" t="n">
        <v>45</v>
      </c>
    </row>
    <row r="279" customFormat="false" ht="13.8" hidden="false" customHeight="false" outlineLevel="0" collapsed="false">
      <c r="J279" s="3" t="n">
        <v>46168.7858680556</v>
      </c>
      <c r="K279" s="1" t="s">
        <v>9</v>
      </c>
      <c r="L279" s="1" t="n">
        <v>2294</v>
      </c>
      <c r="M279" s="1" t="n">
        <v>41</v>
      </c>
    </row>
    <row r="280" customFormat="false" ht="13.8" hidden="false" customHeight="false" outlineLevel="0" collapsed="false">
      <c r="J280" s="3" t="n">
        <v>46168.7858680556</v>
      </c>
      <c r="K280" s="1" t="s">
        <v>9</v>
      </c>
      <c r="L280" s="1" t="n">
        <v>2309</v>
      </c>
      <c r="M280" s="1" t="n">
        <v>38</v>
      </c>
    </row>
    <row r="281" customFormat="false" ht="13.8" hidden="false" customHeight="false" outlineLevel="0" collapsed="false">
      <c r="J281" s="3" t="n">
        <v>46168.7858680556</v>
      </c>
      <c r="K281" s="1" t="s">
        <v>9</v>
      </c>
      <c r="L281" s="1" t="n">
        <v>2321</v>
      </c>
      <c r="M281" s="1" t="n">
        <v>36</v>
      </c>
    </row>
    <row r="282" customFormat="false" ht="13.8" hidden="false" customHeight="false" outlineLevel="0" collapsed="false">
      <c r="J282" s="3" t="n">
        <v>46168.7858680556</v>
      </c>
      <c r="K282" s="1" t="s">
        <v>9</v>
      </c>
      <c r="L282" s="1" t="n">
        <v>2333</v>
      </c>
      <c r="M282" s="1" t="n">
        <v>34</v>
      </c>
    </row>
    <row r="283" customFormat="false" ht="13.8" hidden="false" customHeight="false" outlineLevel="0" collapsed="false">
      <c r="J283" s="3" t="n">
        <v>46168.7862037037</v>
      </c>
      <c r="K283" s="1" t="s">
        <v>9</v>
      </c>
      <c r="L283" s="1" t="n">
        <v>2341</v>
      </c>
      <c r="M283" s="1" t="n">
        <v>33</v>
      </c>
    </row>
    <row r="284" customFormat="false" ht="13.8" hidden="false" customHeight="false" outlineLevel="0" collapsed="false">
      <c r="J284" s="3" t="n">
        <v>46168.7862037037</v>
      </c>
      <c r="K284" s="1" t="s">
        <v>9</v>
      </c>
      <c r="L284" s="1" t="n">
        <v>2347</v>
      </c>
      <c r="M284" s="1" t="n">
        <v>32</v>
      </c>
    </row>
    <row r="285" customFormat="false" ht="13.8" hidden="false" customHeight="false" outlineLevel="0" collapsed="false">
      <c r="J285" s="3" t="n">
        <v>46168.7862152778</v>
      </c>
      <c r="K285" s="1" t="s">
        <v>9</v>
      </c>
      <c r="L285" s="1" t="n">
        <v>2336</v>
      </c>
      <c r="M285" s="1" t="n">
        <v>33</v>
      </c>
    </row>
    <row r="286" customFormat="false" ht="13.8" hidden="false" customHeight="false" outlineLevel="0" collapsed="false">
      <c r="J286" s="3" t="n">
        <v>46168.7862152778</v>
      </c>
      <c r="K286" s="1" t="s">
        <v>9</v>
      </c>
      <c r="L286" s="1" t="n">
        <v>2355</v>
      </c>
      <c r="M286" s="1" t="n">
        <v>30</v>
      </c>
    </row>
    <row r="287" customFormat="false" ht="13.8" hidden="false" customHeight="false" outlineLevel="0" collapsed="false">
      <c r="J287" s="3" t="n">
        <v>46168.7862268519</v>
      </c>
      <c r="K287" s="1" t="s">
        <v>9</v>
      </c>
      <c r="L287" s="1" t="n">
        <v>2368</v>
      </c>
      <c r="M287" s="1" t="n">
        <v>28</v>
      </c>
    </row>
    <row r="288" customFormat="false" ht="13.8" hidden="false" customHeight="false" outlineLevel="0" collapsed="false">
      <c r="J288" s="3" t="n">
        <v>46168.7862268519</v>
      </c>
      <c r="K288" s="1" t="s">
        <v>9</v>
      </c>
      <c r="L288" s="1" t="n">
        <v>2367</v>
      </c>
      <c r="M288" s="1" t="n">
        <v>28</v>
      </c>
    </row>
    <row r="289" customFormat="false" ht="13.8" hidden="false" customHeight="false" outlineLevel="0" collapsed="false">
      <c r="J289" s="3" t="n">
        <v>46168.7865509259</v>
      </c>
      <c r="K289" s="1" t="s">
        <v>9</v>
      </c>
      <c r="L289" s="1" t="n">
        <v>2370</v>
      </c>
      <c r="M289" s="1" t="n">
        <v>28</v>
      </c>
    </row>
    <row r="290" customFormat="false" ht="13.8" hidden="false" customHeight="false" outlineLevel="0" collapsed="false">
      <c r="J290" s="3" t="n">
        <v>46168.7865625</v>
      </c>
      <c r="K290" s="1" t="s">
        <v>9</v>
      </c>
      <c r="L290" s="1" t="n">
        <v>2384</v>
      </c>
      <c r="M290" s="1" t="n">
        <v>25</v>
      </c>
    </row>
    <row r="291" customFormat="false" ht="13.8" hidden="false" customHeight="false" outlineLevel="0" collapsed="false">
      <c r="J291" s="3" t="n">
        <v>46168.7865625</v>
      </c>
      <c r="K291" s="1" t="s">
        <v>9</v>
      </c>
      <c r="L291" s="1" t="n">
        <v>2375</v>
      </c>
      <c r="M291" s="1" t="n">
        <v>27</v>
      </c>
    </row>
    <row r="292" customFormat="false" ht="13.8" hidden="false" customHeight="false" outlineLevel="0" collapsed="false">
      <c r="J292" s="3" t="n">
        <v>46168.7865625</v>
      </c>
      <c r="K292" s="1" t="s">
        <v>9</v>
      </c>
      <c r="L292" s="1" t="n">
        <v>2378</v>
      </c>
      <c r="M292" s="1" t="n">
        <v>26</v>
      </c>
    </row>
    <row r="293" customFormat="false" ht="13.8" hidden="false" customHeight="false" outlineLevel="0" collapsed="false">
      <c r="J293" s="3" t="n">
        <v>46168.7865625</v>
      </c>
      <c r="K293" s="1" t="s">
        <v>9</v>
      </c>
      <c r="L293" s="1" t="n">
        <v>2384</v>
      </c>
      <c r="M293" s="1" t="n">
        <v>25</v>
      </c>
    </row>
    <row r="294" customFormat="false" ht="13.8" hidden="false" customHeight="false" outlineLevel="0" collapsed="false">
      <c r="J294" s="3" t="n">
        <v>46168.7865740741</v>
      </c>
      <c r="K294" s="1" t="s">
        <v>9</v>
      </c>
      <c r="L294" s="1" t="n">
        <v>2384</v>
      </c>
      <c r="M294" s="1" t="n">
        <v>25</v>
      </c>
    </row>
    <row r="295" customFormat="false" ht="13.8" hidden="false" customHeight="false" outlineLevel="0" collapsed="false">
      <c r="J295" s="3" t="n">
        <v>46168.7869097222</v>
      </c>
      <c r="K295" s="1" t="s">
        <v>9</v>
      </c>
      <c r="L295" s="1" t="n">
        <v>2384</v>
      </c>
      <c r="M295" s="1" t="n">
        <v>25</v>
      </c>
    </row>
    <row r="296" customFormat="false" ht="13.8" hidden="false" customHeight="false" outlineLevel="0" collapsed="false">
      <c r="J296" s="3" t="n">
        <v>46168.7869097222</v>
      </c>
      <c r="K296" s="1" t="s">
        <v>9</v>
      </c>
      <c r="L296" s="1" t="n">
        <v>2388</v>
      </c>
      <c r="M296" s="1" t="n">
        <v>24</v>
      </c>
    </row>
    <row r="297" customFormat="false" ht="13.8" hidden="false" customHeight="false" outlineLevel="0" collapsed="false">
      <c r="J297" s="3" t="n">
        <v>46168.7869097222</v>
      </c>
      <c r="K297" s="1" t="s">
        <v>9</v>
      </c>
      <c r="L297" s="1" t="n">
        <v>2390</v>
      </c>
      <c r="M297" s="1" t="n">
        <v>24</v>
      </c>
    </row>
    <row r="298" customFormat="false" ht="13.8" hidden="false" customHeight="false" outlineLevel="0" collapsed="false">
      <c r="J298" s="3" t="n">
        <v>46168.7869212963</v>
      </c>
      <c r="K298" s="1" t="s">
        <v>9</v>
      </c>
      <c r="L298" s="1" t="n">
        <v>2391</v>
      </c>
      <c r="M298" s="1" t="n">
        <v>24</v>
      </c>
    </row>
    <row r="299" customFormat="false" ht="13.8" hidden="false" customHeight="false" outlineLevel="0" collapsed="false">
      <c r="J299" s="3" t="n">
        <v>46168.7869212963</v>
      </c>
      <c r="K299" s="1" t="s">
        <v>9</v>
      </c>
      <c r="L299" s="1" t="n">
        <v>2385</v>
      </c>
      <c r="M299" s="1" t="n">
        <v>25</v>
      </c>
    </row>
    <row r="300" customFormat="false" ht="13.8" hidden="false" customHeight="false" outlineLevel="0" collapsed="false">
      <c r="J300" s="3" t="n">
        <v>46168.7869212963</v>
      </c>
      <c r="K300" s="1" t="s">
        <v>9</v>
      </c>
      <c r="L300" s="1" t="n">
        <v>2388</v>
      </c>
      <c r="M300" s="1" t="n">
        <v>24</v>
      </c>
    </row>
    <row r="301" customFormat="false" ht="13.8" hidden="false" customHeight="false" outlineLevel="0" collapsed="false">
      <c r="J301" s="3" t="n">
        <v>46168.7872569444</v>
      </c>
      <c r="K301" s="1" t="s">
        <v>9</v>
      </c>
      <c r="L301" s="1" t="n">
        <v>2401</v>
      </c>
      <c r="M301" s="1" t="n">
        <v>22</v>
      </c>
    </row>
    <row r="302" customFormat="false" ht="13.8" hidden="false" customHeight="false" outlineLevel="0" collapsed="false">
      <c r="J302" s="3" t="n">
        <v>46168.7872569444</v>
      </c>
      <c r="K302" s="1" t="s">
        <v>9</v>
      </c>
      <c r="L302" s="1" t="n">
        <v>2399</v>
      </c>
      <c r="M302" s="1" t="n">
        <v>23</v>
      </c>
    </row>
    <row r="303" customFormat="false" ht="13.8" hidden="false" customHeight="false" outlineLevel="0" collapsed="false">
      <c r="J303" s="3" t="n">
        <v>46168.7872685185</v>
      </c>
      <c r="K303" s="1" t="s">
        <v>9</v>
      </c>
      <c r="L303" s="1" t="n">
        <v>2398</v>
      </c>
      <c r="M303" s="1" t="n">
        <v>23</v>
      </c>
    </row>
    <row r="304" customFormat="false" ht="13.8" hidden="false" customHeight="false" outlineLevel="0" collapsed="false">
      <c r="J304" s="3" t="n">
        <v>46168.7872685185</v>
      </c>
      <c r="K304" s="1" t="s">
        <v>9</v>
      </c>
      <c r="L304" s="1" t="n">
        <v>2400</v>
      </c>
      <c r="M304" s="1" t="n">
        <v>22</v>
      </c>
    </row>
    <row r="305" customFormat="false" ht="13.8" hidden="false" customHeight="false" outlineLevel="0" collapsed="false">
      <c r="J305" s="3" t="n">
        <v>46168.7872685185</v>
      </c>
      <c r="K305" s="1" t="s">
        <v>9</v>
      </c>
      <c r="L305" s="1" t="n">
        <v>2401</v>
      </c>
      <c r="M305" s="1" t="n">
        <v>22</v>
      </c>
    </row>
    <row r="306" customFormat="false" ht="13.8" hidden="false" customHeight="false" outlineLevel="0" collapsed="false">
      <c r="J306" s="3" t="n">
        <v>46168.7872800926</v>
      </c>
      <c r="K306" s="1" t="s">
        <v>9</v>
      </c>
      <c r="L306" s="1" t="n">
        <v>2402</v>
      </c>
      <c r="M306" s="1" t="n">
        <v>22</v>
      </c>
    </row>
    <row r="307" customFormat="false" ht="13.8" hidden="false" customHeight="false" outlineLevel="0" collapsed="false">
      <c r="J307" s="3" t="n">
        <v>46168.7876041667</v>
      </c>
      <c r="K307" s="1" t="s">
        <v>9</v>
      </c>
      <c r="L307" s="1" t="n">
        <v>2402</v>
      </c>
      <c r="M307" s="1" t="n">
        <v>22</v>
      </c>
    </row>
    <row r="308" customFormat="false" ht="13.8" hidden="false" customHeight="false" outlineLevel="0" collapsed="false">
      <c r="J308" s="3" t="n">
        <v>46168.7876157407</v>
      </c>
      <c r="K308" s="1" t="s">
        <v>9</v>
      </c>
      <c r="L308" s="1" t="n">
        <v>2405</v>
      </c>
      <c r="M308" s="1" t="n">
        <v>22</v>
      </c>
    </row>
    <row r="309" customFormat="false" ht="13.8" hidden="false" customHeight="false" outlineLevel="0" collapsed="false">
      <c r="J309" s="3" t="n">
        <v>46168.7876157407</v>
      </c>
      <c r="K309" s="1" t="s">
        <v>9</v>
      </c>
      <c r="L309" s="1" t="n">
        <v>2406</v>
      </c>
      <c r="M309" s="1" t="n">
        <v>21</v>
      </c>
    </row>
    <row r="310" customFormat="false" ht="13.8" hidden="false" customHeight="false" outlineLevel="0" collapsed="false">
      <c r="J310" s="3" t="n">
        <v>46168.7876273148</v>
      </c>
      <c r="K310" s="1" t="s">
        <v>9</v>
      </c>
      <c r="L310" s="1" t="n">
        <v>2413</v>
      </c>
      <c r="M310" s="1" t="n">
        <v>20</v>
      </c>
    </row>
    <row r="311" customFormat="false" ht="13.8" hidden="false" customHeight="false" outlineLevel="0" collapsed="false">
      <c r="J311" s="3" t="n">
        <v>46168.7876273148</v>
      </c>
      <c r="K311" s="1" t="s">
        <v>9</v>
      </c>
      <c r="L311" s="1" t="n">
        <v>2410</v>
      </c>
      <c r="M311" s="1" t="n">
        <v>21</v>
      </c>
    </row>
    <row r="312" customFormat="false" ht="13.8" hidden="false" customHeight="false" outlineLevel="0" collapsed="false">
      <c r="J312" s="3" t="n">
        <v>46168.7876388889</v>
      </c>
      <c r="K312" s="1" t="s">
        <v>9</v>
      </c>
      <c r="L312" s="1" t="n">
        <v>2412</v>
      </c>
      <c r="M312" s="1" t="n">
        <v>20</v>
      </c>
    </row>
    <row r="313" customFormat="false" ht="13.8" hidden="false" customHeight="false" outlineLevel="0" collapsed="false">
      <c r="J313" s="3" t="n">
        <v>46168.787962963</v>
      </c>
      <c r="K313" s="1" t="s">
        <v>9</v>
      </c>
      <c r="L313" s="1" t="n">
        <v>2413</v>
      </c>
      <c r="M313" s="1" t="n">
        <v>20</v>
      </c>
    </row>
    <row r="314" customFormat="false" ht="13.8" hidden="false" customHeight="false" outlineLevel="0" collapsed="false">
      <c r="J314" s="3" t="n">
        <v>46168.787974537</v>
      </c>
      <c r="K314" s="1" t="s">
        <v>9</v>
      </c>
      <c r="L314" s="1" t="n">
        <v>2416</v>
      </c>
      <c r="M314" s="1" t="n">
        <v>20</v>
      </c>
    </row>
    <row r="315" customFormat="false" ht="13.8" hidden="false" customHeight="false" outlineLevel="0" collapsed="false">
      <c r="J315" s="3" t="n">
        <v>46168.787974537</v>
      </c>
      <c r="K315" s="1" t="s">
        <v>9</v>
      </c>
      <c r="L315" s="1" t="n">
        <v>2416</v>
      </c>
      <c r="M315" s="1" t="n">
        <v>20</v>
      </c>
    </row>
    <row r="316" customFormat="false" ht="13.8" hidden="false" customHeight="false" outlineLevel="0" collapsed="false">
      <c r="J316" s="3" t="n">
        <v>46168.787974537</v>
      </c>
      <c r="K316" s="1" t="s">
        <v>9</v>
      </c>
      <c r="L316" s="1" t="n">
        <v>2419</v>
      </c>
      <c r="M316" s="1" t="n">
        <v>19</v>
      </c>
    </row>
    <row r="317" customFormat="false" ht="13.8" hidden="false" customHeight="false" outlineLevel="0" collapsed="false">
      <c r="J317" s="3" t="n">
        <v>46168.7879861111</v>
      </c>
      <c r="K317" s="1" t="s">
        <v>9</v>
      </c>
      <c r="L317" s="1" t="n">
        <v>2416</v>
      </c>
      <c r="M317" s="1" t="n">
        <v>20</v>
      </c>
    </row>
    <row r="318" customFormat="false" ht="13.8" hidden="false" customHeight="false" outlineLevel="0" collapsed="false">
      <c r="J318" s="3" t="n">
        <v>46168.7879861111</v>
      </c>
      <c r="K318" s="1" t="s">
        <v>9</v>
      </c>
      <c r="L318" s="1" t="n">
        <v>2417</v>
      </c>
      <c r="M318" s="1" t="n">
        <v>19</v>
      </c>
    </row>
    <row r="319" customFormat="false" ht="13.8" hidden="false" customHeight="false" outlineLevel="0" collapsed="false">
      <c r="J319" s="3" t="n">
        <v>46168.7883217593</v>
      </c>
      <c r="K319" s="1" t="s">
        <v>9</v>
      </c>
      <c r="L319" s="1" t="n">
        <v>2418</v>
      </c>
      <c r="M319" s="1" t="n">
        <v>19</v>
      </c>
    </row>
    <row r="320" customFormat="false" ht="13.8" hidden="false" customHeight="false" outlineLevel="0" collapsed="false">
      <c r="J320" s="3" t="n">
        <v>46168.7883217593</v>
      </c>
      <c r="K320" s="1" t="s">
        <v>9</v>
      </c>
      <c r="L320" s="1" t="n">
        <v>2422</v>
      </c>
      <c r="M320" s="1" t="n">
        <v>19</v>
      </c>
    </row>
    <row r="321" customFormat="false" ht="13.8" hidden="false" customHeight="false" outlineLevel="0" collapsed="false">
      <c r="J321" s="3" t="n">
        <v>46168.7883333333</v>
      </c>
      <c r="K321" s="1" t="s">
        <v>9</v>
      </c>
      <c r="L321" s="1" t="n">
        <v>2422</v>
      </c>
      <c r="M321" s="1" t="n">
        <v>19</v>
      </c>
    </row>
    <row r="322" customFormat="false" ht="13.8" hidden="false" customHeight="false" outlineLevel="0" collapsed="false">
      <c r="J322" s="3" t="n">
        <v>46168.7883333333</v>
      </c>
      <c r="K322" s="1" t="s">
        <v>9</v>
      </c>
      <c r="L322" s="1" t="n">
        <v>2426</v>
      </c>
      <c r="M322" s="1" t="n">
        <v>18</v>
      </c>
    </row>
    <row r="323" customFormat="false" ht="13.8" hidden="false" customHeight="false" outlineLevel="0" collapsed="false">
      <c r="J323" s="3" t="n">
        <v>46168.7883449074</v>
      </c>
      <c r="K323" s="1" t="s">
        <v>9</v>
      </c>
      <c r="L323" s="1" t="n">
        <v>2426</v>
      </c>
      <c r="M323" s="1" t="n">
        <v>18</v>
      </c>
    </row>
    <row r="324" customFormat="false" ht="13.8" hidden="false" customHeight="false" outlineLevel="0" collapsed="false">
      <c r="J324" s="3" t="n">
        <v>46168.7883449074</v>
      </c>
      <c r="K324" s="1" t="s">
        <v>9</v>
      </c>
      <c r="L324" s="1" t="n">
        <v>2427</v>
      </c>
      <c r="M324" s="1" t="n">
        <v>18</v>
      </c>
    </row>
    <row r="325" customFormat="false" ht="13.8" hidden="false" customHeight="false" outlineLevel="0" collapsed="false">
      <c r="J325" s="3" t="n">
        <v>46168.7886805556</v>
      </c>
      <c r="K325" s="1" t="s">
        <v>9</v>
      </c>
      <c r="L325" s="1" t="n">
        <v>2429</v>
      </c>
      <c r="M325" s="1" t="n">
        <v>17</v>
      </c>
    </row>
    <row r="326" customFormat="false" ht="13.8" hidden="false" customHeight="false" outlineLevel="0" collapsed="false">
      <c r="J326" s="3" t="n">
        <v>46168.7886805556</v>
      </c>
      <c r="K326" s="1" t="s">
        <v>9</v>
      </c>
      <c r="L326" s="1" t="n">
        <v>2426</v>
      </c>
      <c r="M326" s="1" t="n">
        <v>18</v>
      </c>
    </row>
    <row r="327" customFormat="false" ht="13.8" hidden="false" customHeight="false" outlineLevel="0" collapsed="false">
      <c r="J327" s="3" t="n">
        <v>46168.7886921296</v>
      </c>
      <c r="K327" s="1" t="s">
        <v>9</v>
      </c>
      <c r="L327" s="1" t="n">
        <v>2431</v>
      </c>
      <c r="M327" s="1" t="n">
        <v>17</v>
      </c>
    </row>
    <row r="328" customFormat="false" ht="13.8" hidden="false" customHeight="false" outlineLevel="0" collapsed="false">
      <c r="J328" s="3" t="n">
        <v>46168.7886921296</v>
      </c>
      <c r="K328" s="1" t="s">
        <v>9</v>
      </c>
      <c r="L328" s="1" t="n">
        <v>2434</v>
      </c>
      <c r="M328" s="1" t="n">
        <v>16</v>
      </c>
    </row>
    <row r="329" customFormat="false" ht="13.8" hidden="false" customHeight="false" outlineLevel="0" collapsed="false">
      <c r="J329" s="3" t="n">
        <v>46168.7887037037</v>
      </c>
      <c r="K329" s="1" t="s">
        <v>9</v>
      </c>
      <c r="L329" s="1" t="n">
        <v>2429</v>
      </c>
      <c r="M329" s="1" t="n">
        <v>17</v>
      </c>
    </row>
    <row r="330" customFormat="false" ht="13.8" hidden="false" customHeight="false" outlineLevel="0" collapsed="false">
      <c r="J330" s="3" t="n">
        <v>46168.7887037037</v>
      </c>
      <c r="K330" s="1" t="s">
        <v>9</v>
      </c>
      <c r="L330" s="1" t="n">
        <v>2431</v>
      </c>
      <c r="M330" s="1" t="n">
        <v>17</v>
      </c>
    </row>
    <row r="331" customFormat="false" ht="13.8" hidden="false" customHeight="false" outlineLevel="0" collapsed="false">
      <c r="J331" s="3" t="n">
        <v>46168.7890277778</v>
      </c>
      <c r="K331" s="1" t="s">
        <v>9</v>
      </c>
      <c r="L331" s="1" t="n">
        <v>2432</v>
      </c>
      <c r="M331" s="1" t="n">
        <v>17</v>
      </c>
    </row>
    <row r="332" customFormat="false" ht="13.8" hidden="false" customHeight="false" outlineLevel="0" collapsed="false">
      <c r="J332" s="3" t="n">
        <v>46168.7890393519</v>
      </c>
      <c r="K332" s="1" t="s">
        <v>9</v>
      </c>
      <c r="L332" s="1" t="n">
        <v>2434</v>
      </c>
      <c r="M332" s="1" t="n">
        <v>16</v>
      </c>
    </row>
    <row r="333" customFormat="false" ht="13.8" hidden="false" customHeight="false" outlineLevel="0" collapsed="false">
      <c r="J333" s="3" t="n">
        <v>46168.7890393519</v>
      </c>
      <c r="K333" s="1" t="s">
        <v>9</v>
      </c>
      <c r="L333" s="1" t="n">
        <v>2432</v>
      </c>
      <c r="M333" s="1" t="n">
        <v>17</v>
      </c>
    </row>
    <row r="334" customFormat="false" ht="13.8" hidden="false" customHeight="false" outlineLevel="0" collapsed="false">
      <c r="J334" s="3" t="n">
        <v>46168.7890509259</v>
      </c>
      <c r="K334" s="1" t="s">
        <v>9</v>
      </c>
      <c r="L334" s="1" t="n">
        <v>2435</v>
      </c>
      <c r="M334" s="1" t="n">
        <v>16</v>
      </c>
    </row>
    <row r="335" customFormat="false" ht="13.8" hidden="false" customHeight="false" outlineLevel="0" collapsed="false">
      <c r="J335" s="3" t="n">
        <v>46168.7890509259</v>
      </c>
      <c r="K335" s="1" t="s">
        <v>9</v>
      </c>
      <c r="L335" s="1" t="n">
        <v>2435</v>
      </c>
      <c r="M335" s="1" t="n">
        <v>16</v>
      </c>
    </row>
    <row r="336" customFormat="false" ht="13.8" hidden="false" customHeight="false" outlineLevel="0" collapsed="false">
      <c r="J336" s="3" t="n">
        <v>46168.7890625</v>
      </c>
      <c r="K336" s="1" t="s">
        <v>9</v>
      </c>
      <c r="L336" s="1" t="n">
        <v>2430</v>
      </c>
      <c r="M336" s="1" t="n">
        <v>17</v>
      </c>
    </row>
    <row r="337" customFormat="false" ht="13.8" hidden="false" customHeight="false" outlineLevel="0" collapsed="false">
      <c r="J337" s="3" t="n">
        <v>46168.789375</v>
      </c>
      <c r="K337" s="1" t="s">
        <v>9</v>
      </c>
      <c r="L337" s="1" t="n">
        <v>2443</v>
      </c>
      <c r="M337" s="1" t="n">
        <v>15</v>
      </c>
    </row>
    <row r="338" customFormat="false" ht="13.8" hidden="false" customHeight="false" outlineLevel="0" collapsed="false">
      <c r="J338" s="3" t="n">
        <v>46168.789375</v>
      </c>
      <c r="K338" s="1" t="s">
        <v>9</v>
      </c>
      <c r="L338" s="1" t="n">
        <v>2433</v>
      </c>
      <c r="M338" s="1" t="n">
        <v>17</v>
      </c>
    </row>
    <row r="339" customFormat="false" ht="13.8" hidden="false" customHeight="false" outlineLevel="0" collapsed="false">
      <c r="J339" s="3" t="n">
        <v>46168.7893865741</v>
      </c>
      <c r="K339" s="1" t="s">
        <v>9</v>
      </c>
      <c r="L339" s="1" t="n">
        <v>2435</v>
      </c>
      <c r="M339" s="1" t="n">
        <v>16</v>
      </c>
    </row>
    <row r="340" customFormat="false" ht="13.8" hidden="false" customHeight="false" outlineLevel="0" collapsed="false">
      <c r="J340" s="3" t="n">
        <v>46168.7893865741</v>
      </c>
      <c r="K340" s="1" t="s">
        <v>9</v>
      </c>
      <c r="L340" s="1" t="n">
        <v>2435</v>
      </c>
      <c r="M340" s="1" t="n">
        <v>16</v>
      </c>
    </row>
    <row r="341" customFormat="false" ht="13.8" hidden="false" customHeight="false" outlineLevel="0" collapsed="false">
      <c r="J341" s="3" t="n">
        <v>46168.7893981482</v>
      </c>
      <c r="K341" s="1" t="s">
        <v>9</v>
      </c>
      <c r="L341" s="1" t="n">
        <v>2426</v>
      </c>
      <c r="M341" s="1" t="n">
        <v>18</v>
      </c>
    </row>
    <row r="342" customFormat="false" ht="13.8" hidden="false" customHeight="false" outlineLevel="0" collapsed="false">
      <c r="J342" s="3" t="n">
        <v>46168.7893981482</v>
      </c>
      <c r="K342" s="1" t="s">
        <v>9</v>
      </c>
      <c r="L342" s="1" t="n">
        <v>2443</v>
      </c>
      <c r="M342" s="1" t="n">
        <v>15</v>
      </c>
    </row>
    <row r="343" customFormat="false" ht="13.8" hidden="false" customHeight="false" outlineLevel="0" collapsed="false">
      <c r="J343" s="3" t="n">
        <v>46168.7897222222</v>
      </c>
      <c r="K343" s="1" t="s">
        <v>9</v>
      </c>
      <c r="L343" s="1" t="n">
        <v>2442</v>
      </c>
      <c r="M343" s="1" t="n">
        <v>15</v>
      </c>
    </row>
    <row r="344" customFormat="false" ht="13.8" hidden="false" customHeight="false" outlineLevel="0" collapsed="false">
      <c r="J344" s="3" t="n">
        <v>46168.7897222222</v>
      </c>
      <c r="K344" s="1" t="s">
        <v>9</v>
      </c>
      <c r="L344" s="1" t="n">
        <v>2439</v>
      </c>
      <c r="M344" s="1" t="n">
        <v>16</v>
      </c>
    </row>
    <row r="345" customFormat="false" ht="13.8" hidden="false" customHeight="false" outlineLevel="0" collapsed="false">
      <c r="J345" s="3" t="n">
        <v>46168.7897222222</v>
      </c>
      <c r="K345" s="1" t="s">
        <v>9</v>
      </c>
      <c r="L345" s="1" t="n">
        <v>2442</v>
      </c>
      <c r="M345" s="1" t="n">
        <v>15</v>
      </c>
    </row>
    <row r="346" customFormat="false" ht="13.8" hidden="false" customHeight="false" outlineLevel="0" collapsed="false">
      <c r="J346" s="3" t="n">
        <v>46168.7897337963</v>
      </c>
      <c r="K346" s="1" t="s">
        <v>5</v>
      </c>
      <c r="L346" s="1"/>
      <c r="M346" s="1" t="n">
        <v>16.2</v>
      </c>
    </row>
    <row r="347" customFormat="false" ht="13.8" hidden="false" customHeight="false" outlineLevel="0" collapsed="false">
      <c r="J347" s="3" t="n">
        <v>46168.7897337963</v>
      </c>
      <c r="K347" s="1" t="s">
        <v>5</v>
      </c>
      <c r="L347" s="1"/>
      <c r="M347" s="1" t="n">
        <v>16.2</v>
      </c>
    </row>
    <row r="348" customFormat="false" ht="13.8" hidden="false" customHeight="false" outlineLevel="0" collapsed="false">
      <c r="J348" s="3" t="n">
        <v>46168.7897453704</v>
      </c>
      <c r="K348" s="1" t="s">
        <v>5</v>
      </c>
      <c r="L348" s="1"/>
      <c r="M348" s="1" t="n">
        <v>16.2</v>
      </c>
    </row>
    <row r="349" customFormat="false" ht="13.8" hidden="false" customHeight="false" outlineLevel="0" collapsed="false">
      <c r="J349" s="3" t="n">
        <v>46168.7900810185</v>
      </c>
      <c r="K349" s="1" t="s">
        <v>5</v>
      </c>
      <c r="L349" s="1"/>
      <c r="M349" s="1" t="n">
        <v>16.3</v>
      </c>
    </row>
    <row r="350" customFormat="false" ht="13.8" hidden="false" customHeight="false" outlineLevel="0" collapsed="false">
      <c r="J350" s="3" t="n">
        <v>46168.7900810185</v>
      </c>
      <c r="K350" s="1" t="s">
        <v>5</v>
      </c>
      <c r="L350" s="1"/>
      <c r="M350" s="1" t="n">
        <v>16.2</v>
      </c>
    </row>
    <row r="351" customFormat="false" ht="13.8" hidden="false" customHeight="false" outlineLevel="0" collapsed="false">
      <c r="J351" s="3" t="n">
        <v>46168.7900810185</v>
      </c>
      <c r="K351" s="1" t="s">
        <v>5</v>
      </c>
      <c r="L351" s="1"/>
      <c r="M351" s="1" t="n">
        <v>16.3</v>
      </c>
    </row>
    <row r="352" customFormat="false" ht="13.8" hidden="false" customHeight="false" outlineLevel="0" collapsed="false">
      <c r="J352" s="3" t="n">
        <v>46168.7900925926</v>
      </c>
      <c r="K352" s="1" t="s">
        <v>5</v>
      </c>
      <c r="L352" s="1"/>
      <c r="M352" s="1" t="n">
        <v>16.2</v>
      </c>
    </row>
    <row r="353" customFormat="false" ht="13.8" hidden="false" customHeight="false" outlineLevel="0" collapsed="false">
      <c r="J353" s="3" t="n">
        <v>46168.7900925926</v>
      </c>
      <c r="K353" s="1" t="s">
        <v>5</v>
      </c>
      <c r="L353" s="1"/>
      <c r="M353" s="1" t="n">
        <v>16.2</v>
      </c>
    </row>
    <row r="354" customFormat="false" ht="13.8" hidden="false" customHeight="false" outlineLevel="0" collapsed="false">
      <c r="J354" s="3" t="n">
        <v>46168.7900925926</v>
      </c>
      <c r="K354" s="1" t="s">
        <v>5</v>
      </c>
      <c r="L354" s="1"/>
      <c r="M354" s="1" t="n">
        <v>16.3</v>
      </c>
    </row>
    <row r="355" customFormat="false" ht="13.8" hidden="false" customHeight="false" outlineLevel="0" collapsed="false">
      <c r="J355" s="3" t="n">
        <v>46168.7904282407</v>
      </c>
      <c r="K355" s="1" t="s">
        <v>5</v>
      </c>
      <c r="L355" s="1"/>
      <c r="M355" s="1" t="n">
        <v>16.2</v>
      </c>
    </row>
    <row r="356" customFormat="false" ht="13.8" hidden="false" customHeight="false" outlineLevel="0" collapsed="false">
      <c r="J356" s="3" t="n">
        <v>46168.7904282407</v>
      </c>
      <c r="K356" s="1" t="s">
        <v>5</v>
      </c>
      <c r="L356" s="1"/>
      <c r="M356" s="1" t="n">
        <v>16.2</v>
      </c>
    </row>
    <row r="357" customFormat="false" ht="13.8" hidden="false" customHeight="false" outlineLevel="0" collapsed="false">
      <c r="J357" s="3" t="n">
        <v>46168.7904398148</v>
      </c>
      <c r="K357" s="1" t="s">
        <v>5</v>
      </c>
      <c r="L357" s="1"/>
      <c r="M357" s="1" t="n">
        <v>16.2</v>
      </c>
    </row>
    <row r="358" customFormat="false" ht="13.8" hidden="false" customHeight="false" outlineLevel="0" collapsed="false">
      <c r="J358" s="3" t="n">
        <v>46168.7904398148</v>
      </c>
      <c r="K358" s="1" t="s">
        <v>5</v>
      </c>
      <c r="L358" s="1"/>
      <c r="M358" s="1" t="n">
        <v>16.2</v>
      </c>
    </row>
    <row r="359" customFormat="false" ht="13.8" hidden="false" customHeight="false" outlineLevel="0" collapsed="false">
      <c r="J359" s="3" t="n">
        <v>46168.7904398148</v>
      </c>
      <c r="K359" s="1" t="s">
        <v>5</v>
      </c>
      <c r="L359" s="1"/>
      <c r="M359" s="1" t="n">
        <v>16.2</v>
      </c>
    </row>
    <row r="360" customFormat="false" ht="13.8" hidden="false" customHeight="false" outlineLevel="0" collapsed="false">
      <c r="J360" s="3" t="n">
        <v>46168.7904513889</v>
      </c>
      <c r="K360" s="1" t="s">
        <v>5</v>
      </c>
      <c r="L360" s="1"/>
      <c r="M360" s="1" t="n">
        <v>16.2</v>
      </c>
    </row>
    <row r="361" customFormat="false" ht="13.8" hidden="false" customHeight="false" outlineLevel="0" collapsed="false">
      <c r="J361" s="3" t="n">
        <v>46168.790775463</v>
      </c>
      <c r="K361" s="1" t="s">
        <v>5</v>
      </c>
      <c r="L361" s="1"/>
      <c r="M361" s="1" t="n">
        <v>16.2</v>
      </c>
    </row>
    <row r="362" customFormat="false" ht="13.8" hidden="false" customHeight="false" outlineLevel="0" collapsed="false">
      <c r="J362" s="3" t="n">
        <v>46168.790787037</v>
      </c>
      <c r="K362" s="1" t="s">
        <v>5</v>
      </c>
      <c r="L362" s="1"/>
      <c r="M362" s="1" t="n">
        <v>16.3</v>
      </c>
    </row>
    <row r="363" customFormat="false" ht="13.8" hidden="false" customHeight="false" outlineLevel="0" collapsed="false">
      <c r="J363" s="3" t="n">
        <v>46168.790787037</v>
      </c>
      <c r="K363" s="1" t="s">
        <v>5</v>
      </c>
      <c r="L363" s="1"/>
      <c r="M363" s="1" t="n">
        <v>16.2</v>
      </c>
    </row>
    <row r="364" customFormat="false" ht="13.8" hidden="false" customHeight="false" outlineLevel="0" collapsed="false">
      <c r="J364" s="3" t="n">
        <v>46168.7907986111</v>
      </c>
      <c r="K364" s="1" t="s">
        <v>5</v>
      </c>
      <c r="L364" s="1"/>
      <c r="M364" s="1" t="n">
        <v>16.3</v>
      </c>
    </row>
    <row r="365" customFormat="false" ht="13.8" hidden="false" customHeight="false" outlineLevel="0" collapsed="false">
      <c r="J365" s="3" t="n">
        <v>46168.7907986111</v>
      </c>
      <c r="K365" s="1" t="s">
        <v>5</v>
      </c>
      <c r="L365" s="1"/>
      <c r="M365" s="1" t="n">
        <v>16.2</v>
      </c>
    </row>
    <row r="366" customFormat="false" ht="13.8" hidden="false" customHeight="false" outlineLevel="0" collapsed="false">
      <c r="J366" s="3" t="n">
        <v>46168.7907986111</v>
      </c>
      <c r="K366" s="1" t="s">
        <v>5</v>
      </c>
      <c r="L366" s="1"/>
      <c r="M366" s="1" t="n">
        <v>16.2</v>
      </c>
    </row>
    <row r="367" customFormat="false" ht="13.8" hidden="false" customHeight="false" outlineLevel="0" collapsed="false">
      <c r="J367" s="3" t="n">
        <v>46168.7911342593</v>
      </c>
      <c r="K367" s="1" t="s">
        <v>5</v>
      </c>
      <c r="L367" s="1"/>
      <c r="M367" s="1" t="n">
        <v>16.2</v>
      </c>
    </row>
    <row r="368" customFormat="false" ht="13.8" hidden="false" customHeight="false" outlineLevel="0" collapsed="false">
      <c r="J368" s="3" t="n">
        <v>46168.7911458333</v>
      </c>
      <c r="K368" s="1" t="s">
        <v>5</v>
      </c>
      <c r="L368" s="1"/>
      <c r="M368" s="1" t="n">
        <v>16.2</v>
      </c>
    </row>
    <row r="369" customFormat="false" ht="13.8" hidden="false" customHeight="false" outlineLevel="0" collapsed="false">
      <c r="J369" s="3" t="n">
        <v>46168.7911458333</v>
      </c>
      <c r="K369" s="1" t="s">
        <v>5</v>
      </c>
      <c r="L369" s="1"/>
      <c r="M369" s="1" t="n">
        <v>16.2</v>
      </c>
    </row>
    <row r="370" customFormat="false" ht="13.8" hidden="false" customHeight="false" outlineLevel="0" collapsed="false">
      <c r="J370" s="3" t="n">
        <v>46168.7911458333</v>
      </c>
      <c r="K370" s="1" t="s">
        <v>5</v>
      </c>
      <c r="L370" s="1"/>
      <c r="M370" s="1" t="n">
        <v>16.3</v>
      </c>
    </row>
    <row r="371" customFormat="false" ht="13.8" hidden="false" customHeight="false" outlineLevel="0" collapsed="false">
      <c r="J371" s="3" t="n">
        <v>46168.7911458333</v>
      </c>
      <c r="K371" s="1" t="s">
        <v>5</v>
      </c>
      <c r="L371" s="1"/>
      <c r="M371" s="1" t="n">
        <v>16.3</v>
      </c>
    </row>
    <row r="372" customFormat="false" ht="13.8" hidden="false" customHeight="false" outlineLevel="0" collapsed="false">
      <c r="J372" s="3" t="n">
        <v>46168.7911574074</v>
      </c>
      <c r="K372" s="1" t="s">
        <v>5</v>
      </c>
      <c r="L372" s="1"/>
      <c r="M372" s="1" t="n">
        <v>16.2</v>
      </c>
    </row>
    <row r="373" customFormat="false" ht="13.8" hidden="false" customHeight="false" outlineLevel="0" collapsed="false">
      <c r="J373" s="3" t="n">
        <v>46168.7914814815</v>
      </c>
      <c r="K373" s="1" t="s">
        <v>5</v>
      </c>
      <c r="L373" s="1"/>
      <c r="M373" s="1" t="n">
        <v>16.2</v>
      </c>
    </row>
    <row r="374" customFormat="false" ht="13.8" hidden="false" customHeight="false" outlineLevel="0" collapsed="false">
      <c r="J374" s="3" t="n">
        <v>46168.7914930556</v>
      </c>
      <c r="K374" s="1" t="s">
        <v>5</v>
      </c>
      <c r="L374" s="1"/>
      <c r="M374" s="1" t="n">
        <v>16.2</v>
      </c>
    </row>
    <row r="375" customFormat="false" ht="13.8" hidden="false" customHeight="false" outlineLevel="0" collapsed="false">
      <c r="J375" s="3" t="n">
        <v>46168.7914930556</v>
      </c>
      <c r="K375" s="1" t="s">
        <v>5</v>
      </c>
      <c r="L375" s="1"/>
      <c r="M375" s="1" t="n">
        <v>16.2</v>
      </c>
    </row>
    <row r="376" customFormat="false" ht="13.8" hidden="false" customHeight="false" outlineLevel="0" collapsed="false">
      <c r="J376" s="3" t="n">
        <v>46168.7914930556</v>
      </c>
      <c r="K376" s="1" t="s">
        <v>5</v>
      </c>
      <c r="L376" s="1"/>
      <c r="M376" s="1" t="n">
        <v>16.2</v>
      </c>
    </row>
    <row r="377" customFormat="false" ht="13.8" hidden="false" customHeight="false" outlineLevel="0" collapsed="false">
      <c r="J377" s="3" t="n">
        <v>46168.7915046296</v>
      </c>
      <c r="K377" s="1" t="s">
        <v>5</v>
      </c>
      <c r="L377" s="1"/>
      <c r="M377" s="1" t="n">
        <v>16.2</v>
      </c>
    </row>
    <row r="378" customFormat="false" ht="13.8" hidden="false" customHeight="false" outlineLevel="0" collapsed="false">
      <c r="J378" s="3" t="n">
        <v>46168.7915046296</v>
      </c>
      <c r="K378" s="1" t="s">
        <v>5</v>
      </c>
      <c r="L378" s="1"/>
      <c r="M378" s="1" t="n">
        <v>16.2</v>
      </c>
    </row>
    <row r="379" customFormat="false" ht="13.8" hidden="false" customHeight="false" outlineLevel="0" collapsed="false">
      <c r="J379" s="3" t="n">
        <v>46168.7918402778</v>
      </c>
      <c r="K379" s="1" t="s">
        <v>5</v>
      </c>
      <c r="L379" s="1"/>
      <c r="M379" s="1" t="n">
        <v>16.2</v>
      </c>
    </row>
    <row r="380" customFormat="false" ht="13.8" hidden="false" customHeight="false" outlineLevel="0" collapsed="false">
      <c r="J380" s="3" t="n">
        <v>46168.7918402778</v>
      </c>
      <c r="K380" s="1" t="s">
        <v>5</v>
      </c>
      <c r="L380" s="1"/>
      <c r="M380" s="1" t="n">
        <v>16.2</v>
      </c>
    </row>
    <row r="381" customFormat="false" ht="13.8" hidden="false" customHeight="false" outlineLevel="0" collapsed="false">
      <c r="J381" s="3" t="n">
        <v>46168.7918402778</v>
      </c>
      <c r="K381" s="1" t="s">
        <v>5</v>
      </c>
      <c r="L381" s="1"/>
      <c r="M381" s="1" t="n">
        <v>16.2</v>
      </c>
    </row>
    <row r="382" customFormat="false" ht="13.8" hidden="false" customHeight="false" outlineLevel="0" collapsed="false">
      <c r="J382" s="3" t="n">
        <v>46168.7918518519</v>
      </c>
      <c r="K382" s="1" t="s">
        <v>5</v>
      </c>
      <c r="L382" s="1"/>
      <c r="M382" s="1" t="n">
        <v>16.2</v>
      </c>
    </row>
    <row r="383" customFormat="false" ht="13.8" hidden="false" customHeight="false" outlineLevel="0" collapsed="false">
      <c r="J383" s="3" t="n">
        <v>46168.7918518519</v>
      </c>
      <c r="K383" s="1" t="s">
        <v>5</v>
      </c>
      <c r="L383" s="1"/>
      <c r="M383" s="1" t="n">
        <v>16.2</v>
      </c>
    </row>
    <row r="384" customFormat="false" ht="13.8" hidden="false" customHeight="false" outlineLevel="0" collapsed="false">
      <c r="J384" s="3" t="n">
        <v>46168.791875</v>
      </c>
      <c r="K384" s="1" t="s">
        <v>5</v>
      </c>
      <c r="L384" s="1"/>
      <c r="M384" s="1" t="n">
        <v>16.2</v>
      </c>
    </row>
    <row r="385" customFormat="false" ht="13.8" hidden="false" customHeight="false" outlineLevel="0" collapsed="false">
      <c r="J385" s="3" t="n">
        <v>46168.7921875</v>
      </c>
      <c r="K385" s="1" t="s">
        <v>5</v>
      </c>
      <c r="L385" s="1"/>
      <c r="M385" s="1" t="n">
        <v>16.2</v>
      </c>
    </row>
    <row r="386" customFormat="false" ht="13.8" hidden="false" customHeight="false" outlineLevel="0" collapsed="false">
      <c r="J386" s="3" t="n">
        <v>46168.7921875</v>
      </c>
      <c r="K386" s="1" t="s">
        <v>5</v>
      </c>
      <c r="L386" s="1"/>
      <c r="M386" s="1" t="n">
        <v>16.2</v>
      </c>
    </row>
    <row r="387" customFormat="false" ht="13.8" hidden="false" customHeight="false" outlineLevel="0" collapsed="false">
      <c r="J387" s="3" t="n">
        <v>46168.7921875</v>
      </c>
      <c r="K387" s="1" t="s">
        <v>5</v>
      </c>
      <c r="L387" s="1"/>
      <c r="M387" s="1" t="n">
        <v>16.2</v>
      </c>
    </row>
    <row r="388" customFormat="false" ht="13.8" hidden="false" customHeight="false" outlineLevel="0" collapsed="false">
      <c r="J388" s="3" t="n">
        <v>46168.7921990741</v>
      </c>
      <c r="K388" s="1" t="s">
        <v>5</v>
      </c>
      <c r="L388" s="1"/>
      <c r="M388" s="1" t="n">
        <v>16.2</v>
      </c>
    </row>
    <row r="389" customFormat="false" ht="13.8" hidden="false" customHeight="false" outlineLevel="0" collapsed="false">
      <c r="J389" s="3" t="n">
        <v>46168.7921990741</v>
      </c>
      <c r="K389" s="1" t="s">
        <v>5</v>
      </c>
      <c r="L389" s="1"/>
      <c r="M389" s="1" t="n">
        <v>16.2</v>
      </c>
    </row>
    <row r="390" customFormat="false" ht="13.8" hidden="false" customHeight="false" outlineLevel="0" collapsed="false">
      <c r="J390" s="3" t="n">
        <v>46168.7921990741</v>
      </c>
      <c r="K390" s="1" t="s">
        <v>5</v>
      </c>
      <c r="L390" s="1"/>
      <c r="M390" s="1" t="n">
        <v>16.2</v>
      </c>
    </row>
    <row r="391" customFormat="false" ht="13.8" hidden="false" customHeight="false" outlineLevel="0" collapsed="false">
      <c r="J391" s="3" t="n">
        <v>46168.7925347222</v>
      </c>
      <c r="K391" s="1" t="s">
        <v>5</v>
      </c>
      <c r="L391" s="1"/>
      <c r="M391" s="1" t="n">
        <v>16.2</v>
      </c>
    </row>
    <row r="392" customFormat="false" ht="13.8" hidden="false" customHeight="false" outlineLevel="0" collapsed="false">
      <c r="J392" s="3" t="n">
        <v>46168.7925347222</v>
      </c>
      <c r="K392" s="1" t="s">
        <v>5</v>
      </c>
      <c r="L392" s="1"/>
      <c r="M392" s="1" t="n">
        <v>16.2</v>
      </c>
    </row>
    <row r="393" customFormat="false" ht="13.8" hidden="false" customHeight="false" outlineLevel="0" collapsed="false">
      <c r="J393" s="3" t="n">
        <v>46168.7925462963</v>
      </c>
      <c r="K393" s="1" t="s">
        <v>5</v>
      </c>
      <c r="L393" s="1"/>
      <c r="M393" s="1" t="n">
        <v>16.2</v>
      </c>
    </row>
    <row r="394" customFormat="false" ht="13.8" hidden="false" customHeight="false" outlineLevel="0" collapsed="false">
      <c r="J394" s="3" t="n">
        <v>46168.7925578704</v>
      </c>
      <c r="K394" s="1" t="s">
        <v>5</v>
      </c>
      <c r="L394" s="1"/>
      <c r="M394" s="1" t="n">
        <v>16.2</v>
      </c>
    </row>
    <row r="395" customFormat="false" ht="13.8" hidden="false" customHeight="false" outlineLevel="0" collapsed="false">
      <c r="J395" s="3" t="n">
        <v>46168.7925578704</v>
      </c>
      <c r="K395" s="1" t="s">
        <v>5</v>
      </c>
      <c r="L395" s="1"/>
      <c r="M395" s="1" t="n">
        <v>16.2</v>
      </c>
    </row>
    <row r="396" customFormat="false" ht="13.8" hidden="false" customHeight="false" outlineLevel="0" collapsed="false">
      <c r="J396" s="3" t="n">
        <v>46168.7925578704</v>
      </c>
      <c r="K396" s="1" t="s">
        <v>5</v>
      </c>
      <c r="L396" s="1"/>
      <c r="M396" s="1" t="n">
        <v>16.2</v>
      </c>
    </row>
    <row r="397" customFormat="false" ht="13.8" hidden="false" customHeight="false" outlineLevel="0" collapsed="false">
      <c r="J397" s="3" t="n">
        <v>46168.7978009259</v>
      </c>
      <c r="K397" s="1" t="s">
        <v>5</v>
      </c>
      <c r="L397" s="1"/>
      <c r="M397" s="1" t="n">
        <v>16.2</v>
      </c>
    </row>
    <row r="398" customFormat="false" ht="13.8" hidden="false" customHeight="false" outlineLevel="0" collapsed="false">
      <c r="J398" s="3" t="n">
        <v>46168.7978009259</v>
      </c>
      <c r="K398" s="1" t="s">
        <v>5</v>
      </c>
      <c r="L398" s="1"/>
      <c r="M398" s="1" t="n">
        <v>16.2</v>
      </c>
    </row>
    <row r="399" customFormat="false" ht="13.8" hidden="false" customHeight="false" outlineLevel="0" collapsed="false">
      <c r="J399" s="3" t="n">
        <v>46168.7978125</v>
      </c>
      <c r="K399" s="1" t="s">
        <v>5</v>
      </c>
      <c r="L399" s="1"/>
      <c r="M399" s="1" t="n">
        <v>16.2</v>
      </c>
    </row>
    <row r="400" customFormat="false" ht="13.8" hidden="false" customHeight="false" outlineLevel="0" collapsed="false">
      <c r="J400" s="3" t="n">
        <v>46168.7978125</v>
      </c>
      <c r="K400" s="1" t="s">
        <v>5</v>
      </c>
      <c r="L400" s="1"/>
      <c r="M400" s="1" t="n">
        <v>16.2</v>
      </c>
    </row>
    <row r="401" customFormat="false" ht="13.8" hidden="false" customHeight="false" outlineLevel="0" collapsed="false">
      <c r="J401" s="3" t="n">
        <v>46168.7978125</v>
      </c>
      <c r="K401" s="1" t="s">
        <v>5</v>
      </c>
      <c r="L401" s="1"/>
      <c r="M401" s="1" t="n">
        <v>16.2</v>
      </c>
    </row>
    <row r="402" customFormat="false" ht="13.8" hidden="false" customHeight="false" outlineLevel="0" collapsed="false">
      <c r="J402" s="3" t="n">
        <v>46168.7978240741</v>
      </c>
      <c r="K402" s="1" t="s">
        <v>5</v>
      </c>
      <c r="L402" s="1"/>
      <c r="M402" s="1" t="n">
        <v>16.2</v>
      </c>
    </row>
    <row r="403" customFormat="false" ht="13.8" hidden="false" customHeight="false" outlineLevel="0" collapsed="false">
      <c r="J403" s="3" t="n">
        <v>46168.7981365741</v>
      </c>
      <c r="K403" s="1" t="s">
        <v>5</v>
      </c>
      <c r="L403" s="1"/>
      <c r="M403" s="1" t="n">
        <v>16.2</v>
      </c>
    </row>
    <row r="404" customFormat="false" ht="13.8" hidden="false" customHeight="false" outlineLevel="0" collapsed="false">
      <c r="J404" s="3" t="n">
        <v>46168.7981365741</v>
      </c>
      <c r="K404" s="1" t="s">
        <v>5</v>
      </c>
      <c r="L404" s="1"/>
      <c r="M404" s="1" t="n">
        <v>16.2</v>
      </c>
    </row>
    <row r="405" customFormat="false" ht="13.8" hidden="false" customHeight="false" outlineLevel="0" collapsed="false">
      <c r="J405" s="3" t="n">
        <v>46168.7981481482</v>
      </c>
      <c r="K405" s="1" t="s">
        <v>5</v>
      </c>
      <c r="L405" s="1"/>
      <c r="M405" s="1" t="n">
        <v>16.2</v>
      </c>
    </row>
    <row r="406" customFormat="false" ht="13.8" hidden="false" customHeight="false" outlineLevel="0" collapsed="false">
      <c r="J406" s="3" t="n">
        <v>46168.7981597222</v>
      </c>
      <c r="K406" s="1" t="s">
        <v>5</v>
      </c>
      <c r="L406" s="1"/>
      <c r="M406" s="1" t="n">
        <v>16.2</v>
      </c>
    </row>
    <row r="407" customFormat="false" ht="13.8" hidden="false" customHeight="false" outlineLevel="0" collapsed="false">
      <c r="J407" s="3" t="n">
        <v>46168.7981597222</v>
      </c>
      <c r="K407" s="1" t="s">
        <v>5</v>
      </c>
      <c r="L407" s="1"/>
      <c r="M407" s="1" t="n">
        <v>16.2</v>
      </c>
    </row>
    <row r="408" customFormat="false" ht="13.8" hidden="false" customHeight="false" outlineLevel="0" collapsed="false">
      <c r="J408" s="3" t="n">
        <v>46168.7981597222</v>
      </c>
      <c r="K408" s="1" t="s">
        <v>5</v>
      </c>
      <c r="L408" s="1"/>
      <c r="M408" s="1" t="n">
        <v>16.2</v>
      </c>
    </row>
    <row r="409" customFormat="false" ht="13.8" hidden="false" customHeight="false" outlineLevel="0" collapsed="false">
      <c r="J409" s="3" t="n">
        <v>46168.7984953704</v>
      </c>
      <c r="K409" s="1" t="s">
        <v>5</v>
      </c>
      <c r="L409" s="1"/>
      <c r="M409" s="1" t="n">
        <v>16.2</v>
      </c>
    </row>
    <row r="410" customFormat="false" ht="13.8" hidden="false" customHeight="false" outlineLevel="0" collapsed="false">
      <c r="J410" s="3" t="n">
        <v>46168.7984953704</v>
      </c>
      <c r="K410" s="1" t="s">
        <v>5</v>
      </c>
      <c r="L410" s="1"/>
      <c r="M410" s="1" t="n">
        <v>16.2</v>
      </c>
    </row>
    <row r="411" customFormat="false" ht="13.8" hidden="false" customHeight="false" outlineLevel="0" collapsed="false">
      <c r="J411" s="3" t="n">
        <v>46168.7984953704</v>
      </c>
      <c r="K411" s="1" t="s">
        <v>5</v>
      </c>
      <c r="L411" s="1"/>
      <c r="M411" s="1" t="n">
        <v>16.2</v>
      </c>
    </row>
    <row r="412" customFormat="false" ht="13.8" hidden="false" customHeight="false" outlineLevel="0" collapsed="false">
      <c r="J412" s="3" t="n">
        <v>46168.7984953704</v>
      </c>
      <c r="K412" s="1" t="s">
        <v>5</v>
      </c>
      <c r="L412" s="1"/>
      <c r="M412" s="1" t="n">
        <v>16.2</v>
      </c>
    </row>
    <row r="413" customFormat="false" ht="13.8" hidden="false" customHeight="false" outlineLevel="0" collapsed="false">
      <c r="J413" s="3" t="n">
        <v>46168.7985069445</v>
      </c>
      <c r="K413" s="1" t="s">
        <v>5</v>
      </c>
      <c r="L413" s="1"/>
      <c r="M413" s="1" t="n">
        <v>16.2</v>
      </c>
    </row>
    <row r="414" customFormat="false" ht="13.8" hidden="false" customHeight="false" outlineLevel="0" collapsed="false">
      <c r="J414" s="3" t="n">
        <v>46168.7985069445</v>
      </c>
      <c r="K414" s="1" t="s">
        <v>5</v>
      </c>
      <c r="L414" s="1"/>
      <c r="M414" s="1" t="n">
        <v>16.2</v>
      </c>
    </row>
    <row r="415" customFormat="false" ht="13.8" hidden="false" customHeight="false" outlineLevel="0" collapsed="false">
      <c r="J415" s="3" t="n">
        <v>46168.7988425926</v>
      </c>
      <c r="K415" s="1" t="s">
        <v>5</v>
      </c>
      <c r="L415" s="1"/>
      <c r="M415" s="1" t="n">
        <v>16.2</v>
      </c>
    </row>
  </sheetData>
  <autoFilter ref="K1:M41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N410"/>
  <sheetViews>
    <sheetView showFormulas="false" showGridLines="true" showRowColHeaders="true" showZeros="true" rightToLeft="false" tabSelected="false" showOutlineSymbols="true" defaultGridColor="true" view="normal" topLeftCell="A64" colorId="64" zoomScale="55" zoomScaleNormal="55" zoomScalePageLayoutView="100" workbookViewId="0">
      <selection pane="topLeft" activeCell="D78" activeCellId="0" sqref="D78"/>
    </sheetView>
  </sheetViews>
  <sheetFormatPr defaultColWidth="11.53515625" defaultRowHeight="12.8" zeroHeight="false" outlineLevelRow="0" outlineLevelCol="0"/>
  <cols>
    <col collapsed="false" customWidth="true" hidden="false" outlineLevel="0" max="11" min="11" style="1" width="18.34"/>
  </cols>
  <sheetData>
    <row r="1" customFormat="false" ht="13.8" hidden="false" customHeight="false" outlineLevel="0" collapsed="false">
      <c r="B1" s="1" t="s">
        <v>5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K1" s="3" t="n">
        <v>46168.8368055556</v>
      </c>
      <c r="L1" s="51" t="s">
        <v>6</v>
      </c>
      <c r="M1" s="51" t="n">
        <v>1415</v>
      </c>
      <c r="N1" s="51" t="n">
        <v>86</v>
      </c>
    </row>
    <row r="2" customFormat="false" ht="13.8" hidden="false" customHeight="false" outlineLevel="0" collapsed="false">
      <c r="B2" s="1" t="n">
        <v>58.8</v>
      </c>
      <c r="C2" s="1" t="n">
        <v>1513</v>
      </c>
      <c r="D2" s="1" t="n">
        <v>1415</v>
      </c>
      <c r="E2" s="1" t="n">
        <v>1605</v>
      </c>
      <c r="F2" s="1" t="n">
        <v>1712</v>
      </c>
      <c r="G2" s="1" t="n">
        <v>1815</v>
      </c>
      <c r="K2" s="3" t="n">
        <v>46168.8371412037</v>
      </c>
      <c r="L2" s="1" t="s">
        <v>6</v>
      </c>
      <c r="M2" s="1" t="n">
        <v>1382</v>
      </c>
      <c r="N2" s="1" t="n">
        <v>88</v>
      </c>
    </row>
    <row r="3" customFormat="false" ht="13.8" hidden="false" customHeight="false" outlineLevel="0" collapsed="false">
      <c r="B3" s="1" t="n">
        <v>58.6</v>
      </c>
      <c r="C3" s="1" t="n">
        <v>1535</v>
      </c>
      <c r="D3" s="1" t="n">
        <v>1382</v>
      </c>
      <c r="E3" s="1" t="n">
        <v>1796</v>
      </c>
      <c r="F3" s="1" t="n">
        <v>1968</v>
      </c>
      <c r="G3" s="1" t="n">
        <v>1922</v>
      </c>
      <c r="K3" s="3" t="n">
        <v>46168.8374884259</v>
      </c>
      <c r="L3" s="1" t="s">
        <v>6</v>
      </c>
      <c r="M3" s="1" t="n">
        <v>1376</v>
      </c>
      <c r="N3" s="1" t="n">
        <v>89</v>
      </c>
    </row>
    <row r="4" customFormat="false" ht="13.8" hidden="false" customHeight="false" outlineLevel="0" collapsed="false">
      <c r="B4" s="1" t="n">
        <v>58.6</v>
      </c>
      <c r="C4" s="1" t="n">
        <v>1584</v>
      </c>
      <c r="D4" s="1" t="n">
        <v>1376</v>
      </c>
      <c r="E4" s="1" t="n">
        <v>1887</v>
      </c>
      <c r="F4" s="1" t="n">
        <v>2064</v>
      </c>
      <c r="G4" s="1" t="n">
        <v>1971</v>
      </c>
      <c r="K4" s="3" t="n">
        <v>46168.8378472222</v>
      </c>
      <c r="L4" s="1" t="s">
        <v>6</v>
      </c>
      <c r="M4" s="1" t="n">
        <v>1376</v>
      </c>
      <c r="N4" s="1" t="n">
        <v>89</v>
      </c>
    </row>
    <row r="5" customFormat="false" ht="13.8" hidden="false" customHeight="false" outlineLevel="0" collapsed="false">
      <c r="B5" s="1" t="n">
        <v>58.6</v>
      </c>
      <c r="C5" s="1" t="n">
        <v>1565</v>
      </c>
      <c r="D5" s="1" t="n">
        <v>1376</v>
      </c>
      <c r="E5" s="1" t="n">
        <v>1936</v>
      </c>
      <c r="F5" s="1" t="n">
        <v>2111</v>
      </c>
      <c r="G5" s="1" t="n">
        <v>2002</v>
      </c>
      <c r="K5" s="3" t="n">
        <v>46168.8381944444</v>
      </c>
      <c r="L5" s="1" t="s">
        <v>6</v>
      </c>
      <c r="M5" s="1" t="n">
        <v>1376</v>
      </c>
      <c r="N5" s="1" t="n">
        <v>89</v>
      </c>
    </row>
    <row r="6" customFormat="false" ht="13.8" hidden="false" customHeight="false" outlineLevel="0" collapsed="false">
      <c r="B6" s="1" t="n">
        <v>58.6</v>
      </c>
      <c r="C6" s="1" t="n">
        <v>1535</v>
      </c>
      <c r="D6" s="1" t="n">
        <v>1376</v>
      </c>
      <c r="E6" s="1" t="n">
        <v>1966</v>
      </c>
      <c r="F6" s="1" t="n">
        <v>2134</v>
      </c>
      <c r="G6" s="1" t="n">
        <v>2021</v>
      </c>
      <c r="K6" s="3" t="n">
        <v>46168.8385416667</v>
      </c>
      <c r="L6" s="1" t="s">
        <v>6</v>
      </c>
      <c r="M6" s="1" t="n">
        <v>1366</v>
      </c>
      <c r="N6" s="1" t="n">
        <v>89</v>
      </c>
    </row>
    <row r="7" customFormat="false" ht="13.8" hidden="false" customHeight="false" outlineLevel="0" collapsed="false">
      <c r="B7" s="1" t="n">
        <v>58.6</v>
      </c>
      <c r="C7" s="1" t="n">
        <v>1535</v>
      </c>
      <c r="D7" s="1" t="n">
        <v>1366</v>
      </c>
      <c r="E7" s="1" t="n">
        <v>1986</v>
      </c>
      <c r="F7" s="1" t="n">
        <v>2146</v>
      </c>
      <c r="G7" s="1" t="n">
        <v>2038</v>
      </c>
      <c r="K7" s="3" t="n">
        <v>46168.8388888889</v>
      </c>
      <c r="L7" s="1" t="s">
        <v>6</v>
      </c>
      <c r="M7" s="1" t="n">
        <v>1370</v>
      </c>
      <c r="N7" s="1" t="n">
        <v>89</v>
      </c>
    </row>
    <row r="8" customFormat="false" ht="13.8" hidden="false" customHeight="false" outlineLevel="0" collapsed="false">
      <c r="B8" s="1" t="n">
        <v>58.4</v>
      </c>
      <c r="C8" s="1" t="n">
        <v>1579</v>
      </c>
      <c r="D8" s="1" t="n">
        <v>1370</v>
      </c>
      <c r="E8" s="1" t="n">
        <v>2007</v>
      </c>
      <c r="F8" s="1" t="n">
        <v>2160</v>
      </c>
      <c r="G8" s="1" t="n">
        <v>2065</v>
      </c>
      <c r="K8" s="3" t="n">
        <v>46168.8392476852</v>
      </c>
      <c r="L8" s="1" t="s">
        <v>6</v>
      </c>
      <c r="M8" s="1" t="n">
        <v>1372</v>
      </c>
      <c r="N8" s="1" t="n">
        <v>89</v>
      </c>
    </row>
    <row r="9" customFormat="false" ht="13.8" hidden="false" customHeight="false" outlineLevel="0" collapsed="false">
      <c r="B9" s="1" t="n">
        <v>58.4</v>
      </c>
      <c r="C9" s="1" t="n">
        <v>1557</v>
      </c>
      <c r="D9" s="1" t="n">
        <v>1372</v>
      </c>
      <c r="E9" s="1" t="n">
        <v>2027</v>
      </c>
      <c r="F9" s="1" t="n">
        <v>2174</v>
      </c>
      <c r="G9" s="1" t="n">
        <v>2066</v>
      </c>
      <c r="K9" s="3" t="n">
        <v>46168.8396064815</v>
      </c>
      <c r="L9" s="1" t="s">
        <v>6</v>
      </c>
      <c r="M9" s="1" t="n">
        <v>1367</v>
      </c>
      <c r="N9" s="1" t="n">
        <v>89</v>
      </c>
    </row>
    <row r="10" customFormat="false" ht="13.8" hidden="false" customHeight="false" outlineLevel="0" collapsed="false">
      <c r="B10" s="1" t="n">
        <v>58.6</v>
      </c>
      <c r="C10" s="1" t="n">
        <v>1567</v>
      </c>
      <c r="D10" s="1" t="n">
        <v>1367</v>
      </c>
      <c r="E10" s="1" t="n">
        <v>2037</v>
      </c>
      <c r="F10" s="1" t="n">
        <v>2179</v>
      </c>
      <c r="G10" s="1" t="n">
        <v>2073</v>
      </c>
      <c r="K10" s="3" t="n">
        <v>46168.8399537037</v>
      </c>
      <c r="L10" s="1" t="s">
        <v>6</v>
      </c>
      <c r="M10" s="1" t="n">
        <v>1355</v>
      </c>
      <c r="N10" s="1" t="n">
        <v>90</v>
      </c>
    </row>
    <row r="11" customFormat="false" ht="13.8" hidden="false" customHeight="false" outlineLevel="0" collapsed="false">
      <c r="B11" s="1" t="n">
        <v>58.4</v>
      </c>
      <c r="C11" s="1" t="n">
        <v>1534</v>
      </c>
      <c r="D11" s="1" t="n">
        <v>1355</v>
      </c>
      <c r="E11" s="1" t="n">
        <v>2054</v>
      </c>
      <c r="F11" s="1" t="n">
        <v>2187</v>
      </c>
      <c r="G11" s="1" t="n">
        <v>2078</v>
      </c>
      <c r="K11" s="3" t="n">
        <v>46168.8403240741</v>
      </c>
      <c r="L11" s="1" t="s">
        <v>6</v>
      </c>
      <c r="M11" s="1" t="n">
        <v>1367</v>
      </c>
      <c r="N11" s="1" t="n">
        <v>89</v>
      </c>
    </row>
    <row r="12" customFormat="false" ht="13.8" hidden="false" customHeight="false" outlineLevel="0" collapsed="false">
      <c r="B12" s="1" t="n">
        <v>58.4</v>
      </c>
      <c r="C12" s="1" t="n">
        <v>1535</v>
      </c>
      <c r="D12" s="1" t="n">
        <v>1367</v>
      </c>
      <c r="E12" s="1" t="n">
        <v>2064</v>
      </c>
      <c r="F12" s="1" t="n">
        <v>2189</v>
      </c>
      <c r="G12" s="1" t="n">
        <v>2084</v>
      </c>
      <c r="K12" s="3" t="n">
        <v>46168.8406481482</v>
      </c>
      <c r="L12" s="1" t="s">
        <v>6</v>
      </c>
      <c r="M12" s="1" t="n">
        <v>1346</v>
      </c>
      <c r="N12" s="1" t="n">
        <v>91</v>
      </c>
    </row>
    <row r="13" customFormat="false" ht="13.8" hidden="false" customHeight="false" outlineLevel="0" collapsed="false">
      <c r="B13" s="1" t="n">
        <v>58.4</v>
      </c>
      <c r="C13" s="1" t="n">
        <v>1584</v>
      </c>
      <c r="D13" s="1" t="n">
        <v>1346</v>
      </c>
      <c r="E13" s="1" t="n">
        <v>2067</v>
      </c>
      <c r="F13" s="1" t="n">
        <v>2189</v>
      </c>
      <c r="G13" s="1" t="n">
        <v>2089</v>
      </c>
      <c r="K13" s="3" t="n">
        <v>46168.8409953704</v>
      </c>
      <c r="L13" s="1" t="s">
        <v>6</v>
      </c>
      <c r="M13" s="1" t="n">
        <v>1390</v>
      </c>
      <c r="N13" s="1" t="n">
        <v>88</v>
      </c>
    </row>
    <row r="14" customFormat="false" ht="13.8" hidden="false" customHeight="false" outlineLevel="0" collapsed="false">
      <c r="B14" s="1" t="n">
        <v>58.4</v>
      </c>
      <c r="C14" s="1" t="n">
        <v>1587</v>
      </c>
      <c r="D14" s="1" t="n">
        <v>1390</v>
      </c>
      <c r="E14" s="1" t="n">
        <v>2075</v>
      </c>
      <c r="F14" s="1" t="n">
        <v>2194</v>
      </c>
      <c r="G14" s="1" t="n">
        <v>2092</v>
      </c>
      <c r="K14" s="3" t="n">
        <v>46168.8413425926</v>
      </c>
      <c r="L14" s="1" t="s">
        <v>6</v>
      </c>
      <c r="M14" s="1" t="n">
        <v>1371</v>
      </c>
      <c r="N14" s="1" t="n">
        <v>89</v>
      </c>
    </row>
    <row r="15" customFormat="false" ht="13.8" hidden="false" customHeight="false" outlineLevel="0" collapsed="false">
      <c r="B15" s="1" t="n">
        <v>58.4</v>
      </c>
      <c r="C15" s="1" t="n">
        <v>1571</v>
      </c>
      <c r="D15" s="1" t="n">
        <v>1371</v>
      </c>
      <c r="E15" s="1" t="n">
        <v>2083</v>
      </c>
      <c r="F15" s="1" t="n">
        <v>2194</v>
      </c>
      <c r="G15" s="1" t="n">
        <v>2096</v>
      </c>
      <c r="K15" s="3" t="n">
        <v>46168.8416898148</v>
      </c>
      <c r="L15" s="1" t="s">
        <v>6</v>
      </c>
      <c r="M15" s="1" t="n">
        <v>1363</v>
      </c>
      <c r="N15" s="1" t="n">
        <v>90</v>
      </c>
    </row>
    <row r="16" customFormat="false" ht="13.8" hidden="false" customHeight="false" outlineLevel="0" collapsed="false">
      <c r="B16" s="1" t="n">
        <v>58.4</v>
      </c>
      <c r="C16" s="1" t="n">
        <v>1584</v>
      </c>
      <c r="D16" s="1" t="n">
        <v>1363</v>
      </c>
      <c r="E16" s="1" t="n">
        <v>2084</v>
      </c>
      <c r="F16" s="1" t="n">
        <v>2192</v>
      </c>
      <c r="G16" s="1" t="n">
        <v>2096</v>
      </c>
      <c r="K16" s="3" t="n">
        <v>46168.8420486111</v>
      </c>
      <c r="L16" s="1" t="s">
        <v>6</v>
      </c>
      <c r="M16" s="1" t="n">
        <v>1341</v>
      </c>
      <c r="N16" s="1" t="n">
        <v>91</v>
      </c>
    </row>
    <row r="17" customFormat="false" ht="13.8" hidden="false" customHeight="false" outlineLevel="0" collapsed="false">
      <c r="B17" s="1" t="n">
        <v>58.4</v>
      </c>
      <c r="C17" s="1" t="n">
        <v>1535</v>
      </c>
      <c r="D17" s="1" t="n">
        <v>1341</v>
      </c>
      <c r="E17" s="1" t="n">
        <v>2091</v>
      </c>
      <c r="F17" s="1" t="n">
        <v>2201</v>
      </c>
      <c r="G17" s="1" t="n">
        <v>2095</v>
      </c>
      <c r="K17" s="3" t="n">
        <v>46168.8424074074</v>
      </c>
      <c r="L17" s="1" t="s">
        <v>6</v>
      </c>
      <c r="M17" s="1" t="n">
        <v>1379</v>
      </c>
      <c r="N17" s="1" t="n">
        <v>89</v>
      </c>
    </row>
    <row r="18" customFormat="false" ht="13.8" hidden="false" customHeight="false" outlineLevel="0" collapsed="false">
      <c r="B18" s="1" t="n">
        <v>58.4</v>
      </c>
      <c r="C18" s="1" t="n">
        <v>1535</v>
      </c>
      <c r="D18" s="1" t="n">
        <v>1379</v>
      </c>
      <c r="E18" s="1" t="n">
        <v>2086</v>
      </c>
      <c r="F18" s="1" t="n">
        <v>2202</v>
      </c>
      <c r="G18" s="1" t="n">
        <v>2103</v>
      </c>
      <c r="K18" s="3" t="n">
        <v>46168.8427777778</v>
      </c>
      <c r="L18" s="1" t="s">
        <v>6</v>
      </c>
      <c r="M18" s="1" t="n">
        <v>1374</v>
      </c>
      <c r="N18" s="1" t="n">
        <v>89</v>
      </c>
    </row>
    <row r="19" customFormat="false" ht="13.8" hidden="false" customHeight="false" outlineLevel="0" collapsed="false">
      <c r="B19" s="1" t="n">
        <v>58.4</v>
      </c>
      <c r="C19" s="1" t="n">
        <v>1535</v>
      </c>
      <c r="D19" s="1" t="n">
        <v>1374</v>
      </c>
      <c r="E19" s="1" t="n">
        <v>2097</v>
      </c>
      <c r="F19" s="1" t="n">
        <v>2206</v>
      </c>
      <c r="G19" s="1" t="n">
        <v>2109</v>
      </c>
      <c r="K19" s="3" t="n">
        <v>46168.8430902778</v>
      </c>
      <c r="L19" s="1" t="s">
        <v>6</v>
      </c>
      <c r="M19" s="1" t="n">
        <v>1366</v>
      </c>
      <c r="N19" s="1" t="n">
        <v>89</v>
      </c>
    </row>
    <row r="20" customFormat="false" ht="13.8" hidden="false" customHeight="false" outlineLevel="0" collapsed="false">
      <c r="B20" s="1" t="n">
        <v>58.4</v>
      </c>
      <c r="C20" s="1" t="n">
        <v>1555</v>
      </c>
      <c r="D20" s="1" t="n">
        <v>1366</v>
      </c>
      <c r="E20" s="1" t="n">
        <v>2100</v>
      </c>
      <c r="F20" s="1" t="n">
        <v>2205</v>
      </c>
      <c r="G20" s="1" t="n">
        <v>2110</v>
      </c>
      <c r="K20" s="3" t="n">
        <v>46168.8434490741</v>
      </c>
      <c r="L20" s="1" t="s">
        <v>6</v>
      </c>
      <c r="M20" s="1" t="n">
        <v>1371</v>
      </c>
      <c r="N20" s="1" t="n">
        <v>89</v>
      </c>
    </row>
    <row r="21" customFormat="false" ht="13.8" hidden="false" customHeight="false" outlineLevel="0" collapsed="false">
      <c r="B21" s="1" t="n">
        <v>58.4</v>
      </c>
      <c r="C21" s="1" t="n">
        <v>1586</v>
      </c>
      <c r="D21" s="1" t="n">
        <v>1371</v>
      </c>
      <c r="E21" s="1" t="n">
        <v>2102</v>
      </c>
      <c r="F21" s="1" t="n">
        <v>2231</v>
      </c>
      <c r="G21" s="1" t="n">
        <v>2114</v>
      </c>
      <c r="K21" s="3" t="n">
        <v>46168.8437962963</v>
      </c>
      <c r="L21" s="1" t="s">
        <v>6</v>
      </c>
      <c r="M21" s="1" t="n">
        <v>1363</v>
      </c>
      <c r="N21" s="1" t="n">
        <v>90</v>
      </c>
    </row>
    <row r="22" customFormat="false" ht="13.8" hidden="false" customHeight="false" outlineLevel="0" collapsed="false">
      <c r="B22" s="1" t="n">
        <v>58.4</v>
      </c>
      <c r="C22" s="1" t="n">
        <v>1613</v>
      </c>
      <c r="D22" s="1" t="n">
        <v>1363</v>
      </c>
      <c r="E22" s="1" t="n">
        <v>2109</v>
      </c>
      <c r="F22" s="1" t="n">
        <v>2204</v>
      </c>
      <c r="G22" s="1" t="n">
        <v>2122</v>
      </c>
      <c r="K22" s="3" t="n">
        <v>46168.8441666667</v>
      </c>
      <c r="L22" s="1" t="s">
        <v>6</v>
      </c>
      <c r="M22" s="1" t="n">
        <v>1357</v>
      </c>
      <c r="N22" s="1" t="n">
        <v>90</v>
      </c>
    </row>
    <row r="23" customFormat="false" ht="13.8" hidden="false" customHeight="false" outlineLevel="0" collapsed="false">
      <c r="B23" s="1" t="n">
        <v>58.4</v>
      </c>
      <c r="C23" s="1" t="n">
        <v>1562</v>
      </c>
      <c r="D23" s="1" t="n">
        <v>1357</v>
      </c>
      <c r="E23" s="1" t="n">
        <v>2112</v>
      </c>
      <c r="F23" s="1" t="n">
        <v>2208</v>
      </c>
      <c r="G23" s="1" t="n">
        <v>2117</v>
      </c>
      <c r="K23" s="3" t="n">
        <v>46168.8445023148</v>
      </c>
      <c r="L23" s="1" t="s">
        <v>6</v>
      </c>
      <c r="M23" s="1" t="n">
        <v>1367</v>
      </c>
      <c r="N23" s="1" t="n">
        <v>89</v>
      </c>
    </row>
    <row r="24" customFormat="false" ht="13.8" hidden="false" customHeight="false" outlineLevel="0" collapsed="false">
      <c r="B24" s="1" t="n">
        <v>58.4</v>
      </c>
      <c r="C24" s="1" t="n">
        <v>1535</v>
      </c>
      <c r="D24" s="1" t="n">
        <v>1367</v>
      </c>
      <c r="E24" s="1" t="n">
        <v>2108</v>
      </c>
      <c r="F24" s="1" t="n">
        <v>2214</v>
      </c>
      <c r="G24" s="1" t="n">
        <v>2114</v>
      </c>
      <c r="K24" s="3" t="n">
        <v>46168.844849537</v>
      </c>
      <c r="L24" s="1" t="s">
        <v>6</v>
      </c>
      <c r="M24" s="1" t="n">
        <v>1362</v>
      </c>
      <c r="N24" s="1" t="n">
        <v>90</v>
      </c>
    </row>
    <row r="25" customFormat="false" ht="13.8" hidden="false" customHeight="false" outlineLevel="0" collapsed="false">
      <c r="B25" s="1" t="n">
        <v>58.4</v>
      </c>
      <c r="C25" s="1" t="n">
        <v>1535</v>
      </c>
      <c r="D25" s="1" t="n">
        <v>1362</v>
      </c>
      <c r="E25" s="1" t="n">
        <v>2113</v>
      </c>
      <c r="F25" s="1" t="n">
        <v>2215</v>
      </c>
      <c r="G25" s="1" t="n">
        <v>2115</v>
      </c>
      <c r="K25" s="3" t="n">
        <v>46168.8451967593</v>
      </c>
      <c r="L25" s="1" t="s">
        <v>6</v>
      </c>
      <c r="M25" s="1" t="n">
        <v>1364</v>
      </c>
      <c r="N25" s="1" t="n">
        <v>90</v>
      </c>
    </row>
    <row r="26" customFormat="false" ht="13.8" hidden="false" customHeight="false" outlineLevel="0" collapsed="false">
      <c r="B26" s="1" t="n">
        <v>58.4</v>
      </c>
      <c r="C26" s="1" t="n">
        <v>1535</v>
      </c>
      <c r="D26" s="1" t="n">
        <v>1364</v>
      </c>
      <c r="E26" s="1" t="n">
        <v>2114</v>
      </c>
      <c r="F26" s="1" t="n">
        <v>2218</v>
      </c>
      <c r="G26" s="1" t="n">
        <v>2118</v>
      </c>
      <c r="K26" s="3" t="n">
        <v>46168.8455439815</v>
      </c>
      <c r="L26" s="1" t="s">
        <v>6</v>
      </c>
      <c r="M26" s="1" t="n">
        <v>1365</v>
      </c>
      <c r="N26" s="1" t="n">
        <v>89</v>
      </c>
    </row>
    <row r="27" customFormat="false" ht="13.8" hidden="false" customHeight="false" outlineLevel="0" collapsed="false">
      <c r="B27" s="1" t="n">
        <v>58.4</v>
      </c>
      <c r="C27" s="1" t="n">
        <v>1535</v>
      </c>
      <c r="D27" s="1" t="n">
        <v>1365</v>
      </c>
      <c r="E27" s="1" t="n">
        <v>2122</v>
      </c>
      <c r="F27" s="1" t="n">
        <v>2215</v>
      </c>
      <c r="G27" s="1" t="n">
        <v>2126</v>
      </c>
      <c r="K27" s="3" t="n">
        <v>46168.8459027778</v>
      </c>
      <c r="L27" s="1" t="s">
        <v>6</v>
      </c>
      <c r="M27" s="1" t="n">
        <v>1362</v>
      </c>
      <c r="N27" s="1" t="n">
        <v>90</v>
      </c>
    </row>
    <row r="28" customFormat="false" ht="13.8" hidden="false" customHeight="false" outlineLevel="0" collapsed="false">
      <c r="B28" s="1" t="n">
        <v>58.4</v>
      </c>
      <c r="C28" s="1" t="n">
        <v>1570</v>
      </c>
      <c r="D28" s="1" t="n">
        <v>1362</v>
      </c>
      <c r="E28" s="1" t="n">
        <v>2121</v>
      </c>
      <c r="F28" s="1" t="n">
        <v>2224</v>
      </c>
      <c r="G28" s="1" t="n">
        <v>2126</v>
      </c>
      <c r="K28" s="3" t="n">
        <v>46168.8462384259</v>
      </c>
      <c r="L28" s="1" t="s">
        <v>6</v>
      </c>
      <c r="M28" s="1" t="n">
        <v>1409</v>
      </c>
      <c r="N28" s="1" t="n">
        <v>87</v>
      </c>
    </row>
    <row r="29" customFormat="false" ht="13.8" hidden="false" customHeight="false" outlineLevel="0" collapsed="false">
      <c r="B29" s="1" t="n">
        <v>58.4</v>
      </c>
      <c r="C29" s="1" t="n">
        <v>1554</v>
      </c>
      <c r="D29" s="1" t="n">
        <v>1409</v>
      </c>
      <c r="E29" s="1" t="n">
        <v>2121</v>
      </c>
      <c r="F29" s="1" t="n">
        <v>2222</v>
      </c>
      <c r="G29" s="1" t="n">
        <v>2128</v>
      </c>
      <c r="K29" s="3" t="n">
        <v>46168.8465856482</v>
      </c>
      <c r="L29" s="1" t="s">
        <v>6</v>
      </c>
      <c r="M29" s="1" t="n">
        <v>1363</v>
      </c>
      <c r="N29" s="1" t="n">
        <v>90</v>
      </c>
    </row>
    <row r="30" customFormat="false" ht="13.8" hidden="false" customHeight="false" outlineLevel="0" collapsed="false">
      <c r="B30" s="1" t="n">
        <v>58.4</v>
      </c>
      <c r="C30" s="1" t="n">
        <v>1557</v>
      </c>
      <c r="D30" s="1" t="n">
        <v>1363</v>
      </c>
      <c r="E30" s="1" t="n">
        <v>2122</v>
      </c>
      <c r="F30" s="1" t="n">
        <v>2222</v>
      </c>
      <c r="G30" s="1" t="n">
        <v>2128</v>
      </c>
      <c r="K30" s="3" t="n">
        <v>46168.8469444444</v>
      </c>
      <c r="L30" s="1" t="s">
        <v>6</v>
      </c>
      <c r="M30" s="1" t="n">
        <v>1392</v>
      </c>
      <c r="N30" s="1" t="n">
        <v>88</v>
      </c>
    </row>
    <row r="31" customFormat="false" ht="13.8" hidden="false" customHeight="false" outlineLevel="0" collapsed="false">
      <c r="B31" s="1" t="n">
        <v>58.4</v>
      </c>
      <c r="C31" s="1" t="n">
        <v>1535</v>
      </c>
      <c r="D31" s="1" t="n">
        <v>1392</v>
      </c>
      <c r="E31" s="1" t="n">
        <v>2119</v>
      </c>
      <c r="F31" s="1" t="n">
        <v>2224</v>
      </c>
      <c r="G31" s="1" t="n">
        <v>2134</v>
      </c>
      <c r="K31" s="3" t="n">
        <v>46168.8472916667</v>
      </c>
      <c r="L31" s="1" t="s">
        <v>6</v>
      </c>
      <c r="M31" s="1" t="n">
        <v>1362</v>
      </c>
      <c r="N31" s="1" t="n">
        <v>90</v>
      </c>
    </row>
    <row r="32" customFormat="false" ht="13.8" hidden="false" customHeight="false" outlineLevel="0" collapsed="false">
      <c r="B32" s="1" t="n">
        <v>58.4</v>
      </c>
      <c r="C32" s="1" t="n">
        <v>1535</v>
      </c>
      <c r="D32" s="1" t="n">
        <v>1362</v>
      </c>
      <c r="E32" s="1" t="n">
        <v>2119</v>
      </c>
      <c r="F32" s="1" t="n">
        <v>2224</v>
      </c>
      <c r="G32" s="1" t="n">
        <v>2132</v>
      </c>
      <c r="K32" s="3" t="n">
        <v>46168.847650463</v>
      </c>
      <c r="L32" s="1" t="s">
        <v>6</v>
      </c>
      <c r="M32" s="1" t="n">
        <v>1362</v>
      </c>
      <c r="N32" s="1" t="n">
        <v>90</v>
      </c>
    </row>
    <row r="33" customFormat="false" ht="13.8" hidden="false" customHeight="false" outlineLevel="0" collapsed="false">
      <c r="B33" s="1" t="n">
        <v>58.4</v>
      </c>
      <c r="C33" s="1" t="n">
        <v>1565</v>
      </c>
      <c r="D33" s="1" t="n">
        <v>1362</v>
      </c>
      <c r="E33" s="1" t="n">
        <v>2128</v>
      </c>
      <c r="F33" s="1" t="n">
        <v>2224</v>
      </c>
      <c r="G33" s="1" t="n">
        <v>2137</v>
      </c>
      <c r="K33" s="3" t="n">
        <v>46168.8479976852</v>
      </c>
      <c r="L33" s="1" t="s">
        <v>6</v>
      </c>
      <c r="M33" s="1" t="n">
        <v>1362</v>
      </c>
      <c r="N33" s="1" t="n">
        <v>90</v>
      </c>
    </row>
    <row r="34" customFormat="false" ht="13.8" hidden="false" customHeight="false" outlineLevel="0" collapsed="false">
      <c r="B34" s="1" t="n">
        <v>58.4</v>
      </c>
      <c r="C34" s="1" t="n">
        <v>1535</v>
      </c>
      <c r="D34" s="1" t="n">
        <v>1362</v>
      </c>
      <c r="E34" s="1" t="n">
        <v>2128</v>
      </c>
      <c r="F34" s="1" t="n">
        <v>2224</v>
      </c>
      <c r="G34" s="1" t="n">
        <v>2134</v>
      </c>
      <c r="K34" s="3" t="n">
        <v>46168.8483449074</v>
      </c>
      <c r="L34" s="1" t="s">
        <v>6</v>
      </c>
      <c r="M34" s="1" t="n">
        <v>1361</v>
      </c>
      <c r="N34" s="1" t="n">
        <v>90</v>
      </c>
    </row>
    <row r="35" customFormat="false" ht="13.8" hidden="false" customHeight="false" outlineLevel="0" collapsed="false">
      <c r="B35" s="1" t="n">
        <v>58.4</v>
      </c>
      <c r="C35" s="1" t="n">
        <v>1570</v>
      </c>
      <c r="D35" s="1" t="n">
        <v>1361</v>
      </c>
      <c r="E35" s="1" t="n">
        <v>2130</v>
      </c>
      <c r="F35" s="1" t="n">
        <v>2224</v>
      </c>
      <c r="G35" s="1" t="n">
        <v>2134</v>
      </c>
      <c r="K35" s="3" t="n">
        <v>46168.8486921296</v>
      </c>
      <c r="L35" s="1" t="s">
        <v>6</v>
      </c>
      <c r="M35" s="1" t="n">
        <v>1360</v>
      </c>
      <c r="N35" s="1" t="n">
        <v>90</v>
      </c>
    </row>
    <row r="36" customFormat="false" ht="13.8" hidden="false" customHeight="false" outlineLevel="0" collapsed="false">
      <c r="B36" s="1" t="n">
        <v>58.4</v>
      </c>
      <c r="C36" s="1" t="n">
        <v>1552</v>
      </c>
      <c r="D36" s="1" t="n">
        <v>1360</v>
      </c>
      <c r="E36" s="1" t="n">
        <v>2132</v>
      </c>
      <c r="F36" s="1" t="n">
        <v>2224</v>
      </c>
      <c r="G36" s="1" t="n">
        <v>2137</v>
      </c>
      <c r="K36" s="3" t="n">
        <v>46168.8490393519</v>
      </c>
      <c r="L36" s="1" t="s">
        <v>6</v>
      </c>
      <c r="M36" s="1" t="n">
        <v>1360</v>
      </c>
      <c r="N36" s="1" t="n">
        <v>90</v>
      </c>
    </row>
    <row r="37" customFormat="false" ht="13.8" hidden="false" customHeight="false" outlineLevel="0" collapsed="false">
      <c r="B37" s="1" t="n">
        <v>58.4</v>
      </c>
      <c r="C37" s="1" t="n">
        <v>1552</v>
      </c>
      <c r="D37" s="1" t="n">
        <v>1360</v>
      </c>
      <c r="E37" s="1" t="n">
        <v>2135</v>
      </c>
      <c r="F37" s="1" t="n">
        <v>2227</v>
      </c>
      <c r="G37" s="1" t="n">
        <v>2140</v>
      </c>
      <c r="K37" s="3" t="n">
        <v>46168.8493865741</v>
      </c>
      <c r="L37" s="1" t="s">
        <v>6</v>
      </c>
      <c r="M37" s="1" t="n">
        <v>1361</v>
      </c>
      <c r="N37" s="1" t="n">
        <v>90</v>
      </c>
    </row>
    <row r="38" customFormat="false" ht="13.8" hidden="false" customHeight="false" outlineLevel="0" collapsed="false">
      <c r="B38" s="1" t="n">
        <v>58.4</v>
      </c>
      <c r="C38" s="1" t="n">
        <v>1552</v>
      </c>
      <c r="D38" s="1" t="n">
        <v>1361</v>
      </c>
      <c r="E38" s="1" t="n">
        <v>2131</v>
      </c>
      <c r="F38" s="1" t="n">
        <v>2226</v>
      </c>
      <c r="G38" s="1" t="n">
        <v>2149</v>
      </c>
      <c r="K38" s="3" t="n">
        <v>46168.8497337963</v>
      </c>
      <c r="L38" s="1" t="s">
        <v>6</v>
      </c>
      <c r="M38" s="1" t="n">
        <v>1366</v>
      </c>
      <c r="N38" s="1" t="n">
        <v>89</v>
      </c>
    </row>
    <row r="39" customFormat="false" ht="13.8" hidden="false" customHeight="false" outlineLevel="0" collapsed="false">
      <c r="B39" s="1" t="n">
        <v>58.4</v>
      </c>
      <c r="C39" s="1" t="n">
        <v>1527</v>
      </c>
      <c r="D39" s="1" t="n">
        <v>1366</v>
      </c>
      <c r="E39" s="1" t="n">
        <v>2134</v>
      </c>
      <c r="F39" s="1" t="n">
        <v>2228</v>
      </c>
      <c r="G39" s="1" t="n">
        <v>2145</v>
      </c>
      <c r="K39" s="3" t="n">
        <v>46168.8500925926</v>
      </c>
      <c r="L39" s="1" t="s">
        <v>6</v>
      </c>
      <c r="M39" s="1" t="n">
        <v>1367</v>
      </c>
      <c r="N39" s="1" t="n">
        <v>89</v>
      </c>
    </row>
    <row r="40" customFormat="false" ht="13.8" hidden="false" customHeight="false" outlineLevel="0" collapsed="false">
      <c r="B40" s="1" t="n">
        <v>58.4</v>
      </c>
      <c r="C40" s="1" t="n">
        <v>1569</v>
      </c>
      <c r="D40" s="1" t="n">
        <v>1367</v>
      </c>
      <c r="E40" s="1" t="n">
        <v>2138</v>
      </c>
      <c r="F40" s="1" t="n">
        <v>2228</v>
      </c>
      <c r="G40" s="1" t="n">
        <v>2144</v>
      </c>
      <c r="K40" s="3" t="n">
        <v>46168.8504398148</v>
      </c>
      <c r="L40" s="1" t="s">
        <v>6</v>
      </c>
      <c r="M40" s="1" t="n">
        <v>1363</v>
      </c>
      <c r="N40" s="1" t="n">
        <v>90</v>
      </c>
    </row>
    <row r="41" customFormat="false" ht="13.8" hidden="false" customHeight="false" outlineLevel="0" collapsed="false">
      <c r="B41" s="1" t="n">
        <v>58.4</v>
      </c>
      <c r="C41" s="1" t="n">
        <v>1535</v>
      </c>
      <c r="D41" s="1" t="n">
        <v>1363</v>
      </c>
      <c r="E41" s="1" t="n">
        <v>2141</v>
      </c>
      <c r="F41" s="1" t="n">
        <v>2228</v>
      </c>
      <c r="G41" s="1" t="n">
        <v>2147</v>
      </c>
      <c r="K41" s="3" t="n">
        <v>46168.850787037</v>
      </c>
      <c r="L41" s="1" t="s">
        <v>6</v>
      </c>
      <c r="M41" s="1" t="n">
        <v>1280</v>
      </c>
      <c r="N41" s="1" t="n">
        <v>95</v>
      </c>
    </row>
    <row r="42" customFormat="false" ht="13.8" hidden="false" customHeight="false" outlineLevel="0" collapsed="false">
      <c r="B42" s="1" t="n">
        <v>58.4</v>
      </c>
      <c r="C42" s="1" t="n">
        <v>1535</v>
      </c>
      <c r="D42" s="1" t="n">
        <v>1280</v>
      </c>
      <c r="E42" s="1" t="n">
        <v>2141</v>
      </c>
      <c r="F42" s="1" t="n">
        <v>2227</v>
      </c>
      <c r="G42" s="1" t="n">
        <v>2146</v>
      </c>
      <c r="K42" s="3" t="n">
        <v>46168.8511342593</v>
      </c>
      <c r="L42" s="1" t="s">
        <v>6</v>
      </c>
      <c r="M42" s="1" t="n">
        <v>1374</v>
      </c>
      <c r="N42" s="1" t="n">
        <v>89</v>
      </c>
    </row>
    <row r="43" customFormat="false" ht="13.8" hidden="false" customHeight="false" outlineLevel="0" collapsed="false">
      <c r="B43" s="1" t="n">
        <v>58.4</v>
      </c>
      <c r="C43" s="1" t="n">
        <v>1581</v>
      </c>
      <c r="D43" s="1" t="n">
        <v>1374</v>
      </c>
      <c r="E43" s="1" t="n">
        <v>2138</v>
      </c>
      <c r="F43" s="1" t="n">
        <v>2237</v>
      </c>
      <c r="G43" s="1" t="n">
        <v>2146</v>
      </c>
      <c r="K43" s="3" t="n">
        <v>46168.8514930556</v>
      </c>
      <c r="L43" s="1" t="s">
        <v>6</v>
      </c>
      <c r="M43" s="1" t="n">
        <v>1437</v>
      </c>
      <c r="N43" s="1" t="n">
        <v>85</v>
      </c>
    </row>
    <row r="44" customFormat="false" ht="13.8" hidden="false" customHeight="false" outlineLevel="0" collapsed="false">
      <c r="B44" s="1" t="n">
        <v>58.4</v>
      </c>
      <c r="C44" s="1" t="n">
        <v>1569</v>
      </c>
      <c r="D44" s="1" t="n">
        <v>1437</v>
      </c>
      <c r="E44" s="1" t="n">
        <v>2145</v>
      </c>
      <c r="F44" s="1" t="n">
        <v>2235</v>
      </c>
      <c r="G44" s="1" t="n">
        <v>2157</v>
      </c>
      <c r="K44" s="3" t="n">
        <v>46168.8518402778</v>
      </c>
      <c r="L44" s="1" t="s">
        <v>6</v>
      </c>
      <c r="M44" s="1" t="n">
        <v>1363</v>
      </c>
      <c r="N44" s="1" t="n">
        <v>90</v>
      </c>
    </row>
    <row r="45" customFormat="false" ht="13.8" hidden="false" customHeight="false" outlineLevel="0" collapsed="false">
      <c r="B45" s="1" t="n">
        <v>58.2</v>
      </c>
      <c r="C45" s="1" t="n">
        <v>1535</v>
      </c>
      <c r="D45" s="1" t="n">
        <v>1363</v>
      </c>
      <c r="E45" s="1" t="n">
        <v>2143</v>
      </c>
      <c r="F45" s="1" t="n">
        <v>2231</v>
      </c>
      <c r="G45" s="1" t="n">
        <v>2150</v>
      </c>
      <c r="K45" s="3" t="n">
        <v>46168.8521990741</v>
      </c>
      <c r="L45" s="1" t="s">
        <v>6</v>
      </c>
      <c r="M45" s="1" t="n">
        <v>1375</v>
      </c>
      <c r="N45" s="1" t="n">
        <v>89</v>
      </c>
    </row>
    <row r="46" customFormat="false" ht="13.8" hidden="false" customHeight="false" outlineLevel="0" collapsed="false">
      <c r="B46" s="1" t="n">
        <v>58.4</v>
      </c>
      <c r="C46" s="1" t="n">
        <v>1571</v>
      </c>
      <c r="D46" s="1" t="n">
        <v>1375</v>
      </c>
      <c r="E46" s="1" t="n">
        <v>2146</v>
      </c>
      <c r="F46" s="1" t="n">
        <v>2233</v>
      </c>
      <c r="G46" s="1" t="n">
        <v>2149</v>
      </c>
      <c r="K46" s="3" t="n">
        <v>46168.8525462963</v>
      </c>
      <c r="L46" s="1" t="s">
        <v>6</v>
      </c>
      <c r="M46" s="1" t="n">
        <v>1363</v>
      </c>
      <c r="N46" s="1" t="n">
        <v>90</v>
      </c>
    </row>
    <row r="47" customFormat="false" ht="13.8" hidden="false" customHeight="false" outlineLevel="0" collapsed="false">
      <c r="B47" s="1" t="n">
        <v>58.4</v>
      </c>
      <c r="C47" s="1" t="n">
        <v>1581</v>
      </c>
      <c r="D47" s="1" t="n">
        <v>1363</v>
      </c>
      <c r="E47" s="1" t="n">
        <v>2148</v>
      </c>
      <c r="F47" s="1" t="n">
        <v>2228</v>
      </c>
      <c r="G47" s="1" t="n">
        <v>2153</v>
      </c>
      <c r="K47" s="3" t="n">
        <v>46168.8528935185</v>
      </c>
      <c r="L47" s="1" t="s">
        <v>6</v>
      </c>
      <c r="M47" s="1" t="n">
        <v>1361</v>
      </c>
      <c r="N47" s="1" t="n">
        <v>90</v>
      </c>
    </row>
    <row r="48" customFormat="false" ht="13.8" hidden="false" customHeight="false" outlineLevel="0" collapsed="false">
      <c r="B48" s="1" t="n">
        <v>58.4</v>
      </c>
      <c r="C48" s="1" t="n">
        <v>1557</v>
      </c>
      <c r="D48" s="1" t="n">
        <v>1361</v>
      </c>
      <c r="E48" s="1" t="n">
        <v>2148</v>
      </c>
      <c r="F48" s="1" t="n">
        <v>2231</v>
      </c>
      <c r="G48" s="1" t="n">
        <v>2155</v>
      </c>
      <c r="K48" s="3" t="n">
        <v>46168.8532407407</v>
      </c>
      <c r="L48" s="1" t="s">
        <v>6</v>
      </c>
      <c r="M48" s="1" t="n">
        <v>1361</v>
      </c>
      <c r="N48" s="1" t="n">
        <v>90</v>
      </c>
    </row>
    <row r="49" customFormat="false" ht="13.8" hidden="false" customHeight="false" outlineLevel="0" collapsed="false">
      <c r="B49" s="1" t="n">
        <v>58.4</v>
      </c>
      <c r="C49" s="1" t="n">
        <v>1530</v>
      </c>
      <c r="D49" s="1" t="n">
        <v>1361</v>
      </c>
      <c r="E49" s="1" t="n">
        <v>2146</v>
      </c>
      <c r="F49" s="1" t="n">
        <v>2238</v>
      </c>
      <c r="G49" s="1" t="n">
        <v>2159</v>
      </c>
      <c r="K49" s="3" t="n">
        <v>46168.853599537</v>
      </c>
      <c r="L49" s="1" t="s">
        <v>6</v>
      </c>
      <c r="M49" s="1" t="n">
        <v>1360</v>
      </c>
      <c r="N49" s="1" t="n">
        <v>90</v>
      </c>
    </row>
    <row r="50" customFormat="false" ht="13.8" hidden="false" customHeight="false" outlineLevel="0" collapsed="false">
      <c r="B50" s="1" t="n">
        <v>58.4</v>
      </c>
      <c r="C50" s="1" t="n">
        <v>1573</v>
      </c>
      <c r="D50" s="1" t="n">
        <v>1360</v>
      </c>
      <c r="E50" s="1" t="n">
        <v>2153</v>
      </c>
      <c r="F50" s="1" t="n">
        <v>2238</v>
      </c>
      <c r="G50" s="1" t="n">
        <v>2139</v>
      </c>
      <c r="K50" s="3" t="n">
        <v>46168.8539467593</v>
      </c>
      <c r="L50" s="1" t="s">
        <v>6</v>
      </c>
      <c r="M50" s="1" t="n">
        <v>1362</v>
      </c>
      <c r="N50" s="1" t="n">
        <v>90</v>
      </c>
    </row>
    <row r="51" customFormat="false" ht="13.8" hidden="false" customHeight="false" outlineLevel="0" collapsed="false">
      <c r="B51" s="1" t="n">
        <v>58.4</v>
      </c>
      <c r="C51" s="1" t="n">
        <v>1587</v>
      </c>
      <c r="D51" s="1" t="n">
        <v>1362</v>
      </c>
      <c r="E51" s="1" t="n">
        <v>2155</v>
      </c>
      <c r="F51" s="1" t="n">
        <v>2238</v>
      </c>
      <c r="G51" s="1" t="n">
        <v>2157</v>
      </c>
      <c r="K51" s="3" t="n">
        <v>46168.8542939815</v>
      </c>
      <c r="L51" s="1" t="s">
        <v>6</v>
      </c>
      <c r="M51" s="1" t="n">
        <v>1362</v>
      </c>
      <c r="N51" s="1" t="n">
        <v>90</v>
      </c>
    </row>
    <row r="52" customFormat="false" ht="13.8" hidden="false" customHeight="false" outlineLevel="0" collapsed="false">
      <c r="B52" s="1" t="n">
        <v>58.4</v>
      </c>
      <c r="C52" s="1" t="n">
        <v>1556</v>
      </c>
      <c r="D52" s="1" t="n">
        <v>1362</v>
      </c>
      <c r="E52" s="1" t="n">
        <v>2157</v>
      </c>
      <c r="F52" s="1" t="n">
        <v>2243</v>
      </c>
      <c r="G52" s="1" t="n">
        <v>2158</v>
      </c>
      <c r="K52" s="3" t="n">
        <v>46168.8546412037</v>
      </c>
      <c r="L52" s="1" t="s">
        <v>6</v>
      </c>
      <c r="M52" s="1" t="n">
        <v>1360</v>
      </c>
      <c r="N52" s="1" t="n">
        <v>90</v>
      </c>
    </row>
    <row r="53" customFormat="false" ht="13.8" hidden="false" customHeight="false" outlineLevel="0" collapsed="false">
      <c r="B53" s="1" t="n">
        <v>58.4</v>
      </c>
      <c r="C53" s="1" t="n">
        <v>1535</v>
      </c>
      <c r="D53" s="1" t="n">
        <v>1360</v>
      </c>
      <c r="E53" s="1" t="n">
        <v>2151</v>
      </c>
      <c r="F53" s="1" t="n">
        <v>2236</v>
      </c>
      <c r="G53" s="1" t="n">
        <v>2160</v>
      </c>
      <c r="K53" s="3" t="n">
        <v>46168.8549884259</v>
      </c>
      <c r="L53" s="1" t="s">
        <v>6</v>
      </c>
      <c r="M53" s="1" t="n">
        <v>1360</v>
      </c>
      <c r="N53" s="1" t="n">
        <v>90</v>
      </c>
    </row>
    <row r="54" customFormat="false" ht="13.8" hidden="false" customHeight="false" outlineLevel="0" collapsed="false">
      <c r="B54" s="1" t="n">
        <v>58.4</v>
      </c>
      <c r="C54" s="1" t="n">
        <v>1563</v>
      </c>
      <c r="D54" s="1" t="n">
        <v>1360</v>
      </c>
      <c r="E54" s="1" t="n">
        <v>2154</v>
      </c>
      <c r="F54" s="1" t="n">
        <v>2240</v>
      </c>
      <c r="G54" s="1" t="n">
        <v>2159</v>
      </c>
      <c r="K54" s="3" t="n">
        <v>46168.8553356482</v>
      </c>
      <c r="L54" s="1" t="s">
        <v>6</v>
      </c>
      <c r="M54" s="1" t="n">
        <v>1360</v>
      </c>
      <c r="N54" s="1" t="n">
        <v>90</v>
      </c>
    </row>
    <row r="55" customFormat="false" ht="13.8" hidden="false" customHeight="false" outlineLevel="0" collapsed="false">
      <c r="B55" s="1" t="n">
        <v>58.4</v>
      </c>
      <c r="C55" s="1" t="n">
        <v>1559</v>
      </c>
      <c r="D55" s="1" t="n">
        <v>1360</v>
      </c>
      <c r="E55" s="1" t="n">
        <v>2156</v>
      </c>
      <c r="F55" s="1" t="n">
        <v>2242</v>
      </c>
      <c r="G55" s="1" t="n">
        <v>2160</v>
      </c>
      <c r="K55" s="3" t="n">
        <v>46168.8556828704</v>
      </c>
      <c r="L55" s="1" t="s">
        <v>6</v>
      </c>
      <c r="M55" s="1" t="n">
        <v>1353</v>
      </c>
      <c r="N55" s="1" t="n">
        <v>90</v>
      </c>
    </row>
    <row r="56" customFormat="false" ht="13.8" hidden="false" customHeight="false" outlineLevel="0" collapsed="false">
      <c r="B56" s="1" t="n">
        <v>58.2</v>
      </c>
      <c r="C56" s="1" t="n">
        <v>1571</v>
      </c>
      <c r="D56" s="1" t="n">
        <v>1353</v>
      </c>
      <c r="E56" s="1" t="n">
        <v>2158</v>
      </c>
      <c r="F56" s="1" t="n">
        <v>2238</v>
      </c>
      <c r="G56" s="1" t="n">
        <v>2160</v>
      </c>
      <c r="K56" s="3" t="n">
        <v>46168.8560300926</v>
      </c>
      <c r="L56" s="1" t="s">
        <v>6</v>
      </c>
      <c r="M56" s="1" t="n">
        <v>1390</v>
      </c>
      <c r="N56" s="1" t="n">
        <v>88</v>
      </c>
    </row>
    <row r="57" customFormat="false" ht="13.8" hidden="false" customHeight="false" outlineLevel="0" collapsed="false">
      <c r="B57" s="1" t="n">
        <v>58.4</v>
      </c>
      <c r="C57" s="1" t="n">
        <v>1565</v>
      </c>
      <c r="D57" s="1" t="n">
        <v>1390</v>
      </c>
      <c r="E57" s="1" t="n">
        <v>2174</v>
      </c>
      <c r="F57" s="1" t="n">
        <v>2241</v>
      </c>
      <c r="G57" s="1" t="n">
        <v>2160</v>
      </c>
      <c r="K57" s="3" t="n">
        <v>46168.8563888889</v>
      </c>
      <c r="L57" s="1" t="s">
        <v>6</v>
      </c>
      <c r="M57" s="1" t="n">
        <v>1360</v>
      </c>
      <c r="N57" s="1" t="n">
        <v>90</v>
      </c>
    </row>
    <row r="58" customFormat="false" ht="13.8" hidden="false" customHeight="false" outlineLevel="0" collapsed="false">
      <c r="B58" s="1" t="n">
        <v>58.4</v>
      </c>
      <c r="C58" s="1" t="n">
        <v>1534</v>
      </c>
      <c r="D58" s="1" t="n">
        <v>1360</v>
      </c>
      <c r="E58" s="1" t="n">
        <v>2160</v>
      </c>
      <c r="F58" s="1" t="n">
        <v>2239</v>
      </c>
      <c r="G58" s="1" t="n">
        <v>2161</v>
      </c>
      <c r="K58" s="3" t="n">
        <v>46168.8567361111</v>
      </c>
      <c r="L58" s="1" t="s">
        <v>6</v>
      </c>
      <c r="M58" s="1" t="n">
        <v>1362</v>
      </c>
      <c r="N58" s="1" t="n">
        <v>90</v>
      </c>
    </row>
    <row r="59" customFormat="false" ht="13.8" hidden="false" customHeight="false" outlineLevel="0" collapsed="false">
      <c r="B59" s="1" t="n">
        <v>58.4</v>
      </c>
      <c r="C59" s="1" t="n">
        <v>1598</v>
      </c>
      <c r="D59" s="1" t="n">
        <v>1362</v>
      </c>
      <c r="E59" s="1" t="n">
        <v>2160</v>
      </c>
      <c r="F59" s="1" t="n">
        <v>2241</v>
      </c>
      <c r="G59" s="1" t="n">
        <v>2162</v>
      </c>
      <c r="K59" s="3" t="n">
        <v>46168.8570949074</v>
      </c>
      <c r="L59" s="1" t="s">
        <v>6</v>
      </c>
      <c r="M59" s="1" t="n">
        <v>1360</v>
      </c>
      <c r="N59" s="1" t="n">
        <v>90</v>
      </c>
    </row>
    <row r="60" customFormat="false" ht="13.8" hidden="false" customHeight="false" outlineLevel="0" collapsed="false">
      <c r="B60" s="1" t="n">
        <v>58.4</v>
      </c>
      <c r="C60" s="1" t="n">
        <v>1559</v>
      </c>
      <c r="D60" s="1" t="n">
        <v>1360</v>
      </c>
      <c r="E60" s="1" t="n">
        <v>2160</v>
      </c>
      <c r="F60" s="1" t="n">
        <v>2243</v>
      </c>
      <c r="G60" s="1" t="n">
        <v>2164</v>
      </c>
      <c r="K60" s="3" t="n">
        <v>46168.8574305556</v>
      </c>
      <c r="L60" s="1" t="s">
        <v>6</v>
      </c>
      <c r="M60" s="1" t="n">
        <v>1366</v>
      </c>
      <c r="N60" s="1" t="n">
        <v>89</v>
      </c>
    </row>
    <row r="61" customFormat="false" ht="13.8" hidden="false" customHeight="false" outlineLevel="0" collapsed="false">
      <c r="B61" s="1" t="n">
        <v>58.4</v>
      </c>
      <c r="C61" s="1" t="n">
        <v>1509</v>
      </c>
      <c r="D61" s="1" t="n">
        <v>1366</v>
      </c>
      <c r="E61" s="1" t="n">
        <v>2160</v>
      </c>
      <c r="F61" s="1" t="n">
        <v>2243</v>
      </c>
      <c r="G61" s="1" t="n">
        <v>2162</v>
      </c>
      <c r="K61" s="3" t="n">
        <v>46168.8577893519</v>
      </c>
      <c r="L61" s="1" t="s">
        <v>6</v>
      </c>
      <c r="M61" s="1" t="n">
        <v>1360</v>
      </c>
      <c r="N61" s="1" t="n">
        <v>90</v>
      </c>
    </row>
    <row r="62" customFormat="false" ht="13.8" hidden="false" customHeight="false" outlineLevel="0" collapsed="false">
      <c r="B62" s="1" t="n">
        <v>58.4</v>
      </c>
      <c r="C62" s="1" t="n">
        <v>1563</v>
      </c>
      <c r="D62" s="1" t="n">
        <v>1360</v>
      </c>
      <c r="E62" s="1" t="n">
        <v>2159</v>
      </c>
      <c r="F62" s="1" t="n">
        <v>2243</v>
      </c>
      <c r="G62" s="1" t="n">
        <v>2163</v>
      </c>
      <c r="K62" s="3" t="n">
        <v>46168.8581365741</v>
      </c>
      <c r="L62" s="1" t="s">
        <v>6</v>
      </c>
      <c r="M62" s="1" t="n">
        <v>1364</v>
      </c>
      <c r="N62" s="1" t="n">
        <v>90</v>
      </c>
    </row>
    <row r="63" customFormat="false" ht="13.8" hidden="false" customHeight="false" outlineLevel="0" collapsed="false">
      <c r="B63" s="1" t="n">
        <v>58.4</v>
      </c>
      <c r="C63" s="1" t="n">
        <v>1535</v>
      </c>
      <c r="D63" s="1" t="n">
        <v>1364</v>
      </c>
      <c r="E63" s="1" t="n">
        <v>2160</v>
      </c>
      <c r="F63" s="1" t="n">
        <v>2242</v>
      </c>
      <c r="G63" s="1" t="n">
        <v>2164</v>
      </c>
      <c r="K63" s="3" t="n">
        <v>46168.8584837963</v>
      </c>
      <c r="L63" s="1" t="s">
        <v>6</v>
      </c>
      <c r="M63" s="1" t="n">
        <v>1360</v>
      </c>
      <c r="N63" s="1" t="n">
        <v>90</v>
      </c>
    </row>
    <row r="64" customFormat="false" ht="13.8" hidden="false" customHeight="false" outlineLevel="0" collapsed="false">
      <c r="B64" s="1"/>
      <c r="C64" s="1"/>
      <c r="D64" s="1"/>
      <c r="E64" s="1"/>
      <c r="F64" s="1"/>
      <c r="K64" s="3" t="n">
        <v>46168.8588425926</v>
      </c>
      <c r="L64" s="1" t="s">
        <v>6</v>
      </c>
      <c r="M64" s="1" t="n">
        <v>1366</v>
      </c>
      <c r="N64" s="1" t="n">
        <v>89</v>
      </c>
    </row>
    <row r="65" customFormat="false" ht="13.8" hidden="false" customHeight="false" outlineLevel="0" collapsed="false">
      <c r="B65" s="1"/>
      <c r="C65" s="1"/>
      <c r="D65" s="1"/>
      <c r="E65" s="1"/>
      <c r="K65" s="3" t="n">
        <v>46168.8591782407</v>
      </c>
      <c r="L65" s="1" t="s">
        <v>6</v>
      </c>
      <c r="M65" s="1" t="n">
        <v>1350</v>
      </c>
      <c r="N65" s="1" t="n">
        <v>90</v>
      </c>
    </row>
    <row r="66" customFormat="false" ht="13.8" hidden="false" customHeight="false" outlineLevel="0" collapsed="false">
      <c r="D66" s="1"/>
      <c r="K66" s="3" t="n">
        <v>46168.8368171296</v>
      </c>
      <c r="L66" s="1" t="s">
        <v>7</v>
      </c>
      <c r="M66" s="1" t="n">
        <v>1605</v>
      </c>
      <c r="N66" s="1" t="n">
        <v>100</v>
      </c>
    </row>
    <row r="67" customFormat="false" ht="13.8" hidden="false" customHeight="false" outlineLevel="0" collapsed="false">
      <c r="K67" s="3" t="n">
        <v>46168.8371527778</v>
      </c>
      <c r="L67" s="1" t="s">
        <v>7</v>
      </c>
      <c r="M67" s="1" t="n">
        <v>1796</v>
      </c>
      <c r="N67" s="1" t="n">
        <v>94</v>
      </c>
    </row>
    <row r="68" customFormat="false" ht="13.8" hidden="false" customHeight="false" outlineLevel="0" collapsed="false">
      <c r="K68" s="3" t="n">
        <v>46168.8374884259</v>
      </c>
      <c r="L68" s="1" t="s">
        <v>7</v>
      </c>
      <c r="M68" s="1" t="n">
        <v>1887</v>
      </c>
      <c r="N68" s="1" t="n">
        <v>85</v>
      </c>
    </row>
    <row r="69" customFormat="false" ht="13.8" hidden="false" customHeight="false" outlineLevel="0" collapsed="false">
      <c r="K69" s="3" t="n">
        <v>46168.8378472222</v>
      </c>
      <c r="L69" s="1" t="s">
        <v>7</v>
      </c>
      <c r="M69" s="1" t="n">
        <v>1936</v>
      </c>
      <c r="N69" s="1" t="n">
        <v>81</v>
      </c>
    </row>
    <row r="70" customFormat="false" ht="13.8" hidden="false" customHeight="false" outlineLevel="0" collapsed="false">
      <c r="K70" s="3" t="n">
        <v>46168.8381944444</v>
      </c>
      <c r="L70" s="1" t="s">
        <v>7</v>
      </c>
      <c r="M70" s="1" t="n">
        <v>1966</v>
      </c>
      <c r="N70" s="1" t="n">
        <v>78</v>
      </c>
    </row>
    <row r="71" customFormat="false" ht="13.8" hidden="false" customHeight="false" outlineLevel="0" collapsed="false">
      <c r="B71" s="1" t="s">
        <v>969</v>
      </c>
      <c r="C71" s="1" t="n">
        <f aca="false">AVERAGE($C$2:$C$69)</f>
        <v>1554.83870967742</v>
      </c>
      <c r="D71" s="1" t="n">
        <f aca="false">AVERAGE($D$2:$D$69)</f>
        <v>1366.83870967742</v>
      </c>
      <c r="E71" s="1" t="n">
        <f aca="false">AVERAGE($E$2:$E$69)</f>
        <v>2096.75806451613</v>
      </c>
      <c r="F71" s="1" t="n">
        <f aca="false">AVERAGE($F$2:$F$69)</f>
        <v>2201.41935483871</v>
      </c>
      <c r="G71" s="1" t="n">
        <f aca="false">AVERAGE($G$2:$G$69)</f>
        <v>2114.67741935484</v>
      </c>
      <c r="K71" s="3" t="n">
        <v>46168.8385532407</v>
      </c>
      <c r="L71" s="1" t="s">
        <v>7</v>
      </c>
      <c r="M71" s="1" t="n">
        <v>1986</v>
      </c>
      <c r="N71" s="1" t="n">
        <v>76</v>
      </c>
    </row>
    <row r="72" customFormat="false" ht="13.8" hidden="false" customHeight="false" outlineLevel="0" collapsed="false">
      <c r="B72" s="1" t="s">
        <v>970</v>
      </c>
      <c r="C72" s="1" t="n">
        <f aca="false">SQRT(VAR($C$2:$C$69)/COUNT($C$2:$C$69))</f>
        <v>2.77245588957591</v>
      </c>
      <c r="D72" s="1" t="n">
        <f aca="false">SQRT(VAR($D$2:$D$69)/COUNT($D$2:$D$69))</f>
        <v>2.38552766185646</v>
      </c>
      <c r="E72" s="1" t="n">
        <f aca="false">SQRT(VAR($E$2:$E$69)/COUNT($E$2:$E$69))</f>
        <v>11.9601330861902</v>
      </c>
      <c r="F72" s="1" t="n">
        <f aca="false">SQRT(VAR($F$2:$F$69)/COUNT($F$2:$F$69))</f>
        <v>9.90738573558876</v>
      </c>
      <c r="G72" s="1" t="n">
        <f aca="false">SQRT(VAR($G$2:$G$69)/COUNT($G$2:$G$69))</f>
        <v>7.85715860876255</v>
      </c>
      <c r="K72" s="3" t="n">
        <v>46168.838900463</v>
      </c>
      <c r="L72" s="1" t="s">
        <v>7</v>
      </c>
      <c r="M72" s="1" t="n">
        <v>2007</v>
      </c>
      <c r="N72" s="1" t="n">
        <v>74</v>
      </c>
    </row>
    <row r="73" customFormat="false" ht="13.8" hidden="false" customHeight="false" outlineLevel="0" collapsed="false">
      <c r="B73" s="1" t="s">
        <v>971</v>
      </c>
      <c r="C73" s="1" t="n">
        <f aca="false">MODE($C$2:$C$69)</f>
        <v>1535</v>
      </c>
      <c r="D73" s="1" t="n">
        <f aca="false">MODE($D$2:$D$69)</f>
        <v>1360</v>
      </c>
      <c r="E73" s="1" t="n">
        <f aca="false">MODE($E$2:$E$69)</f>
        <v>2160</v>
      </c>
      <c r="F73" s="1" t="n">
        <f aca="false">MODE($F$2:$F$69)</f>
        <v>2224</v>
      </c>
      <c r="G73" s="1" t="n">
        <f aca="false">MODE($G$2:$G$69)</f>
        <v>2160</v>
      </c>
      <c r="K73" s="3" t="n">
        <v>46168.8392476852</v>
      </c>
      <c r="L73" s="1" t="s">
        <v>7</v>
      </c>
      <c r="M73" s="1" t="n">
        <v>2027</v>
      </c>
      <c r="N73" s="1" t="n">
        <v>72</v>
      </c>
    </row>
    <row r="74" customFormat="false" ht="13.8" hidden="false" customHeight="false" outlineLevel="0" collapsed="false">
      <c r="B74" s="1" t="s">
        <v>972</v>
      </c>
      <c r="C74" s="1" t="n">
        <f aca="false">MEDIAN($C$2:$C$69)</f>
        <v>1556.5</v>
      </c>
      <c r="D74" s="1" t="n">
        <f aca="false">MEDIAN($D$2:$D$69)</f>
        <v>1363</v>
      </c>
      <c r="E74" s="1" t="n">
        <f aca="false">MEDIAN($E$2:$E$69)</f>
        <v>2125</v>
      </c>
      <c r="F74" s="1" t="n">
        <f aca="false">MEDIAN($F$2:$F$69)</f>
        <v>2224</v>
      </c>
      <c r="G74" s="1" t="n">
        <f aca="false">MEDIAN($G$2:$G$69)</f>
        <v>2134</v>
      </c>
      <c r="K74" s="3" t="n">
        <v>46168.8396064815</v>
      </c>
      <c r="L74" s="1" t="s">
        <v>7</v>
      </c>
      <c r="M74" s="1" t="n">
        <v>2037</v>
      </c>
      <c r="N74" s="1" t="n">
        <v>71</v>
      </c>
    </row>
    <row r="75" customFormat="false" ht="13.8" hidden="false" customHeight="false" outlineLevel="0" collapsed="false">
      <c r="B75" s="1" t="s">
        <v>973</v>
      </c>
      <c r="C75" s="1" t="n">
        <f aca="false">QUARTILE($C$2:$C$69, 1)</f>
        <v>1535</v>
      </c>
      <c r="D75" s="1" t="n">
        <f aca="false">QUARTILE($D$2:$D$69, 1)</f>
        <v>1361</v>
      </c>
      <c r="E75" s="1" t="n">
        <f aca="false">QUARTILE($E$2:$E$69, 1)</f>
        <v>2087.25</v>
      </c>
      <c r="F75" s="1" t="n">
        <f aca="false">QUARTILE($F$2:$F$69, 1)</f>
        <v>2201.25</v>
      </c>
      <c r="G75" s="1" t="n">
        <f aca="false">QUARTILE($G$2:$G$69, 1)</f>
        <v>2097.75</v>
      </c>
      <c r="K75" s="3" t="n">
        <v>46168.8399537037</v>
      </c>
      <c r="L75" s="1" t="s">
        <v>7</v>
      </c>
      <c r="M75" s="1" t="n">
        <v>2054</v>
      </c>
      <c r="N75" s="1" t="n">
        <v>70</v>
      </c>
    </row>
    <row r="76" customFormat="false" ht="13.8" hidden="false" customHeight="false" outlineLevel="0" collapsed="false">
      <c r="B76" s="1" t="s">
        <v>974</v>
      </c>
      <c r="C76" s="1" t="n">
        <f aca="false">QUARTILE($C$2:$C$69, 3)</f>
        <v>1570</v>
      </c>
      <c r="D76" s="1" t="n">
        <f aca="false">QUARTILE($D$2:$D$69, 3)</f>
        <v>1371</v>
      </c>
      <c r="E76" s="1" t="n">
        <f aca="false">QUARTILE($E$2:$E$69, 3)</f>
        <v>2147.5</v>
      </c>
      <c r="F76" s="1" t="n">
        <f aca="false">QUARTILE($F$2:$F$69, 3)</f>
        <v>2235.75</v>
      </c>
      <c r="G76" s="1" t="n">
        <f aca="false">QUARTILE($G$2:$G$69, 3)</f>
        <v>2154.5</v>
      </c>
      <c r="K76" s="3" t="n">
        <v>46168.8403356482</v>
      </c>
      <c r="L76" s="1" t="s">
        <v>7</v>
      </c>
      <c r="M76" s="1" t="n">
        <v>2064</v>
      </c>
      <c r="N76" s="1" t="n">
        <v>69</v>
      </c>
    </row>
    <row r="77" customFormat="false" ht="13.8" hidden="false" customHeight="false" outlineLevel="0" collapsed="false">
      <c r="B77" s="1" t="s">
        <v>975</v>
      </c>
      <c r="C77" s="1" t="n">
        <f aca="false">VAR($C$2:$C$69)</f>
        <v>476.563722897938</v>
      </c>
      <c r="D77" s="1" t="n">
        <f aca="false">VAR($D$2:$D$69)</f>
        <v>352.826017979905</v>
      </c>
      <c r="E77" s="1" t="n">
        <f aca="false">VAR($E$2:$E$69)</f>
        <v>8868.77657324167</v>
      </c>
      <c r="F77" s="1" t="n">
        <f aca="false">VAR($F$2:$F$69)</f>
        <v>6085.69011105235</v>
      </c>
      <c r="G77" s="1" t="n">
        <f aca="false">VAR($G$2:$G$69)</f>
        <v>3827.56636700159</v>
      </c>
      <c r="K77" s="3" t="n">
        <v>46168.8406481482</v>
      </c>
      <c r="L77" s="1" t="s">
        <v>7</v>
      </c>
      <c r="M77" s="1" t="n">
        <v>2067</v>
      </c>
      <c r="N77" s="1" t="n">
        <v>68</v>
      </c>
    </row>
    <row r="78" customFormat="false" ht="13.8" hidden="false" customHeight="false" outlineLevel="0" collapsed="false">
      <c r="B78" s="1" t="s">
        <v>976</v>
      </c>
      <c r="C78" s="1" t="n">
        <f aca="false">STDEV($C$2:$C$69)</f>
        <v>21.8303395048711</v>
      </c>
      <c r="D78" s="1" t="n">
        <f aca="false">STDEV($D$2:$D$69)</f>
        <v>18.7836635931307</v>
      </c>
      <c r="E78" s="1" t="n">
        <f aca="false">STDEV($E$2:$E$69)</f>
        <v>94.1741820948909</v>
      </c>
      <c r="F78" s="1" t="n">
        <f aca="false">STDEV($F$2:$F$69)</f>
        <v>78.0108332928982</v>
      </c>
      <c r="G78" s="1" t="n">
        <f aca="false">STDEV($G$2:$G$69)</f>
        <v>61.867328752756</v>
      </c>
      <c r="K78" s="3" t="n">
        <v>46168.8409953704</v>
      </c>
      <c r="L78" s="1" t="s">
        <v>7</v>
      </c>
      <c r="M78" s="1" t="n">
        <v>2075</v>
      </c>
      <c r="N78" s="1" t="n">
        <v>68</v>
      </c>
    </row>
    <row r="79" customFormat="false" ht="13.8" hidden="false" customHeight="false" outlineLevel="0" collapsed="false">
      <c r="B79" s="1" t="s">
        <v>977</v>
      </c>
      <c r="C79" s="1" t="n">
        <f aca="false">KURT($C$2:$C$69)</f>
        <v>-0.462236497569102</v>
      </c>
      <c r="D79" s="1" t="n">
        <f aca="false">KURT($D$2:$D$69)</f>
        <v>10.1348937858408</v>
      </c>
      <c r="E79" s="1" t="n">
        <f aca="false">KURT($E$2:$E$69)</f>
        <v>12.9647310011363</v>
      </c>
      <c r="F79" s="1" t="n">
        <f aca="false">KURT($F$2:$F$69)</f>
        <v>26.5650602247874</v>
      </c>
      <c r="G79" s="1" t="n">
        <f aca="false">KURT($G$2:$G$69)</f>
        <v>9.49335661235159</v>
      </c>
      <c r="K79" s="3" t="n">
        <v>46168.8413425926</v>
      </c>
      <c r="L79" s="1" t="s">
        <v>7</v>
      </c>
      <c r="M79" s="1" t="n">
        <v>2083</v>
      </c>
      <c r="N79" s="1" t="n">
        <v>67</v>
      </c>
    </row>
    <row r="80" customFormat="false" ht="13.8" hidden="false" customHeight="false" outlineLevel="0" collapsed="false">
      <c r="B80" s="1" t="s">
        <v>978</v>
      </c>
      <c r="C80" s="1" t="n">
        <f aca="false">SKEW($C$2:$C$69)</f>
        <v>0.265664618430922</v>
      </c>
      <c r="D80" s="1" t="n">
        <f aca="false">SKEW($D$2:$D$69)</f>
        <v>-0.279610835782977</v>
      </c>
      <c r="E80" s="1" t="n">
        <f aca="false">SKEW($E$2:$E$69)</f>
        <v>-3.24046096893966</v>
      </c>
      <c r="F80" s="1" t="n">
        <f aca="false">SKEW($F$2:$F$69)</f>
        <v>-4.72971761398697</v>
      </c>
      <c r="G80" s="1" t="n">
        <f aca="false">SKEW($G$2:$G$69)</f>
        <v>-2.73616569721555</v>
      </c>
      <c r="K80" s="3" t="n">
        <v>46168.8417013889</v>
      </c>
      <c r="L80" s="1" t="s">
        <v>7</v>
      </c>
      <c r="M80" s="1" t="n">
        <v>2084</v>
      </c>
      <c r="N80" s="1" t="n">
        <v>67</v>
      </c>
    </row>
    <row r="81" customFormat="false" ht="13.8" hidden="false" customHeight="false" outlineLevel="0" collapsed="false">
      <c r="B81" s="1" t="s">
        <v>979</v>
      </c>
      <c r="C81" s="1" t="n">
        <f aca="false">MAX($C$2:$C$69)-MIN($C$2:$C$69)</f>
        <v>104</v>
      </c>
      <c r="D81" s="1" t="n">
        <f aca="false">MAX($D$2:$D$69)-MIN($D$2:$D$69)</f>
        <v>157</v>
      </c>
      <c r="E81" s="1" t="n">
        <f aca="false">MAX($E$2:$E$69)-MIN($E$2:$E$69)</f>
        <v>569</v>
      </c>
      <c r="F81" s="1" t="n">
        <f aca="false">MAX($F$2:$F$69)-MIN($F$2:$F$69)</f>
        <v>531</v>
      </c>
      <c r="G81" s="1" t="n">
        <f aca="false">MAX($G$2:$G$69)-MIN($G$2:$G$69)</f>
        <v>349</v>
      </c>
      <c r="K81" s="3" t="n">
        <v>46168.8420486111</v>
      </c>
      <c r="L81" s="1" t="s">
        <v>7</v>
      </c>
      <c r="M81" s="1" t="n">
        <v>2091</v>
      </c>
      <c r="N81" s="1" t="n">
        <v>66</v>
      </c>
    </row>
    <row r="82" customFormat="false" ht="13.8" hidden="false" customHeight="false" outlineLevel="0" collapsed="false">
      <c r="B82" s="1" t="s">
        <v>980</v>
      </c>
      <c r="C82" s="1" t="n">
        <f aca="false">MIN($C$2:$C$69)</f>
        <v>1509</v>
      </c>
      <c r="D82" s="1" t="n">
        <f aca="false">MIN($D$2:$D$69)</f>
        <v>1280</v>
      </c>
      <c r="E82" s="1" t="n">
        <f aca="false">MIN($E$2:$E$69)</f>
        <v>1605</v>
      </c>
      <c r="F82" s="1" t="n">
        <f aca="false">MIN($F$2:$F$69)</f>
        <v>1712</v>
      </c>
      <c r="G82" s="1" t="n">
        <f aca="false">MIN($G$2:$G$69)</f>
        <v>1815</v>
      </c>
      <c r="K82" s="3" t="n">
        <v>46168.8424074074</v>
      </c>
      <c r="L82" s="1" t="s">
        <v>7</v>
      </c>
      <c r="M82" s="1" t="n">
        <v>2086</v>
      </c>
      <c r="N82" s="1" t="n">
        <v>66</v>
      </c>
    </row>
    <row r="83" customFormat="false" ht="13.8" hidden="false" customHeight="false" outlineLevel="0" collapsed="false">
      <c r="B83" s="1" t="s">
        <v>981</v>
      </c>
      <c r="C83" s="1" t="n">
        <f aca="false">MAX($C$2:$C$69)</f>
        <v>1613</v>
      </c>
      <c r="D83" s="1" t="n">
        <f aca="false">MAX($D$2:$D$69)</f>
        <v>1437</v>
      </c>
      <c r="E83" s="1" t="n">
        <f aca="false">MAX($E$2:$E$69)</f>
        <v>2174</v>
      </c>
      <c r="F83" s="1" t="n">
        <f aca="false">MAX($F$2:$F$69)</f>
        <v>2243</v>
      </c>
      <c r="G83" s="1" t="n">
        <f aca="false">MAX($G$2:$G$69)</f>
        <v>2164</v>
      </c>
      <c r="K83" s="3" t="n">
        <v>46168.8427777778</v>
      </c>
      <c r="L83" s="1" t="s">
        <v>7</v>
      </c>
      <c r="M83" s="1" t="n">
        <v>2097</v>
      </c>
      <c r="N83" s="1" t="n">
        <v>65</v>
      </c>
    </row>
    <row r="84" customFormat="false" ht="13.8" hidden="false" customHeight="false" outlineLevel="0" collapsed="false">
      <c r="B84" s="1" t="s">
        <v>982</v>
      </c>
      <c r="C84" s="1" t="n">
        <f aca="false">SUM($C$2:$C$69)</f>
        <v>96400</v>
      </c>
      <c r="D84" s="1" t="n">
        <f aca="false">SUM($D$2:$D$69)</f>
        <v>84744</v>
      </c>
      <c r="E84" s="1" t="n">
        <f aca="false">SUM($E$2:$E$69)</f>
        <v>129999</v>
      </c>
      <c r="F84" s="1" t="n">
        <f aca="false">SUM($F$2:$F$69)</f>
        <v>136488</v>
      </c>
      <c r="G84" s="1" t="n">
        <f aca="false">SUM($G$2:$G$69)</f>
        <v>131110</v>
      </c>
      <c r="K84" s="3" t="n">
        <v>46168.8431018519</v>
      </c>
      <c r="L84" s="1" t="s">
        <v>7</v>
      </c>
      <c r="M84" s="1" t="n">
        <v>2100</v>
      </c>
      <c r="N84" s="1" t="n">
        <v>65</v>
      </c>
    </row>
    <row r="85" customFormat="false" ht="13.8" hidden="false" customHeight="false" outlineLevel="0" collapsed="false">
      <c r="B85" s="1" t="s">
        <v>983</v>
      </c>
      <c r="C85" s="1" t="n">
        <f aca="false">COUNT($C$2:$C$69)</f>
        <v>62</v>
      </c>
      <c r="D85" s="1" t="n">
        <f aca="false">COUNT($D$2:$D$69)</f>
        <v>62</v>
      </c>
      <c r="E85" s="1" t="n">
        <f aca="false">COUNT($E$2:$E$69)</f>
        <v>62</v>
      </c>
      <c r="F85" s="1" t="n">
        <f aca="false">COUNT($F$2:$F$69)</f>
        <v>62</v>
      </c>
      <c r="G85" s="1" t="n">
        <f aca="false">COUNT($G$2:$G$69)</f>
        <v>62</v>
      </c>
      <c r="K85" s="3" t="n">
        <v>46168.8434490741</v>
      </c>
      <c r="L85" s="1" t="s">
        <v>7</v>
      </c>
      <c r="M85" s="1" t="n">
        <v>2102</v>
      </c>
      <c r="N85" s="1" t="n">
        <v>65</v>
      </c>
    </row>
    <row r="86" customFormat="false" ht="13.8" hidden="false" customHeight="false" outlineLevel="0" collapsed="false">
      <c r="K86" s="3" t="n">
        <v>46168.8438078704</v>
      </c>
      <c r="L86" s="1" t="s">
        <v>7</v>
      </c>
      <c r="M86" s="1" t="n">
        <v>2109</v>
      </c>
      <c r="N86" s="1" t="n">
        <v>64</v>
      </c>
    </row>
    <row r="87" customFormat="false" ht="13.8" hidden="false" customHeight="false" outlineLevel="0" collapsed="false">
      <c r="K87" s="3" t="n">
        <v>46168.8441666667</v>
      </c>
      <c r="L87" s="1" t="s">
        <v>7</v>
      </c>
      <c r="M87" s="1" t="n">
        <v>2112</v>
      </c>
      <c r="N87" s="1" t="n">
        <v>64</v>
      </c>
    </row>
    <row r="88" customFormat="false" ht="13.8" hidden="false" customHeight="false" outlineLevel="0" collapsed="false">
      <c r="K88" s="3" t="n">
        <v>46168.8445138889</v>
      </c>
      <c r="L88" s="1" t="s">
        <v>7</v>
      </c>
      <c r="M88" s="1" t="n">
        <v>2108</v>
      </c>
      <c r="N88" s="1" t="n">
        <v>64</v>
      </c>
    </row>
    <row r="89" customFormat="false" ht="13.8" hidden="false" customHeight="false" outlineLevel="0" collapsed="false">
      <c r="K89" s="3" t="n">
        <v>46168.844849537</v>
      </c>
      <c r="L89" s="1" t="s">
        <v>7</v>
      </c>
      <c r="M89" s="1" t="n">
        <v>2113</v>
      </c>
      <c r="N89" s="1" t="n">
        <v>64</v>
      </c>
    </row>
    <row r="90" customFormat="false" ht="13.8" hidden="false" customHeight="false" outlineLevel="0" collapsed="false">
      <c r="K90" s="3" t="n">
        <v>46168.8451967593</v>
      </c>
      <c r="L90" s="1" t="s">
        <v>7</v>
      </c>
      <c r="M90" s="1" t="n">
        <v>2114</v>
      </c>
      <c r="N90" s="1" t="n">
        <v>64</v>
      </c>
    </row>
    <row r="91" customFormat="false" ht="13.8" hidden="false" customHeight="false" outlineLevel="0" collapsed="false">
      <c r="K91" s="3" t="n">
        <v>46168.8455555556</v>
      </c>
      <c r="L91" s="1" t="s">
        <v>7</v>
      </c>
      <c r="M91" s="1" t="n">
        <v>2122</v>
      </c>
      <c r="N91" s="1" t="n">
        <v>63</v>
      </c>
    </row>
    <row r="92" customFormat="false" ht="13.8" hidden="false" customHeight="false" outlineLevel="0" collapsed="false">
      <c r="K92" s="3" t="n">
        <v>46168.8459027778</v>
      </c>
      <c r="L92" s="1" t="s">
        <v>7</v>
      </c>
      <c r="M92" s="1" t="n">
        <v>2121</v>
      </c>
      <c r="N92" s="1" t="n">
        <v>63</v>
      </c>
    </row>
    <row r="93" customFormat="false" ht="13.8" hidden="false" customHeight="false" outlineLevel="0" collapsed="false">
      <c r="K93" s="3" t="n">
        <v>46168.8462384259</v>
      </c>
      <c r="L93" s="1" t="s">
        <v>7</v>
      </c>
      <c r="M93" s="1" t="n">
        <v>2121</v>
      </c>
      <c r="N93" s="1" t="n">
        <v>63</v>
      </c>
    </row>
    <row r="94" customFormat="false" ht="13.8" hidden="false" customHeight="false" outlineLevel="0" collapsed="false">
      <c r="K94" s="3" t="n">
        <v>46168.8465972222</v>
      </c>
      <c r="L94" s="1" t="s">
        <v>7</v>
      </c>
      <c r="M94" s="1" t="n">
        <v>2122</v>
      </c>
      <c r="N94" s="1" t="n">
        <v>63</v>
      </c>
    </row>
    <row r="95" customFormat="false" ht="13.8" hidden="false" customHeight="false" outlineLevel="0" collapsed="false">
      <c r="K95" s="3" t="n">
        <v>46168.8469560185</v>
      </c>
      <c r="L95" s="1" t="s">
        <v>7</v>
      </c>
      <c r="M95" s="1" t="n">
        <v>2119</v>
      </c>
      <c r="N95" s="1" t="n">
        <v>63</v>
      </c>
    </row>
    <row r="96" customFormat="false" ht="13.8" hidden="false" customHeight="false" outlineLevel="0" collapsed="false">
      <c r="K96" s="3" t="n">
        <v>46168.8473032407</v>
      </c>
      <c r="L96" s="1" t="s">
        <v>7</v>
      </c>
      <c r="M96" s="1" t="n">
        <v>2119</v>
      </c>
      <c r="N96" s="1" t="n">
        <v>63</v>
      </c>
    </row>
    <row r="97" customFormat="false" ht="13.8" hidden="false" customHeight="false" outlineLevel="0" collapsed="false">
      <c r="K97" s="3" t="n">
        <v>46168.847650463</v>
      </c>
      <c r="L97" s="1" t="s">
        <v>7</v>
      </c>
      <c r="M97" s="1" t="n">
        <v>2128</v>
      </c>
      <c r="N97" s="1" t="n">
        <v>62</v>
      </c>
    </row>
    <row r="98" customFormat="false" ht="13.8" hidden="false" customHeight="false" outlineLevel="0" collapsed="false">
      <c r="K98" s="3" t="n">
        <v>46168.8479976852</v>
      </c>
      <c r="L98" s="1" t="s">
        <v>7</v>
      </c>
      <c r="M98" s="1" t="n">
        <v>2128</v>
      </c>
      <c r="N98" s="1" t="n">
        <v>62</v>
      </c>
    </row>
    <row r="99" customFormat="false" ht="13.8" hidden="false" customHeight="false" outlineLevel="0" collapsed="false">
      <c r="K99" s="3" t="n">
        <v>46168.8483449074</v>
      </c>
      <c r="L99" s="1" t="s">
        <v>7</v>
      </c>
      <c r="M99" s="1" t="n">
        <v>2130</v>
      </c>
      <c r="N99" s="1" t="n">
        <v>62</v>
      </c>
    </row>
    <row r="100" customFormat="false" ht="13.8" hidden="false" customHeight="false" outlineLevel="0" collapsed="false">
      <c r="K100" s="3" t="n">
        <v>46168.8486921296</v>
      </c>
      <c r="L100" s="1" t="s">
        <v>7</v>
      </c>
      <c r="M100" s="1" t="n">
        <v>2132</v>
      </c>
      <c r="N100" s="1" t="n">
        <v>62</v>
      </c>
    </row>
    <row r="101" customFormat="false" ht="13.8" hidden="false" customHeight="false" outlineLevel="0" collapsed="false">
      <c r="K101" s="3" t="n">
        <v>46168.8490393519</v>
      </c>
      <c r="L101" s="1" t="s">
        <v>7</v>
      </c>
      <c r="M101" s="1" t="n">
        <v>2135</v>
      </c>
      <c r="N101" s="1" t="n">
        <v>62</v>
      </c>
    </row>
    <row r="102" customFormat="false" ht="13.8" hidden="false" customHeight="false" outlineLevel="0" collapsed="false">
      <c r="K102" s="3" t="n">
        <v>46168.8493865741</v>
      </c>
      <c r="L102" s="1" t="s">
        <v>7</v>
      </c>
      <c r="M102" s="1" t="n">
        <v>2131</v>
      </c>
      <c r="N102" s="1" t="n">
        <v>62</v>
      </c>
    </row>
    <row r="103" customFormat="false" ht="13.8" hidden="false" customHeight="false" outlineLevel="0" collapsed="false">
      <c r="K103" s="3" t="n">
        <v>46168.8497453704</v>
      </c>
      <c r="L103" s="1" t="s">
        <v>7</v>
      </c>
      <c r="M103" s="1" t="n">
        <v>2134</v>
      </c>
      <c r="N103" s="1" t="n">
        <v>62</v>
      </c>
    </row>
    <row r="104" customFormat="false" ht="13.8" hidden="false" customHeight="false" outlineLevel="0" collapsed="false">
      <c r="K104" s="3" t="n">
        <v>46168.8500925926</v>
      </c>
      <c r="L104" s="1" t="s">
        <v>7</v>
      </c>
      <c r="M104" s="1" t="n">
        <v>2138</v>
      </c>
      <c r="N104" s="1" t="n">
        <v>61</v>
      </c>
    </row>
    <row r="105" customFormat="false" ht="13.8" hidden="false" customHeight="false" outlineLevel="0" collapsed="false">
      <c r="K105" s="3" t="n">
        <v>46168.8504398148</v>
      </c>
      <c r="L105" s="1" t="s">
        <v>7</v>
      </c>
      <c r="M105" s="1" t="n">
        <v>2141</v>
      </c>
      <c r="N105" s="1" t="n">
        <v>61</v>
      </c>
    </row>
    <row r="106" customFormat="false" ht="13.8" hidden="false" customHeight="false" outlineLevel="0" collapsed="false">
      <c r="K106" s="3" t="n">
        <v>46168.850787037</v>
      </c>
      <c r="L106" s="1" t="s">
        <v>7</v>
      </c>
      <c r="M106" s="1" t="n">
        <v>2141</v>
      </c>
      <c r="N106" s="1" t="n">
        <v>61</v>
      </c>
    </row>
    <row r="107" customFormat="false" ht="13.8" hidden="false" customHeight="false" outlineLevel="0" collapsed="false">
      <c r="K107" s="3" t="n">
        <v>46168.8511342593</v>
      </c>
      <c r="L107" s="1" t="s">
        <v>7</v>
      </c>
      <c r="M107" s="1" t="n">
        <v>2138</v>
      </c>
      <c r="N107" s="1" t="n">
        <v>61</v>
      </c>
    </row>
    <row r="108" customFormat="false" ht="13.8" hidden="false" customHeight="false" outlineLevel="0" collapsed="false">
      <c r="K108" s="3" t="n">
        <v>46168.8514930556</v>
      </c>
      <c r="L108" s="1" t="s">
        <v>7</v>
      </c>
      <c r="M108" s="1" t="n">
        <v>2145</v>
      </c>
      <c r="N108" s="1" t="n">
        <v>61</v>
      </c>
    </row>
    <row r="109" customFormat="false" ht="13.8" hidden="false" customHeight="false" outlineLevel="0" collapsed="false">
      <c r="K109" s="3" t="n">
        <v>46168.8518518519</v>
      </c>
      <c r="L109" s="1" t="s">
        <v>7</v>
      </c>
      <c r="M109" s="1" t="n">
        <v>2143</v>
      </c>
      <c r="N109" s="1" t="n">
        <v>61</v>
      </c>
    </row>
    <row r="110" customFormat="false" ht="13.8" hidden="false" customHeight="false" outlineLevel="0" collapsed="false">
      <c r="K110" s="3" t="n">
        <v>46168.8521990741</v>
      </c>
      <c r="L110" s="1" t="s">
        <v>7</v>
      </c>
      <c r="M110" s="1" t="n">
        <v>2146</v>
      </c>
      <c r="N110" s="1" t="n">
        <v>61</v>
      </c>
    </row>
    <row r="111" customFormat="false" ht="13.8" hidden="false" customHeight="false" outlineLevel="0" collapsed="false">
      <c r="K111" s="3" t="n">
        <v>46168.8525462963</v>
      </c>
      <c r="L111" s="1" t="s">
        <v>7</v>
      </c>
      <c r="M111" s="1" t="n">
        <v>2148</v>
      </c>
      <c r="N111" s="1" t="n">
        <v>61</v>
      </c>
    </row>
    <row r="112" customFormat="false" ht="13.8" hidden="false" customHeight="false" outlineLevel="0" collapsed="false">
      <c r="K112" s="3" t="n">
        <v>46168.8529050926</v>
      </c>
      <c r="L112" s="1" t="s">
        <v>7</v>
      </c>
      <c r="M112" s="1" t="n">
        <v>2148</v>
      </c>
      <c r="N112" s="1" t="n">
        <v>61</v>
      </c>
    </row>
    <row r="113" customFormat="false" ht="13.8" hidden="false" customHeight="false" outlineLevel="0" collapsed="false">
      <c r="K113" s="3" t="n">
        <v>46168.8532523148</v>
      </c>
      <c r="L113" s="1" t="s">
        <v>7</v>
      </c>
      <c r="M113" s="1" t="n">
        <v>2146</v>
      </c>
      <c r="N113" s="1" t="n">
        <v>61</v>
      </c>
    </row>
    <row r="114" customFormat="false" ht="13.8" hidden="false" customHeight="false" outlineLevel="0" collapsed="false">
      <c r="K114" s="3" t="n">
        <v>46168.853599537</v>
      </c>
      <c r="L114" s="1" t="s">
        <v>7</v>
      </c>
      <c r="M114" s="1" t="n">
        <v>2153</v>
      </c>
      <c r="N114" s="1" t="n">
        <v>60</v>
      </c>
    </row>
    <row r="115" customFormat="false" ht="13.8" hidden="false" customHeight="false" outlineLevel="0" collapsed="false">
      <c r="K115" s="3" t="n">
        <v>46168.8539467593</v>
      </c>
      <c r="L115" s="1" t="s">
        <v>7</v>
      </c>
      <c r="M115" s="1" t="n">
        <v>2155</v>
      </c>
      <c r="N115" s="1" t="n">
        <v>60</v>
      </c>
    </row>
    <row r="116" customFormat="false" ht="13.8" hidden="false" customHeight="false" outlineLevel="0" collapsed="false">
      <c r="K116" s="3" t="n">
        <v>46168.8542939815</v>
      </c>
      <c r="L116" s="1" t="s">
        <v>7</v>
      </c>
      <c r="M116" s="1" t="n">
        <v>2157</v>
      </c>
      <c r="N116" s="1" t="n">
        <v>60</v>
      </c>
    </row>
    <row r="117" customFormat="false" ht="13.8" hidden="false" customHeight="false" outlineLevel="0" collapsed="false">
      <c r="K117" s="3" t="n">
        <v>46168.8546412037</v>
      </c>
      <c r="L117" s="1" t="s">
        <v>7</v>
      </c>
      <c r="M117" s="1" t="n">
        <v>2151</v>
      </c>
      <c r="N117" s="1" t="n">
        <v>60</v>
      </c>
    </row>
    <row r="118" customFormat="false" ht="13.8" hidden="false" customHeight="false" outlineLevel="0" collapsed="false">
      <c r="K118" s="3" t="n">
        <v>46168.855</v>
      </c>
      <c r="L118" s="1" t="s">
        <v>7</v>
      </c>
      <c r="M118" s="1" t="n">
        <v>2154</v>
      </c>
      <c r="N118" s="1" t="n">
        <v>60</v>
      </c>
    </row>
    <row r="119" customFormat="false" ht="13.8" hidden="false" customHeight="false" outlineLevel="0" collapsed="false">
      <c r="K119" s="3" t="n">
        <v>46168.8553356482</v>
      </c>
      <c r="L119" s="1" t="s">
        <v>7</v>
      </c>
      <c r="M119" s="1" t="n">
        <v>2156</v>
      </c>
      <c r="N119" s="1" t="n">
        <v>60</v>
      </c>
    </row>
    <row r="120" customFormat="false" ht="13.8" hidden="false" customHeight="false" outlineLevel="0" collapsed="false">
      <c r="K120" s="3" t="n">
        <v>46168.8556828704</v>
      </c>
      <c r="L120" s="1" t="s">
        <v>7</v>
      </c>
      <c r="M120" s="1" t="n">
        <v>2158</v>
      </c>
      <c r="N120" s="1" t="n">
        <v>60</v>
      </c>
    </row>
    <row r="121" customFormat="false" ht="13.8" hidden="false" customHeight="false" outlineLevel="0" collapsed="false">
      <c r="K121" s="3" t="n">
        <v>46168.8560416667</v>
      </c>
      <c r="L121" s="1" t="s">
        <v>7</v>
      </c>
      <c r="M121" s="1" t="n">
        <v>2174</v>
      </c>
      <c r="N121" s="1" t="n">
        <v>58</v>
      </c>
    </row>
    <row r="122" customFormat="false" ht="13.8" hidden="false" customHeight="false" outlineLevel="0" collapsed="false">
      <c r="K122" s="3" t="n">
        <v>46168.8563888889</v>
      </c>
      <c r="L122" s="1" t="s">
        <v>7</v>
      </c>
      <c r="M122" s="1" t="n">
        <v>2160</v>
      </c>
      <c r="N122" s="1" t="n">
        <v>59</v>
      </c>
    </row>
    <row r="123" customFormat="false" ht="13.8" hidden="false" customHeight="false" outlineLevel="0" collapsed="false">
      <c r="K123" s="3" t="n">
        <v>46168.8567361111</v>
      </c>
      <c r="L123" s="1" t="s">
        <v>7</v>
      </c>
      <c r="M123" s="1" t="n">
        <v>2160</v>
      </c>
      <c r="N123" s="1" t="n">
        <v>59</v>
      </c>
    </row>
    <row r="124" customFormat="false" ht="13.8" hidden="false" customHeight="false" outlineLevel="0" collapsed="false">
      <c r="K124" s="3" t="n">
        <v>46168.8570949074</v>
      </c>
      <c r="L124" s="1" t="s">
        <v>7</v>
      </c>
      <c r="M124" s="1" t="n">
        <v>2160</v>
      </c>
      <c r="N124" s="1" t="n">
        <v>59</v>
      </c>
    </row>
    <row r="125" customFormat="false" ht="13.8" hidden="false" customHeight="false" outlineLevel="0" collapsed="false">
      <c r="K125" s="3" t="n">
        <v>46168.8574421296</v>
      </c>
      <c r="L125" s="1" t="s">
        <v>7</v>
      </c>
      <c r="M125" s="1" t="n">
        <v>2160</v>
      </c>
      <c r="N125" s="1" t="n">
        <v>59</v>
      </c>
    </row>
    <row r="126" customFormat="false" ht="13.8" hidden="false" customHeight="false" outlineLevel="0" collapsed="false">
      <c r="K126" s="3" t="n">
        <v>46168.8577893519</v>
      </c>
      <c r="L126" s="1" t="s">
        <v>7</v>
      </c>
      <c r="M126" s="1" t="n">
        <v>2159</v>
      </c>
      <c r="N126" s="1" t="n">
        <v>59</v>
      </c>
    </row>
    <row r="127" customFormat="false" ht="13.8" hidden="false" customHeight="false" outlineLevel="0" collapsed="false">
      <c r="K127" s="3" t="n">
        <v>46168.8581365741</v>
      </c>
      <c r="L127" s="1" t="s">
        <v>7</v>
      </c>
      <c r="M127" s="1" t="n">
        <v>2160</v>
      </c>
      <c r="N127" s="1" t="n">
        <v>59</v>
      </c>
    </row>
    <row r="128" customFormat="false" ht="13.8" hidden="false" customHeight="false" outlineLevel="0" collapsed="false">
      <c r="K128" s="3" t="n">
        <v>46168.8584953704</v>
      </c>
      <c r="L128" s="1" t="s">
        <v>7</v>
      </c>
      <c r="M128" s="1" t="n">
        <v>2164</v>
      </c>
      <c r="N128" s="1" t="n">
        <v>59</v>
      </c>
    </row>
    <row r="129" customFormat="false" ht="13.8" hidden="false" customHeight="false" outlineLevel="0" collapsed="false">
      <c r="K129" s="3" t="n">
        <v>46168.8588425926</v>
      </c>
      <c r="L129" s="1" t="s">
        <v>7</v>
      </c>
      <c r="M129" s="1" t="n">
        <v>2161</v>
      </c>
      <c r="N129" s="1" t="n">
        <v>59</v>
      </c>
    </row>
    <row r="130" customFormat="false" ht="13.8" hidden="false" customHeight="false" outlineLevel="0" collapsed="false">
      <c r="K130" s="3" t="n">
        <v>46168.8367939815</v>
      </c>
      <c r="L130" s="1" t="s">
        <v>4</v>
      </c>
      <c r="M130" s="1" t="n">
        <v>1513</v>
      </c>
      <c r="N130" s="1" t="n">
        <v>85</v>
      </c>
    </row>
    <row r="131" customFormat="false" ht="13.8" hidden="false" customHeight="false" outlineLevel="0" collapsed="false">
      <c r="K131" s="3" t="n">
        <v>46168.8371296296</v>
      </c>
      <c r="L131" s="1" t="s">
        <v>4</v>
      </c>
      <c r="M131" s="1" t="n">
        <v>1535</v>
      </c>
      <c r="N131" s="1" t="n">
        <v>84</v>
      </c>
    </row>
    <row r="132" customFormat="false" ht="13.8" hidden="false" customHeight="false" outlineLevel="0" collapsed="false">
      <c r="K132" s="3" t="n">
        <v>46168.8374884259</v>
      </c>
      <c r="L132" s="1" t="s">
        <v>4</v>
      </c>
      <c r="M132" s="1" t="n">
        <v>1584</v>
      </c>
      <c r="N132" s="1" t="n">
        <v>81</v>
      </c>
    </row>
    <row r="133" customFormat="false" ht="13.8" hidden="false" customHeight="false" outlineLevel="0" collapsed="false">
      <c r="K133" s="3" t="n">
        <v>46168.8378356482</v>
      </c>
      <c r="L133" s="1" t="s">
        <v>4</v>
      </c>
      <c r="M133" s="1" t="n">
        <v>1565</v>
      </c>
      <c r="N133" s="1" t="n">
        <v>82</v>
      </c>
    </row>
    <row r="134" customFormat="false" ht="13.8" hidden="false" customHeight="false" outlineLevel="0" collapsed="false">
      <c r="K134" s="3" t="n">
        <v>46168.8381828704</v>
      </c>
      <c r="L134" s="1" t="s">
        <v>4</v>
      </c>
      <c r="M134" s="1" t="n">
        <v>1535</v>
      </c>
      <c r="N134" s="1" t="n">
        <v>84</v>
      </c>
    </row>
    <row r="135" customFormat="false" ht="13.8" hidden="false" customHeight="false" outlineLevel="0" collapsed="false">
      <c r="K135" s="3" t="n">
        <v>46168.8385416667</v>
      </c>
      <c r="L135" s="1" t="s">
        <v>4</v>
      </c>
      <c r="M135" s="1" t="n">
        <v>1535</v>
      </c>
      <c r="N135" s="1" t="n">
        <v>84</v>
      </c>
    </row>
    <row r="136" customFormat="false" ht="13.8" hidden="false" customHeight="false" outlineLevel="0" collapsed="false">
      <c r="K136" s="3" t="n">
        <v>46168.8388888889</v>
      </c>
      <c r="L136" s="1" t="s">
        <v>4</v>
      </c>
      <c r="M136" s="1" t="n">
        <v>1579</v>
      </c>
      <c r="N136" s="1" t="n">
        <v>81</v>
      </c>
    </row>
    <row r="137" customFormat="false" ht="13.8" hidden="false" customHeight="false" outlineLevel="0" collapsed="false">
      <c r="K137" s="3" t="n">
        <v>46168.8392361111</v>
      </c>
      <c r="L137" s="1" t="s">
        <v>4</v>
      </c>
      <c r="M137" s="1" t="n">
        <v>1557</v>
      </c>
      <c r="N137" s="1" t="n">
        <v>82</v>
      </c>
    </row>
    <row r="138" customFormat="false" ht="13.8" hidden="false" customHeight="false" outlineLevel="0" collapsed="false">
      <c r="K138" s="3" t="n">
        <v>46168.8395949074</v>
      </c>
      <c r="L138" s="1" t="s">
        <v>4</v>
      </c>
      <c r="M138" s="1" t="n">
        <v>1567</v>
      </c>
      <c r="N138" s="1" t="n">
        <v>82</v>
      </c>
    </row>
    <row r="139" customFormat="false" ht="13.8" hidden="false" customHeight="false" outlineLevel="0" collapsed="false">
      <c r="K139" s="3" t="n">
        <v>46168.8399421296</v>
      </c>
      <c r="L139" s="1" t="s">
        <v>4</v>
      </c>
      <c r="M139" s="1" t="n">
        <v>1534</v>
      </c>
      <c r="N139" s="1" t="n">
        <v>84</v>
      </c>
    </row>
    <row r="140" customFormat="false" ht="13.8" hidden="false" customHeight="false" outlineLevel="0" collapsed="false">
      <c r="K140" s="3" t="n">
        <v>46168.8403009259</v>
      </c>
      <c r="L140" s="1" t="s">
        <v>4</v>
      </c>
      <c r="M140" s="1" t="n">
        <v>1535</v>
      </c>
      <c r="N140" s="1" t="n">
        <v>84</v>
      </c>
    </row>
    <row r="141" customFormat="false" ht="13.8" hidden="false" customHeight="false" outlineLevel="0" collapsed="false">
      <c r="K141" s="3" t="n">
        <v>46168.8406365741</v>
      </c>
      <c r="L141" s="1" t="s">
        <v>4</v>
      </c>
      <c r="M141" s="1" t="n">
        <v>1584</v>
      </c>
      <c r="N141" s="1" t="n">
        <v>81</v>
      </c>
    </row>
    <row r="142" customFormat="false" ht="13.8" hidden="false" customHeight="false" outlineLevel="0" collapsed="false">
      <c r="K142" s="3" t="n">
        <v>46168.8409953704</v>
      </c>
      <c r="L142" s="1" t="s">
        <v>4</v>
      </c>
      <c r="M142" s="1" t="n">
        <v>1587</v>
      </c>
      <c r="N142" s="1" t="n">
        <v>80</v>
      </c>
    </row>
    <row r="143" customFormat="false" ht="13.8" hidden="false" customHeight="false" outlineLevel="0" collapsed="false">
      <c r="K143" s="3" t="n">
        <v>46168.8413425926</v>
      </c>
      <c r="L143" s="1" t="s">
        <v>4</v>
      </c>
      <c r="M143" s="1" t="n">
        <v>1571</v>
      </c>
      <c r="N143" s="1" t="n">
        <v>81</v>
      </c>
    </row>
    <row r="144" customFormat="false" ht="13.8" hidden="false" customHeight="false" outlineLevel="0" collapsed="false">
      <c r="K144" s="3" t="n">
        <v>46168.8416898148</v>
      </c>
      <c r="L144" s="1" t="s">
        <v>4</v>
      </c>
      <c r="M144" s="1" t="n">
        <v>1584</v>
      </c>
      <c r="N144" s="1" t="n">
        <v>81</v>
      </c>
    </row>
    <row r="145" customFormat="false" ht="13.8" hidden="false" customHeight="false" outlineLevel="0" collapsed="false">
      <c r="K145" s="3" t="n">
        <v>46168.842037037</v>
      </c>
      <c r="L145" s="1" t="s">
        <v>4</v>
      </c>
      <c r="M145" s="1" t="n">
        <v>1535</v>
      </c>
      <c r="N145" s="1" t="n">
        <v>84</v>
      </c>
    </row>
    <row r="146" customFormat="false" ht="13.8" hidden="false" customHeight="false" outlineLevel="0" collapsed="false">
      <c r="K146" s="3" t="n">
        <v>46168.8423958333</v>
      </c>
      <c r="L146" s="1" t="s">
        <v>4</v>
      </c>
      <c r="M146" s="1" t="n">
        <v>1535</v>
      </c>
      <c r="N146" s="1" t="n">
        <v>84</v>
      </c>
    </row>
    <row r="147" customFormat="false" ht="13.8" hidden="false" customHeight="false" outlineLevel="0" collapsed="false">
      <c r="K147" s="3" t="n">
        <v>46168.8427777778</v>
      </c>
      <c r="L147" s="1" t="s">
        <v>4</v>
      </c>
      <c r="M147" s="1" t="n">
        <v>1535</v>
      </c>
      <c r="N147" s="1" t="n">
        <v>84</v>
      </c>
    </row>
    <row r="148" customFormat="false" ht="13.8" hidden="false" customHeight="false" outlineLevel="0" collapsed="false">
      <c r="K148" s="3" t="n">
        <v>46168.8430902778</v>
      </c>
      <c r="L148" s="1" t="s">
        <v>4</v>
      </c>
      <c r="M148" s="1" t="n">
        <v>1555</v>
      </c>
      <c r="N148" s="1" t="n">
        <v>83</v>
      </c>
    </row>
    <row r="149" customFormat="false" ht="13.8" hidden="false" customHeight="false" outlineLevel="0" collapsed="false">
      <c r="K149" s="3" t="n">
        <v>46168.8434375</v>
      </c>
      <c r="L149" s="1" t="s">
        <v>4</v>
      </c>
      <c r="M149" s="1" t="n">
        <v>1586</v>
      </c>
      <c r="N149" s="1" t="n">
        <v>81</v>
      </c>
    </row>
    <row r="150" customFormat="false" ht="13.8" hidden="false" customHeight="false" outlineLevel="0" collapsed="false">
      <c r="K150" s="3" t="n">
        <v>46168.8437962963</v>
      </c>
      <c r="L150" s="1" t="s">
        <v>4</v>
      </c>
      <c r="M150" s="1" t="n">
        <v>1613</v>
      </c>
      <c r="N150" s="1" t="n">
        <v>79</v>
      </c>
    </row>
    <row r="151" customFormat="false" ht="13.8" hidden="false" customHeight="false" outlineLevel="0" collapsed="false">
      <c r="K151" s="3" t="n">
        <v>46168.8441666667</v>
      </c>
      <c r="L151" s="1" t="s">
        <v>4</v>
      </c>
      <c r="M151" s="1" t="n">
        <v>1562</v>
      </c>
      <c r="N151" s="1" t="n">
        <v>82</v>
      </c>
    </row>
    <row r="152" customFormat="false" ht="13.8" hidden="false" customHeight="false" outlineLevel="0" collapsed="false">
      <c r="K152" s="3" t="n">
        <v>46168.8445023148</v>
      </c>
      <c r="L152" s="1" t="s">
        <v>4</v>
      </c>
      <c r="M152" s="1" t="n">
        <v>1535</v>
      </c>
      <c r="N152" s="1" t="n">
        <v>84</v>
      </c>
    </row>
    <row r="153" customFormat="false" ht="13.8" hidden="false" customHeight="false" outlineLevel="0" collapsed="false">
      <c r="K153" s="3" t="n">
        <v>46168.844837963</v>
      </c>
      <c r="L153" s="1" t="s">
        <v>4</v>
      </c>
      <c r="M153" s="1" t="n">
        <v>1535</v>
      </c>
      <c r="N153" s="1" t="n">
        <v>84</v>
      </c>
    </row>
    <row r="154" customFormat="false" ht="13.8" hidden="false" customHeight="false" outlineLevel="0" collapsed="false">
      <c r="K154" s="3" t="n">
        <v>46168.8451967593</v>
      </c>
      <c r="L154" s="1" t="s">
        <v>4</v>
      </c>
      <c r="M154" s="1" t="n">
        <v>1535</v>
      </c>
      <c r="N154" s="1" t="n">
        <v>84</v>
      </c>
    </row>
    <row r="155" customFormat="false" ht="13.8" hidden="false" customHeight="false" outlineLevel="0" collapsed="false">
      <c r="K155" s="3" t="n">
        <v>46168.8455439815</v>
      </c>
      <c r="L155" s="1" t="s">
        <v>4</v>
      </c>
      <c r="M155" s="1" t="n">
        <v>1535</v>
      </c>
      <c r="N155" s="1" t="n">
        <v>84</v>
      </c>
    </row>
    <row r="156" customFormat="false" ht="13.8" hidden="false" customHeight="false" outlineLevel="0" collapsed="false">
      <c r="K156" s="3" t="n">
        <v>46168.8459027778</v>
      </c>
      <c r="L156" s="1" t="s">
        <v>4</v>
      </c>
      <c r="M156" s="1" t="n">
        <v>1570</v>
      </c>
      <c r="N156" s="1" t="n">
        <v>82</v>
      </c>
    </row>
    <row r="157" customFormat="false" ht="13.8" hidden="false" customHeight="false" outlineLevel="0" collapsed="false">
      <c r="K157" s="3" t="n">
        <v>46168.8462384259</v>
      </c>
      <c r="L157" s="1" t="s">
        <v>4</v>
      </c>
      <c r="M157" s="1" t="n">
        <v>1554</v>
      </c>
      <c r="N157" s="1" t="n">
        <v>83</v>
      </c>
    </row>
    <row r="158" customFormat="false" ht="13.8" hidden="false" customHeight="false" outlineLevel="0" collapsed="false">
      <c r="K158" s="3" t="n">
        <v>46168.8465856482</v>
      </c>
      <c r="L158" s="1" t="s">
        <v>4</v>
      </c>
      <c r="M158" s="1" t="n">
        <v>1557</v>
      </c>
      <c r="N158" s="1" t="n">
        <v>82</v>
      </c>
    </row>
    <row r="159" customFormat="false" ht="13.8" hidden="false" customHeight="false" outlineLevel="0" collapsed="false">
      <c r="K159" s="3" t="n">
        <v>46168.8469328704</v>
      </c>
      <c r="L159" s="1" t="s">
        <v>4</v>
      </c>
      <c r="M159" s="1" t="n">
        <v>1535</v>
      </c>
      <c r="N159" s="1" t="n">
        <v>84</v>
      </c>
    </row>
    <row r="160" customFormat="false" ht="13.8" hidden="false" customHeight="false" outlineLevel="0" collapsed="false">
      <c r="K160" s="3" t="n">
        <v>46168.8472916667</v>
      </c>
      <c r="L160" s="1" t="s">
        <v>4</v>
      </c>
      <c r="M160" s="1" t="n">
        <v>1535</v>
      </c>
      <c r="N160" s="1" t="n">
        <v>84</v>
      </c>
    </row>
    <row r="161" customFormat="false" ht="13.8" hidden="false" customHeight="false" outlineLevel="0" collapsed="false">
      <c r="K161" s="3" t="n">
        <v>46168.8476388889</v>
      </c>
      <c r="L161" s="1" t="s">
        <v>4</v>
      </c>
      <c r="M161" s="1" t="n">
        <v>1565</v>
      </c>
      <c r="N161" s="1" t="n">
        <v>82</v>
      </c>
    </row>
    <row r="162" customFormat="false" ht="13.8" hidden="false" customHeight="false" outlineLevel="0" collapsed="false">
      <c r="K162" s="3" t="n">
        <v>46168.8479976852</v>
      </c>
      <c r="L162" s="1" t="s">
        <v>4</v>
      </c>
      <c r="M162" s="1" t="n">
        <v>1535</v>
      </c>
      <c r="N162" s="1" t="n">
        <v>84</v>
      </c>
    </row>
    <row r="163" customFormat="false" ht="13.8" hidden="false" customHeight="false" outlineLevel="0" collapsed="false">
      <c r="K163" s="3" t="n">
        <v>46168.8483449074</v>
      </c>
      <c r="L163" s="1" t="s">
        <v>4</v>
      </c>
      <c r="M163" s="1" t="n">
        <v>1570</v>
      </c>
      <c r="N163" s="1" t="n">
        <v>82</v>
      </c>
    </row>
    <row r="164" customFormat="false" ht="13.8" hidden="false" customHeight="false" outlineLevel="0" collapsed="false">
      <c r="K164" s="3" t="n">
        <v>46168.8486921296</v>
      </c>
      <c r="L164" s="1" t="s">
        <v>4</v>
      </c>
      <c r="M164" s="1" t="n">
        <v>1552</v>
      </c>
      <c r="N164" s="1" t="n">
        <v>83</v>
      </c>
    </row>
    <row r="165" customFormat="false" ht="13.8" hidden="false" customHeight="false" outlineLevel="0" collapsed="false">
      <c r="K165" s="3" t="n">
        <v>46168.8490393519</v>
      </c>
      <c r="L165" s="1" t="s">
        <v>4</v>
      </c>
      <c r="M165" s="1" t="n">
        <v>1552</v>
      </c>
      <c r="N165" s="1" t="n">
        <v>83</v>
      </c>
    </row>
    <row r="166" customFormat="false" ht="13.8" hidden="false" customHeight="false" outlineLevel="0" collapsed="false">
      <c r="K166" s="3" t="n">
        <v>46168.8493865741</v>
      </c>
      <c r="L166" s="1" t="s">
        <v>4</v>
      </c>
      <c r="M166" s="1" t="n">
        <v>1552</v>
      </c>
      <c r="N166" s="1" t="n">
        <v>83</v>
      </c>
    </row>
    <row r="167" customFormat="false" ht="13.8" hidden="false" customHeight="false" outlineLevel="0" collapsed="false">
      <c r="K167" s="3" t="n">
        <v>46168.8497337963</v>
      </c>
      <c r="L167" s="1" t="s">
        <v>4</v>
      </c>
      <c r="M167" s="1" t="n">
        <v>1527</v>
      </c>
      <c r="N167" s="1" t="n">
        <v>84</v>
      </c>
    </row>
    <row r="168" customFormat="false" ht="13.8" hidden="false" customHeight="false" outlineLevel="0" collapsed="false">
      <c r="K168" s="3" t="n">
        <v>46168.8500810185</v>
      </c>
      <c r="L168" s="1" t="s">
        <v>4</v>
      </c>
      <c r="M168" s="1" t="n">
        <v>1569</v>
      </c>
      <c r="N168" s="1" t="n">
        <v>82</v>
      </c>
    </row>
    <row r="169" customFormat="false" ht="13.8" hidden="false" customHeight="false" outlineLevel="0" collapsed="false">
      <c r="K169" s="3" t="n">
        <v>46168.8504282407</v>
      </c>
      <c r="L169" s="1" t="s">
        <v>4</v>
      </c>
      <c r="M169" s="1" t="n">
        <v>1535</v>
      </c>
      <c r="N169" s="1" t="n">
        <v>84</v>
      </c>
    </row>
    <row r="170" customFormat="false" ht="13.8" hidden="false" customHeight="false" outlineLevel="0" collapsed="false">
      <c r="K170" s="3" t="n">
        <v>46168.850775463</v>
      </c>
      <c r="L170" s="1" t="s">
        <v>4</v>
      </c>
      <c r="M170" s="1" t="n">
        <v>1535</v>
      </c>
      <c r="N170" s="1" t="n">
        <v>84</v>
      </c>
    </row>
    <row r="171" customFormat="false" ht="13.8" hidden="false" customHeight="false" outlineLevel="0" collapsed="false">
      <c r="K171" s="3" t="n">
        <v>46168.8511226852</v>
      </c>
      <c r="L171" s="1" t="s">
        <v>4</v>
      </c>
      <c r="M171" s="1" t="n">
        <v>1581</v>
      </c>
      <c r="N171" s="1" t="n">
        <v>81</v>
      </c>
    </row>
    <row r="172" customFormat="false" ht="13.8" hidden="false" customHeight="false" outlineLevel="0" collapsed="false">
      <c r="K172" s="3" t="n">
        <v>46168.8514930556</v>
      </c>
      <c r="L172" s="1" t="s">
        <v>4</v>
      </c>
      <c r="M172" s="1" t="n">
        <v>1569</v>
      </c>
      <c r="N172" s="1" t="n">
        <v>82</v>
      </c>
    </row>
    <row r="173" customFormat="false" ht="13.8" hidden="false" customHeight="false" outlineLevel="0" collapsed="false">
      <c r="K173" s="3" t="n">
        <v>46168.8518402778</v>
      </c>
      <c r="L173" s="1" t="s">
        <v>4</v>
      </c>
      <c r="M173" s="1" t="n">
        <v>1535</v>
      </c>
      <c r="N173" s="1" t="n">
        <v>84</v>
      </c>
    </row>
    <row r="174" customFormat="false" ht="13.8" hidden="false" customHeight="false" outlineLevel="0" collapsed="false">
      <c r="K174" s="3" t="n">
        <v>46168.8521875</v>
      </c>
      <c r="L174" s="1" t="s">
        <v>4</v>
      </c>
      <c r="M174" s="1" t="n">
        <v>1571</v>
      </c>
      <c r="N174" s="1" t="n">
        <v>81</v>
      </c>
    </row>
    <row r="175" customFormat="false" ht="13.8" hidden="false" customHeight="false" outlineLevel="0" collapsed="false">
      <c r="K175" s="3" t="n">
        <v>46168.8525462963</v>
      </c>
      <c r="L175" s="1" t="s">
        <v>4</v>
      </c>
      <c r="M175" s="1" t="n">
        <v>1581</v>
      </c>
      <c r="N175" s="1" t="n">
        <v>81</v>
      </c>
    </row>
    <row r="176" customFormat="false" ht="13.8" hidden="false" customHeight="false" outlineLevel="0" collapsed="false">
      <c r="K176" s="3" t="n">
        <v>46168.8528935185</v>
      </c>
      <c r="L176" s="1" t="s">
        <v>4</v>
      </c>
      <c r="M176" s="1" t="n">
        <v>1557</v>
      </c>
      <c r="N176" s="1" t="n">
        <v>82</v>
      </c>
    </row>
    <row r="177" customFormat="false" ht="13.8" hidden="false" customHeight="false" outlineLevel="0" collapsed="false">
      <c r="K177" s="3" t="n">
        <v>46168.8532407407</v>
      </c>
      <c r="L177" s="1" t="s">
        <v>4</v>
      </c>
      <c r="M177" s="1" t="n">
        <v>1530</v>
      </c>
      <c r="N177" s="1" t="n">
        <v>84</v>
      </c>
    </row>
    <row r="178" customFormat="false" ht="13.8" hidden="false" customHeight="false" outlineLevel="0" collapsed="false">
      <c r="K178" s="3" t="n">
        <v>46168.853587963</v>
      </c>
      <c r="L178" s="1" t="s">
        <v>4</v>
      </c>
      <c r="M178" s="1" t="n">
        <v>1573</v>
      </c>
      <c r="N178" s="1" t="n">
        <v>81</v>
      </c>
    </row>
    <row r="179" customFormat="false" ht="13.8" hidden="false" customHeight="false" outlineLevel="0" collapsed="false">
      <c r="K179" s="3" t="n">
        <v>46168.8539351852</v>
      </c>
      <c r="L179" s="1" t="s">
        <v>4</v>
      </c>
      <c r="M179" s="1" t="n">
        <v>1587</v>
      </c>
      <c r="N179" s="1" t="n">
        <v>80</v>
      </c>
    </row>
    <row r="180" customFormat="false" ht="13.8" hidden="false" customHeight="false" outlineLevel="0" collapsed="false">
      <c r="K180" s="3" t="n">
        <v>46168.8542824074</v>
      </c>
      <c r="L180" s="1" t="s">
        <v>4</v>
      </c>
      <c r="M180" s="1" t="n">
        <v>1556</v>
      </c>
      <c r="N180" s="1" t="n">
        <v>82</v>
      </c>
    </row>
    <row r="181" customFormat="false" ht="13.8" hidden="false" customHeight="false" outlineLevel="0" collapsed="false">
      <c r="K181" s="3" t="n">
        <v>46168.8546412037</v>
      </c>
      <c r="L181" s="1" t="s">
        <v>4</v>
      </c>
      <c r="M181" s="1" t="n">
        <v>1535</v>
      </c>
      <c r="N181" s="1" t="n">
        <v>84</v>
      </c>
    </row>
    <row r="182" customFormat="false" ht="13.8" hidden="false" customHeight="false" outlineLevel="0" collapsed="false">
      <c r="K182" s="3" t="n">
        <v>46168.8549884259</v>
      </c>
      <c r="L182" s="1" t="s">
        <v>4</v>
      </c>
      <c r="M182" s="1" t="n">
        <v>1563</v>
      </c>
      <c r="N182" s="1" t="n">
        <v>82</v>
      </c>
    </row>
    <row r="183" customFormat="false" ht="13.8" hidden="false" customHeight="false" outlineLevel="0" collapsed="false">
      <c r="K183" s="3" t="n">
        <v>46168.8553356482</v>
      </c>
      <c r="L183" s="1" t="s">
        <v>4</v>
      </c>
      <c r="M183" s="1" t="n">
        <v>1559</v>
      </c>
      <c r="N183" s="1" t="n">
        <v>82</v>
      </c>
    </row>
    <row r="184" customFormat="false" ht="13.8" hidden="false" customHeight="false" outlineLevel="0" collapsed="false">
      <c r="K184" s="3" t="n">
        <v>46168.8556828704</v>
      </c>
      <c r="L184" s="1" t="s">
        <v>4</v>
      </c>
      <c r="M184" s="1" t="n">
        <v>1571</v>
      </c>
      <c r="N184" s="1" t="n">
        <v>81</v>
      </c>
    </row>
    <row r="185" customFormat="false" ht="13.8" hidden="false" customHeight="false" outlineLevel="0" collapsed="false">
      <c r="K185" s="3" t="n">
        <v>46168.8560300926</v>
      </c>
      <c r="L185" s="1" t="s">
        <v>4</v>
      </c>
      <c r="M185" s="1" t="n">
        <v>1565</v>
      </c>
      <c r="N185" s="1" t="n">
        <v>82</v>
      </c>
    </row>
    <row r="186" customFormat="false" ht="13.8" hidden="false" customHeight="false" outlineLevel="0" collapsed="false">
      <c r="K186" s="3" t="n">
        <v>46168.8563888889</v>
      </c>
      <c r="L186" s="1" t="s">
        <v>4</v>
      </c>
      <c r="M186" s="1" t="n">
        <v>1534</v>
      </c>
      <c r="N186" s="1" t="n">
        <v>84</v>
      </c>
    </row>
    <row r="187" customFormat="false" ht="13.8" hidden="false" customHeight="false" outlineLevel="0" collapsed="false">
      <c r="K187" s="3" t="n">
        <v>46168.8567361111</v>
      </c>
      <c r="L187" s="1" t="s">
        <v>4</v>
      </c>
      <c r="M187" s="1" t="n">
        <v>1598</v>
      </c>
      <c r="N187" s="1" t="n">
        <v>80</v>
      </c>
    </row>
    <row r="188" customFormat="false" ht="13.8" hidden="false" customHeight="false" outlineLevel="0" collapsed="false">
      <c r="K188" s="3" t="n">
        <v>46168.8570833333</v>
      </c>
      <c r="L188" s="1" t="s">
        <v>4</v>
      </c>
      <c r="M188" s="1" t="n">
        <v>1559</v>
      </c>
      <c r="N188" s="1" t="n">
        <v>82</v>
      </c>
    </row>
    <row r="189" customFormat="false" ht="13.8" hidden="false" customHeight="false" outlineLevel="0" collapsed="false">
      <c r="K189" s="3" t="n">
        <v>46168.8574305556</v>
      </c>
      <c r="L189" s="1" t="s">
        <v>4</v>
      </c>
      <c r="M189" s="1" t="n">
        <v>1509</v>
      </c>
      <c r="N189" s="1" t="n">
        <v>86</v>
      </c>
    </row>
    <row r="190" customFormat="false" ht="13.8" hidden="false" customHeight="false" outlineLevel="0" collapsed="false">
      <c r="K190" s="3" t="n">
        <v>46168.8577893519</v>
      </c>
      <c r="L190" s="1" t="s">
        <v>4</v>
      </c>
      <c r="M190" s="1" t="n">
        <v>1563</v>
      </c>
      <c r="N190" s="1" t="n">
        <v>82</v>
      </c>
    </row>
    <row r="191" customFormat="false" ht="13.8" hidden="false" customHeight="false" outlineLevel="0" collapsed="false">
      <c r="K191" s="3" t="n">
        <v>46168.8581365741</v>
      </c>
      <c r="L191" s="1" t="s">
        <v>4</v>
      </c>
      <c r="M191" s="1" t="n">
        <v>1535</v>
      </c>
      <c r="N191" s="1" t="n">
        <v>84</v>
      </c>
    </row>
    <row r="192" customFormat="false" ht="13.8" hidden="false" customHeight="false" outlineLevel="0" collapsed="false">
      <c r="K192" s="3" t="n">
        <v>46168.8584837963</v>
      </c>
      <c r="L192" s="1" t="s">
        <v>4</v>
      </c>
      <c r="M192" s="1" t="n">
        <v>1535</v>
      </c>
      <c r="N192" s="1" t="n">
        <v>84</v>
      </c>
    </row>
    <row r="193" customFormat="false" ht="13.8" hidden="false" customHeight="false" outlineLevel="0" collapsed="false">
      <c r="K193" s="3" t="n">
        <v>46168.8588310185</v>
      </c>
      <c r="L193" s="1" t="s">
        <v>4</v>
      </c>
      <c r="M193" s="1" t="n">
        <v>1535</v>
      </c>
      <c r="N193" s="1" t="n">
        <v>84</v>
      </c>
    </row>
    <row r="194" customFormat="false" ht="13.8" hidden="false" customHeight="false" outlineLevel="0" collapsed="false">
      <c r="K194" s="3" t="n">
        <v>46168.8368171296</v>
      </c>
      <c r="L194" s="1" t="s">
        <v>8</v>
      </c>
      <c r="M194" s="1" t="n">
        <v>1712</v>
      </c>
      <c r="N194" s="1" t="n">
        <v>100</v>
      </c>
    </row>
    <row r="195" customFormat="false" ht="13.8" hidden="false" customHeight="false" outlineLevel="0" collapsed="false">
      <c r="K195" s="3" t="n">
        <v>46168.8371527778</v>
      </c>
      <c r="L195" s="1" t="s">
        <v>8</v>
      </c>
      <c r="M195" s="1" t="n">
        <v>1968</v>
      </c>
      <c r="N195" s="1" t="n">
        <v>89</v>
      </c>
    </row>
    <row r="196" customFormat="false" ht="13.8" hidden="false" customHeight="false" outlineLevel="0" collapsed="false">
      <c r="K196" s="3" t="n">
        <v>46168.8375</v>
      </c>
      <c r="L196" s="1" t="s">
        <v>8</v>
      </c>
      <c r="M196" s="1" t="n">
        <v>2064</v>
      </c>
      <c r="N196" s="1" t="n">
        <v>77</v>
      </c>
    </row>
    <row r="197" customFormat="false" ht="13.8" hidden="false" customHeight="false" outlineLevel="0" collapsed="false">
      <c r="K197" s="3" t="n">
        <v>46168.8378472222</v>
      </c>
      <c r="L197" s="1" t="s">
        <v>8</v>
      </c>
      <c r="M197" s="1" t="n">
        <v>2111</v>
      </c>
      <c r="N197" s="1" t="n">
        <v>72</v>
      </c>
    </row>
    <row r="198" customFormat="false" ht="13.8" hidden="false" customHeight="false" outlineLevel="0" collapsed="false">
      <c r="K198" s="3" t="n">
        <v>46168.8382060185</v>
      </c>
      <c r="L198" s="1" t="s">
        <v>8</v>
      </c>
      <c r="M198" s="1" t="n">
        <v>2134</v>
      </c>
      <c r="N198" s="1" t="n">
        <v>69</v>
      </c>
    </row>
    <row r="199" customFormat="false" ht="13.8" hidden="false" customHeight="false" outlineLevel="0" collapsed="false">
      <c r="K199" s="3" t="n">
        <v>46168.8385532407</v>
      </c>
      <c r="L199" s="1" t="s">
        <v>8</v>
      </c>
      <c r="M199" s="1" t="n">
        <v>2146</v>
      </c>
      <c r="N199" s="1" t="n">
        <v>67</v>
      </c>
    </row>
    <row r="200" customFormat="false" ht="13.8" hidden="false" customHeight="false" outlineLevel="0" collapsed="false">
      <c r="K200" s="3" t="n">
        <v>46168.838900463</v>
      </c>
      <c r="L200" s="1" t="s">
        <v>8</v>
      </c>
      <c r="M200" s="1" t="n">
        <v>2160</v>
      </c>
      <c r="N200" s="1" t="n">
        <v>66</v>
      </c>
    </row>
    <row r="201" customFormat="false" ht="13.8" hidden="false" customHeight="false" outlineLevel="0" collapsed="false">
      <c r="K201" s="3" t="n">
        <v>46168.8396180556</v>
      </c>
      <c r="L201" s="1" t="s">
        <v>8</v>
      </c>
      <c r="M201" s="1" t="n">
        <v>2174</v>
      </c>
      <c r="N201" s="1" t="n">
        <v>64</v>
      </c>
    </row>
    <row r="202" customFormat="false" ht="13.8" hidden="false" customHeight="false" outlineLevel="0" collapsed="false">
      <c r="K202" s="3" t="n">
        <v>46168.8399537037</v>
      </c>
      <c r="L202" s="1" t="s">
        <v>8</v>
      </c>
      <c r="M202" s="1" t="n">
        <v>2179</v>
      </c>
      <c r="N202" s="1" t="n">
        <v>64</v>
      </c>
    </row>
    <row r="203" customFormat="false" ht="13.8" hidden="false" customHeight="false" outlineLevel="0" collapsed="false">
      <c r="K203" s="3" t="n">
        <v>46168.8403356482</v>
      </c>
      <c r="L203" s="1" t="s">
        <v>8</v>
      </c>
      <c r="M203" s="1" t="n">
        <v>2187</v>
      </c>
      <c r="N203" s="1" t="n">
        <v>63</v>
      </c>
    </row>
    <row r="204" customFormat="false" ht="13.8" hidden="false" customHeight="false" outlineLevel="0" collapsed="false">
      <c r="K204" s="3" t="n">
        <v>46168.8406481482</v>
      </c>
      <c r="L204" s="1" t="s">
        <v>8</v>
      </c>
      <c r="M204" s="1" t="n">
        <v>2189</v>
      </c>
      <c r="N204" s="1" t="n">
        <v>62</v>
      </c>
    </row>
    <row r="205" customFormat="false" ht="13.8" hidden="false" customHeight="false" outlineLevel="0" collapsed="false">
      <c r="K205" s="3" t="n">
        <v>46168.8410069444</v>
      </c>
      <c r="L205" s="1" t="s">
        <v>8</v>
      </c>
      <c r="M205" s="1" t="n">
        <v>2189</v>
      </c>
      <c r="N205" s="1" t="n">
        <v>62</v>
      </c>
    </row>
    <row r="206" customFormat="false" ht="13.8" hidden="false" customHeight="false" outlineLevel="0" collapsed="false">
      <c r="K206" s="3" t="n">
        <v>46168.8413541667</v>
      </c>
      <c r="L206" s="1" t="s">
        <v>8</v>
      </c>
      <c r="M206" s="1" t="n">
        <v>2194</v>
      </c>
      <c r="N206" s="1" t="n">
        <v>62</v>
      </c>
    </row>
    <row r="207" customFormat="false" ht="13.8" hidden="false" customHeight="false" outlineLevel="0" collapsed="false">
      <c r="K207" s="3" t="n">
        <v>46168.8417013889</v>
      </c>
      <c r="L207" s="1" t="s">
        <v>8</v>
      </c>
      <c r="M207" s="1" t="n">
        <v>2194</v>
      </c>
      <c r="N207" s="1" t="n">
        <v>62</v>
      </c>
    </row>
    <row r="208" customFormat="false" ht="13.8" hidden="false" customHeight="false" outlineLevel="0" collapsed="false">
      <c r="K208" s="3" t="n">
        <v>46168.8420486111</v>
      </c>
      <c r="L208" s="1" t="s">
        <v>8</v>
      </c>
      <c r="M208" s="1" t="n">
        <v>2192</v>
      </c>
      <c r="N208" s="1" t="n">
        <v>62</v>
      </c>
    </row>
    <row r="209" customFormat="false" ht="13.8" hidden="false" customHeight="false" outlineLevel="0" collapsed="false">
      <c r="K209" s="3" t="n">
        <v>46168.8424074074</v>
      </c>
      <c r="L209" s="1" t="s">
        <v>8</v>
      </c>
      <c r="M209" s="1" t="n">
        <v>2201</v>
      </c>
      <c r="N209" s="1" t="n">
        <v>61</v>
      </c>
    </row>
    <row r="210" customFormat="false" ht="13.8" hidden="false" customHeight="false" outlineLevel="0" collapsed="false">
      <c r="K210" s="3" t="n">
        <v>46168.8427777778</v>
      </c>
      <c r="L210" s="1" t="s">
        <v>8</v>
      </c>
      <c r="M210" s="1" t="n">
        <v>2202</v>
      </c>
      <c r="N210" s="1" t="n">
        <v>61</v>
      </c>
    </row>
    <row r="211" customFormat="false" ht="13.8" hidden="false" customHeight="false" outlineLevel="0" collapsed="false">
      <c r="K211" s="3" t="n">
        <v>46168.8431018519</v>
      </c>
      <c r="L211" s="1" t="s">
        <v>8</v>
      </c>
      <c r="M211" s="1" t="n">
        <v>2206</v>
      </c>
      <c r="N211" s="1" t="n">
        <v>60</v>
      </c>
    </row>
    <row r="212" customFormat="false" ht="13.8" hidden="false" customHeight="false" outlineLevel="0" collapsed="false">
      <c r="K212" s="3" t="n">
        <v>46168.8434606482</v>
      </c>
      <c r="L212" s="1" t="s">
        <v>8</v>
      </c>
      <c r="M212" s="1" t="n">
        <v>2205</v>
      </c>
      <c r="N212" s="1" t="n">
        <v>60</v>
      </c>
    </row>
    <row r="213" customFormat="false" ht="13.8" hidden="false" customHeight="false" outlineLevel="0" collapsed="false">
      <c r="K213" s="3" t="n">
        <v>46168.8438078704</v>
      </c>
      <c r="L213" s="1" t="s">
        <v>8</v>
      </c>
      <c r="M213" s="1" t="n">
        <v>2231</v>
      </c>
      <c r="N213" s="1" t="n">
        <v>57</v>
      </c>
    </row>
    <row r="214" customFormat="false" ht="13.8" hidden="false" customHeight="false" outlineLevel="0" collapsed="false">
      <c r="K214" s="3" t="n">
        <v>46168.8441782407</v>
      </c>
      <c r="L214" s="1" t="s">
        <v>8</v>
      </c>
      <c r="M214" s="1" t="n">
        <v>2204</v>
      </c>
      <c r="N214" s="1" t="n">
        <v>61</v>
      </c>
    </row>
    <row r="215" customFormat="false" ht="13.8" hidden="false" customHeight="false" outlineLevel="0" collapsed="false">
      <c r="K215" s="3" t="n">
        <v>46168.8445138889</v>
      </c>
      <c r="L215" s="1" t="s">
        <v>8</v>
      </c>
      <c r="M215" s="1" t="n">
        <v>2208</v>
      </c>
      <c r="N215" s="1" t="n">
        <v>60</v>
      </c>
    </row>
    <row r="216" customFormat="false" ht="13.8" hidden="false" customHeight="false" outlineLevel="0" collapsed="false">
      <c r="K216" s="3" t="n">
        <v>46168.8448611111</v>
      </c>
      <c r="L216" s="1" t="s">
        <v>8</v>
      </c>
      <c r="M216" s="1" t="n">
        <v>2214</v>
      </c>
      <c r="N216" s="1" t="n">
        <v>59</v>
      </c>
    </row>
    <row r="217" customFormat="false" ht="13.8" hidden="false" customHeight="false" outlineLevel="0" collapsed="false">
      <c r="K217" s="3" t="n">
        <v>46168.8452083333</v>
      </c>
      <c r="L217" s="1" t="s">
        <v>8</v>
      </c>
      <c r="M217" s="1" t="n">
        <v>2215</v>
      </c>
      <c r="N217" s="1" t="n">
        <v>59</v>
      </c>
    </row>
    <row r="218" customFormat="false" ht="13.8" hidden="false" customHeight="false" outlineLevel="0" collapsed="false">
      <c r="K218" s="3" t="n">
        <v>46168.8455555556</v>
      </c>
      <c r="L218" s="1" t="s">
        <v>8</v>
      </c>
      <c r="M218" s="1" t="n">
        <v>2218</v>
      </c>
      <c r="N218" s="1" t="n">
        <v>59</v>
      </c>
    </row>
    <row r="219" customFormat="false" ht="13.8" hidden="false" customHeight="false" outlineLevel="0" collapsed="false">
      <c r="K219" s="3" t="n">
        <v>46168.8459027778</v>
      </c>
      <c r="L219" s="1" t="s">
        <v>8</v>
      </c>
      <c r="M219" s="1" t="n">
        <v>2215</v>
      </c>
      <c r="N219" s="1" t="n">
        <v>59</v>
      </c>
    </row>
    <row r="220" customFormat="false" ht="13.8" hidden="false" customHeight="false" outlineLevel="0" collapsed="false">
      <c r="K220" s="3" t="n">
        <v>46168.84625</v>
      </c>
      <c r="L220" s="1" t="s">
        <v>8</v>
      </c>
      <c r="M220" s="1" t="n">
        <v>2224</v>
      </c>
      <c r="N220" s="1" t="n">
        <v>58</v>
      </c>
    </row>
    <row r="221" customFormat="false" ht="13.8" hidden="false" customHeight="false" outlineLevel="0" collapsed="false">
      <c r="K221" s="3" t="n">
        <v>46168.8465972222</v>
      </c>
      <c r="L221" s="1" t="s">
        <v>8</v>
      </c>
      <c r="M221" s="1" t="n">
        <v>2222</v>
      </c>
      <c r="N221" s="1" t="n">
        <v>58</v>
      </c>
    </row>
    <row r="222" customFormat="false" ht="13.8" hidden="false" customHeight="false" outlineLevel="0" collapsed="false">
      <c r="K222" s="3" t="n">
        <v>46168.8469560185</v>
      </c>
      <c r="L222" s="1" t="s">
        <v>8</v>
      </c>
      <c r="M222" s="1" t="n">
        <v>2222</v>
      </c>
      <c r="N222" s="1" t="n">
        <v>58</v>
      </c>
    </row>
    <row r="223" customFormat="false" ht="13.8" hidden="false" customHeight="false" outlineLevel="0" collapsed="false">
      <c r="K223" s="3" t="n">
        <v>46168.8473032407</v>
      </c>
      <c r="L223" s="1" t="s">
        <v>8</v>
      </c>
      <c r="M223" s="1" t="n">
        <v>2224</v>
      </c>
      <c r="N223" s="1" t="n">
        <v>58</v>
      </c>
    </row>
    <row r="224" customFormat="false" ht="13.8" hidden="false" customHeight="false" outlineLevel="0" collapsed="false">
      <c r="K224" s="3" t="n">
        <v>46168.847650463</v>
      </c>
      <c r="L224" s="1" t="s">
        <v>8</v>
      </c>
      <c r="M224" s="1" t="n">
        <v>2224</v>
      </c>
      <c r="N224" s="1" t="n">
        <v>58</v>
      </c>
    </row>
    <row r="225" customFormat="false" ht="13.8" hidden="false" customHeight="false" outlineLevel="0" collapsed="false">
      <c r="K225" s="3" t="n">
        <v>46168.8480092593</v>
      </c>
      <c r="L225" s="1" t="s">
        <v>8</v>
      </c>
      <c r="M225" s="1" t="n">
        <v>2224</v>
      </c>
      <c r="N225" s="1" t="n">
        <v>58</v>
      </c>
    </row>
    <row r="226" customFormat="false" ht="13.8" hidden="false" customHeight="false" outlineLevel="0" collapsed="false">
      <c r="K226" s="3" t="n">
        <v>46168.8483449074</v>
      </c>
      <c r="L226" s="1" t="s">
        <v>8</v>
      </c>
      <c r="M226" s="1" t="n">
        <v>2224</v>
      </c>
      <c r="N226" s="1" t="n">
        <v>58</v>
      </c>
    </row>
    <row r="227" customFormat="false" ht="13.8" hidden="false" customHeight="false" outlineLevel="0" collapsed="false">
      <c r="K227" s="3" t="n">
        <v>46168.8486921296</v>
      </c>
      <c r="L227" s="1" t="s">
        <v>8</v>
      </c>
      <c r="M227" s="1" t="n">
        <v>2224</v>
      </c>
      <c r="N227" s="1" t="n">
        <v>58</v>
      </c>
    </row>
    <row r="228" customFormat="false" ht="13.8" hidden="false" customHeight="false" outlineLevel="0" collapsed="false">
      <c r="K228" s="3" t="n">
        <v>46168.8490393519</v>
      </c>
      <c r="L228" s="1" t="s">
        <v>8</v>
      </c>
      <c r="M228" s="1" t="n">
        <v>2224</v>
      </c>
      <c r="N228" s="1" t="n">
        <v>58</v>
      </c>
    </row>
    <row r="229" customFormat="false" ht="13.8" hidden="false" customHeight="false" outlineLevel="0" collapsed="false">
      <c r="K229" s="3" t="n">
        <v>46168.8493981482</v>
      </c>
      <c r="L229" s="1" t="s">
        <v>8</v>
      </c>
      <c r="M229" s="1" t="n">
        <v>2227</v>
      </c>
      <c r="N229" s="1" t="n">
        <v>58</v>
      </c>
    </row>
    <row r="230" customFormat="false" ht="13.8" hidden="false" customHeight="false" outlineLevel="0" collapsed="false">
      <c r="K230" s="3" t="n">
        <v>46168.8497453704</v>
      </c>
      <c r="L230" s="1" t="s">
        <v>8</v>
      </c>
      <c r="M230" s="1" t="n">
        <v>2226</v>
      </c>
      <c r="N230" s="1" t="n">
        <v>58</v>
      </c>
    </row>
    <row r="231" customFormat="false" ht="13.8" hidden="false" customHeight="false" outlineLevel="0" collapsed="false">
      <c r="K231" s="3" t="n">
        <v>46168.8500925926</v>
      </c>
      <c r="L231" s="1" t="s">
        <v>8</v>
      </c>
      <c r="M231" s="1" t="n">
        <v>2228</v>
      </c>
      <c r="N231" s="1" t="n">
        <v>58</v>
      </c>
    </row>
    <row r="232" customFormat="false" ht="13.8" hidden="false" customHeight="false" outlineLevel="0" collapsed="false">
      <c r="K232" s="3" t="n">
        <v>46168.8504398148</v>
      </c>
      <c r="L232" s="1" t="s">
        <v>8</v>
      </c>
      <c r="M232" s="1" t="n">
        <v>2228</v>
      </c>
      <c r="N232" s="1" t="n">
        <v>58</v>
      </c>
    </row>
    <row r="233" customFormat="false" ht="13.8" hidden="false" customHeight="false" outlineLevel="0" collapsed="false">
      <c r="K233" s="3" t="n">
        <v>46168.850787037</v>
      </c>
      <c r="L233" s="1" t="s">
        <v>8</v>
      </c>
      <c r="M233" s="1" t="n">
        <v>2228</v>
      </c>
      <c r="N233" s="1" t="n">
        <v>58</v>
      </c>
    </row>
    <row r="234" customFormat="false" ht="13.8" hidden="false" customHeight="false" outlineLevel="0" collapsed="false">
      <c r="K234" s="3" t="n">
        <v>46168.8511458333</v>
      </c>
      <c r="L234" s="1" t="s">
        <v>8</v>
      </c>
      <c r="M234" s="1" t="n">
        <v>2227</v>
      </c>
      <c r="N234" s="1" t="n">
        <v>58</v>
      </c>
    </row>
    <row r="235" customFormat="false" ht="13.8" hidden="false" customHeight="false" outlineLevel="0" collapsed="false">
      <c r="K235" s="3" t="n">
        <v>46168.8515046296</v>
      </c>
      <c r="L235" s="1" t="s">
        <v>8</v>
      </c>
      <c r="M235" s="1" t="n">
        <v>2237</v>
      </c>
      <c r="N235" s="1" t="n">
        <v>57</v>
      </c>
    </row>
    <row r="236" customFormat="false" ht="13.8" hidden="false" customHeight="false" outlineLevel="0" collapsed="false">
      <c r="K236" s="3" t="n">
        <v>46168.8518518519</v>
      </c>
      <c r="L236" s="1" t="s">
        <v>8</v>
      </c>
      <c r="M236" s="1" t="n">
        <v>2235</v>
      </c>
      <c r="N236" s="1" t="n">
        <v>57</v>
      </c>
    </row>
    <row r="237" customFormat="false" ht="13.8" hidden="false" customHeight="false" outlineLevel="0" collapsed="false">
      <c r="K237" s="3" t="n">
        <v>46168.8522106482</v>
      </c>
      <c r="L237" s="1" t="s">
        <v>8</v>
      </c>
      <c r="M237" s="1" t="n">
        <v>2231</v>
      </c>
      <c r="N237" s="1" t="n">
        <v>57</v>
      </c>
    </row>
    <row r="238" customFormat="false" ht="13.8" hidden="false" customHeight="false" outlineLevel="0" collapsed="false">
      <c r="K238" s="3" t="n">
        <v>46168.8525578704</v>
      </c>
      <c r="L238" s="1" t="s">
        <v>8</v>
      </c>
      <c r="M238" s="1" t="n">
        <v>2233</v>
      </c>
      <c r="N238" s="1" t="n">
        <v>57</v>
      </c>
    </row>
    <row r="239" customFormat="false" ht="13.8" hidden="false" customHeight="false" outlineLevel="0" collapsed="false">
      <c r="K239" s="3" t="n">
        <v>46168.8529050926</v>
      </c>
      <c r="L239" s="1" t="s">
        <v>8</v>
      </c>
      <c r="M239" s="1" t="n">
        <v>2228</v>
      </c>
      <c r="N239" s="1" t="n">
        <v>58</v>
      </c>
    </row>
    <row r="240" customFormat="false" ht="13.8" hidden="false" customHeight="false" outlineLevel="0" collapsed="false">
      <c r="K240" s="3" t="n">
        <v>46168.8532523148</v>
      </c>
      <c r="L240" s="1" t="s">
        <v>8</v>
      </c>
      <c r="M240" s="1" t="n">
        <v>2231</v>
      </c>
      <c r="N240" s="1" t="n">
        <v>57</v>
      </c>
    </row>
    <row r="241" customFormat="false" ht="13.8" hidden="false" customHeight="false" outlineLevel="0" collapsed="false">
      <c r="K241" s="3" t="n">
        <v>46168.853599537</v>
      </c>
      <c r="L241" s="1" t="s">
        <v>8</v>
      </c>
      <c r="M241" s="1" t="n">
        <v>2238</v>
      </c>
      <c r="N241" s="1" t="n">
        <v>56</v>
      </c>
    </row>
    <row r="242" customFormat="false" ht="13.8" hidden="false" customHeight="false" outlineLevel="0" collapsed="false">
      <c r="K242" s="3" t="n">
        <v>46168.8539467593</v>
      </c>
      <c r="L242" s="1" t="s">
        <v>8</v>
      </c>
      <c r="M242" s="1" t="n">
        <v>2238</v>
      </c>
      <c r="N242" s="1" t="n">
        <v>56</v>
      </c>
    </row>
    <row r="243" customFormat="false" ht="13.8" hidden="false" customHeight="false" outlineLevel="0" collapsed="false">
      <c r="K243" s="3" t="n">
        <v>46168.8542939815</v>
      </c>
      <c r="L243" s="1" t="s">
        <v>8</v>
      </c>
      <c r="M243" s="1" t="n">
        <v>2238</v>
      </c>
      <c r="N243" s="1" t="n">
        <v>56</v>
      </c>
    </row>
    <row r="244" customFormat="false" ht="13.8" hidden="false" customHeight="false" outlineLevel="0" collapsed="false">
      <c r="K244" s="3" t="n">
        <v>46168.8546412037</v>
      </c>
      <c r="L244" s="1" t="s">
        <v>8</v>
      </c>
      <c r="M244" s="1" t="n">
        <v>2243</v>
      </c>
      <c r="N244" s="1" t="n">
        <v>56</v>
      </c>
    </row>
    <row r="245" customFormat="false" ht="13.8" hidden="false" customHeight="false" outlineLevel="0" collapsed="false">
      <c r="K245" s="3" t="n">
        <v>46168.855</v>
      </c>
      <c r="L245" s="1" t="s">
        <v>8</v>
      </c>
      <c r="M245" s="1" t="n">
        <v>2236</v>
      </c>
      <c r="N245" s="1" t="n">
        <v>57</v>
      </c>
    </row>
    <row r="246" customFormat="false" ht="13.8" hidden="false" customHeight="false" outlineLevel="0" collapsed="false">
      <c r="K246" s="3" t="n">
        <v>46168.8553356482</v>
      </c>
      <c r="L246" s="1" t="s">
        <v>8</v>
      </c>
      <c r="M246" s="1" t="n">
        <v>2240</v>
      </c>
      <c r="N246" s="1" t="n">
        <v>56</v>
      </c>
    </row>
    <row r="247" customFormat="false" ht="13.8" hidden="false" customHeight="false" outlineLevel="0" collapsed="false">
      <c r="K247" s="3" t="n">
        <v>46168.8556944444</v>
      </c>
      <c r="L247" s="1" t="s">
        <v>8</v>
      </c>
      <c r="M247" s="1" t="n">
        <v>2242</v>
      </c>
      <c r="N247" s="1" t="n">
        <v>56</v>
      </c>
    </row>
    <row r="248" customFormat="false" ht="13.8" hidden="false" customHeight="false" outlineLevel="0" collapsed="false">
      <c r="K248" s="3" t="n">
        <v>46168.8560416667</v>
      </c>
      <c r="L248" s="1" t="s">
        <v>8</v>
      </c>
      <c r="M248" s="1" t="n">
        <v>2238</v>
      </c>
      <c r="N248" s="1" t="n">
        <v>56</v>
      </c>
    </row>
    <row r="249" customFormat="false" ht="13.8" hidden="false" customHeight="false" outlineLevel="0" collapsed="false">
      <c r="K249" s="3" t="n">
        <v>46168.8563888889</v>
      </c>
      <c r="L249" s="1" t="s">
        <v>8</v>
      </c>
      <c r="M249" s="1" t="n">
        <v>2241</v>
      </c>
      <c r="N249" s="1" t="n">
        <v>56</v>
      </c>
    </row>
    <row r="250" customFormat="false" ht="13.8" hidden="false" customHeight="false" outlineLevel="0" collapsed="false">
      <c r="K250" s="3" t="n">
        <v>46168.8567476852</v>
      </c>
      <c r="L250" s="1" t="s">
        <v>8</v>
      </c>
      <c r="M250" s="1" t="n">
        <v>2239</v>
      </c>
      <c r="N250" s="1" t="n">
        <v>56</v>
      </c>
    </row>
    <row r="251" customFormat="false" ht="13.8" hidden="false" customHeight="false" outlineLevel="0" collapsed="false">
      <c r="K251" s="3" t="n">
        <v>46168.8570949074</v>
      </c>
      <c r="L251" s="1" t="s">
        <v>8</v>
      </c>
      <c r="M251" s="1" t="n">
        <v>2241</v>
      </c>
      <c r="N251" s="1" t="n">
        <v>56</v>
      </c>
    </row>
    <row r="252" customFormat="false" ht="13.8" hidden="false" customHeight="false" outlineLevel="0" collapsed="false">
      <c r="K252" s="3" t="n">
        <v>46168.8574421296</v>
      </c>
      <c r="L252" s="1" t="s">
        <v>8</v>
      </c>
      <c r="M252" s="1" t="n">
        <v>2243</v>
      </c>
      <c r="N252" s="1" t="n">
        <v>56</v>
      </c>
    </row>
    <row r="253" customFormat="false" ht="13.8" hidden="false" customHeight="false" outlineLevel="0" collapsed="false">
      <c r="K253" s="3" t="n">
        <v>46168.8578009259</v>
      </c>
      <c r="L253" s="1" t="s">
        <v>8</v>
      </c>
      <c r="M253" s="1" t="n">
        <v>2243</v>
      </c>
      <c r="N253" s="1" t="n">
        <v>56</v>
      </c>
    </row>
    <row r="254" customFormat="false" ht="13.8" hidden="false" customHeight="false" outlineLevel="0" collapsed="false">
      <c r="K254" s="3" t="n">
        <v>46168.8581365741</v>
      </c>
      <c r="L254" s="1" t="s">
        <v>8</v>
      </c>
      <c r="M254" s="1" t="n">
        <v>2243</v>
      </c>
      <c r="N254" s="1" t="n">
        <v>56</v>
      </c>
    </row>
    <row r="255" customFormat="false" ht="13.8" hidden="false" customHeight="false" outlineLevel="0" collapsed="false">
      <c r="K255" s="3" t="n">
        <v>46168.8584953704</v>
      </c>
      <c r="L255" s="1" t="s">
        <v>8</v>
      </c>
      <c r="M255" s="1" t="n">
        <v>2242</v>
      </c>
      <c r="N255" s="1" t="n">
        <v>56</v>
      </c>
    </row>
    <row r="256" customFormat="false" ht="13.8" hidden="false" customHeight="false" outlineLevel="0" collapsed="false">
      <c r="K256" s="3" t="n">
        <v>46168.8588425926</v>
      </c>
      <c r="L256" s="1" t="s">
        <v>8</v>
      </c>
      <c r="M256" s="1" t="n">
        <v>2241</v>
      </c>
      <c r="N256" s="1" t="n">
        <v>56</v>
      </c>
    </row>
    <row r="257" customFormat="false" ht="13.8" hidden="false" customHeight="false" outlineLevel="0" collapsed="false">
      <c r="K257" s="3" t="n">
        <v>46168.8368287037</v>
      </c>
      <c r="L257" s="1" t="s">
        <v>9</v>
      </c>
      <c r="M257" s="1" t="n">
        <v>4095</v>
      </c>
      <c r="N257" s="1" t="n">
        <v>0</v>
      </c>
    </row>
    <row r="258" customFormat="false" ht="13.8" hidden="false" customHeight="false" outlineLevel="0" collapsed="false">
      <c r="K258" s="3" t="n">
        <v>46168.8371643519</v>
      </c>
      <c r="L258" s="1" t="s">
        <v>9</v>
      </c>
      <c r="M258" s="1" t="n">
        <v>1815</v>
      </c>
      <c r="N258" s="1" t="n">
        <v>100</v>
      </c>
    </row>
    <row r="259" customFormat="false" ht="13.8" hidden="false" customHeight="false" outlineLevel="0" collapsed="false">
      <c r="K259" s="3" t="n">
        <v>46168.8375</v>
      </c>
      <c r="L259" s="1" t="s">
        <v>9</v>
      </c>
      <c r="M259" s="1" t="n">
        <v>1922</v>
      </c>
      <c r="N259" s="1" t="n">
        <v>100</v>
      </c>
    </row>
    <row r="260" customFormat="false" ht="13.8" hidden="false" customHeight="false" outlineLevel="0" collapsed="false">
      <c r="K260" s="3" t="n">
        <v>46168.8378472222</v>
      </c>
      <c r="L260" s="1" t="s">
        <v>9</v>
      </c>
      <c r="M260" s="1" t="n">
        <v>1971</v>
      </c>
      <c r="N260" s="1" t="n">
        <v>97</v>
      </c>
    </row>
    <row r="261" customFormat="false" ht="13.8" hidden="false" customHeight="false" outlineLevel="0" collapsed="false">
      <c r="K261" s="3" t="n">
        <v>46168.8382060185</v>
      </c>
      <c r="L261" s="1" t="s">
        <v>9</v>
      </c>
      <c r="M261" s="1" t="n">
        <v>2002</v>
      </c>
      <c r="N261" s="1" t="n">
        <v>91</v>
      </c>
    </row>
    <row r="262" customFormat="false" ht="13.8" hidden="false" customHeight="false" outlineLevel="0" collapsed="false">
      <c r="K262" s="3" t="n">
        <v>46168.8385532407</v>
      </c>
      <c r="L262" s="1" t="s">
        <v>9</v>
      </c>
      <c r="M262" s="1" t="n">
        <v>2021</v>
      </c>
      <c r="N262" s="1" t="n">
        <v>88</v>
      </c>
    </row>
    <row r="263" customFormat="false" ht="13.8" hidden="false" customHeight="false" outlineLevel="0" collapsed="false">
      <c r="K263" s="3" t="n">
        <v>46168.838900463</v>
      </c>
      <c r="L263" s="1" t="s">
        <v>9</v>
      </c>
      <c r="M263" s="1" t="n">
        <v>2038</v>
      </c>
      <c r="N263" s="1" t="n">
        <v>85</v>
      </c>
    </row>
    <row r="264" customFormat="false" ht="13.8" hidden="false" customHeight="false" outlineLevel="0" collapsed="false">
      <c r="K264" s="3" t="n">
        <v>46168.8396296296</v>
      </c>
      <c r="L264" s="1" t="s">
        <v>9</v>
      </c>
      <c r="M264" s="1" t="n">
        <v>2065</v>
      </c>
      <c r="N264" s="1" t="n">
        <v>80</v>
      </c>
    </row>
    <row r="265" customFormat="false" ht="13.8" hidden="false" customHeight="false" outlineLevel="0" collapsed="false">
      <c r="K265" s="3" t="n">
        <v>46168.8399537037</v>
      </c>
      <c r="L265" s="1" t="s">
        <v>9</v>
      </c>
      <c r="M265" s="1" t="n">
        <v>2066</v>
      </c>
      <c r="N265" s="1" t="n">
        <v>80</v>
      </c>
    </row>
    <row r="266" customFormat="false" ht="13.8" hidden="false" customHeight="false" outlineLevel="0" collapsed="false">
      <c r="K266" s="3" t="n">
        <v>46168.8403356482</v>
      </c>
      <c r="L266" s="1" t="s">
        <v>9</v>
      </c>
      <c r="M266" s="1" t="n">
        <v>2073</v>
      </c>
      <c r="N266" s="1" t="n">
        <v>79</v>
      </c>
    </row>
    <row r="267" customFormat="false" ht="13.8" hidden="false" customHeight="false" outlineLevel="0" collapsed="false">
      <c r="K267" s="3" t="n">
        <v>46168.8406597222</v>
      </c>
      <c r="L267" s="1" t="s">
        <v>9</v>
      </c>
      <c r="M267" s="1" t="n">
        <v>2078</v>
      </c>
      <c r="N267" s="1" t="n">
        <v>78</v>
      </c>
    </row>
    <row r="268" customFormat="false" ht="13.8" hidden="false" customHeight="false" outlineLevel="0" collapsed="false">
      <c r="K268" s="3" t="n">
        <v>46168.8410069444</v>
      </c>
      <c r="L268" s="1" t="s">
        <v>9</v>
      </c>
      <c r="M268" s="1" t="n">
        <v>2084</v>
      </c>
      <c r="N268" s="1" t="n">
        <v>77</v>
      </c>
    </row>
    <row r="269" customFormat="false" ht="13.8" hidden="false" customHeight="false" outlineLevel="0" collapsed="false">
      <c r="K269" s="3" t="n">
        <v>46168.8413541667</v>
      </c>
      <c r="L269" s="1" t="s">
        <v>9</v>
      </c>
      <c r="M269" s="1" t="n">
        <v>2089</v>
      </c>
      <c r="N269" s="1" t="n">
        <v>76</v>
      </c>
    </row>
    <row r="270" customFormat="false" ht="13.8" hidden="false" customHeight="false" outlineLevel="0" collapsed="false">
      <c r="K270" s="3" t="n">
        <v>46168.841712963</v>
      </c>
      <c r="L270" s="1" t="s">
        <v>9</v>
      </c>
      <c r="M270" s="1" t="n">
        <v>2092</v>
      </c>
      <c r="N270" s="1" t="n">
        <v>76</v>
      </c>
    </row>
    <row r="271" customFormat="false" ht="13.8" hidden="false" customHeight="false" outlineLevel="0" collapsed="false">
      <c r="K271" s="3" t="n">
        <v>46168.8420601852</v>
      </c>
      <c r="L271" s="1" t="s">
        <v>9</v>
      </c>
      <c r="M271" s="1" t="n">
        <v>2096</v>
      </c>
      <c r="N271" s="1" t="n">
        <v>75</v>
      </c>
    </row>
    <row r="272" customFormat="false" ht="13.8" hidden="false" customHeight="false" outlineLevel="0" collapsed="false">
      <c r="K272" s="3" t="n">
        <v>46168.8424074074</v>
      </c>
      <c r="L272" s="1" t="s">
        <v>9</v>
      </c>
      <c r="M272" s="1" t="n">
        <v>2096</v>
      </c>
      <c r="N272" s="1" t="n">
        <v>75</v>
      </c>
    </row>
    <row r="273" customFormat="false" ht="13.8" hidden="false" customHeight="false" outlineLevel="0" collapsed="false">
      <c r="K273" s="3" t="n">
        <v>46168.8427893519</v>
      </c>
      <c r="L273" s="1" t="s">
        <v>9</v>
      </c>
      <c r="M273" s="1" t="n">
        <v>2095</v>
      </c>
      <c r="N273" s="1" t="n">
        <v>75</v>
      </c>
    </row>
    <row r="274" customFormat="false" ht="13.8" hidden="false" customHeight="false" outlineLevel="0" collapsed="false">
      <c r="K274" s="3" t="n">
        <v>46168.8431018519</v>
      </c>
      <c r="L274" s="1" t="s">
        <v>9</v>
      </c>
      <c r="M274" s="1" t="n">
        <v>2103</v>
      </c>
      <c r="N274" s="1" t="n">
        <v>74</v>
      </c>
    </row>
    <row r="275" customFormat="false" ht="13.8" hidden="false" customHeight="false" outlineLevel="0" collapsed="false">
      <c r="K275" s="3" t="n">
        <v>46168.8434606482</v>
      </c>
      <c r="L275" s="1" t="s">
        <v>9</v>
      </c>
      <c r="M275" s="1" t="n">
        <v>2109</v>
      </c>
      <c r="N275" s="1" t="n">
        <v>73</v>
      </c>
    </row>
    <row r="276" customFormat="false" ht="13.8" hidden="false" customHeight="false" outlineLevel="0" collapsed="false">
      <c r="K276" s="3" t="n">
        <v>46168.8438194445</v>
      </c>
      <c r="L276" s="1" t="s">
        <v>9</v>
      </c>
      <c r="M276" s="1" t="n">
        <v>2110</v>
      </c>
      <c r="N276" s="1" t="n">
        <v>73</v>
      </c>
    </row>
    <row r="277" customFormat="false" ht="13.8" hidden="false" customHeight="false" outlineLevel="0" collapsed="false">
      <c r="K277" s="3" t="n">
        <v>46168.8441782407</v>
      </c>
      <c r="L277" s="1" t="s">
        <v>9</v>
      </c>
      <c r="M277" s="1" t="n">
        <v>2114</v>
      </c>
      <c r="N277" s="1" t="n">
        <v>72</v>
      </c>
    </row>
    <row r="278" customFormat="false" ht="13.8" hidden="false" customHeight="false" outlineLevel="0" collapsed="false">
      <c r="K278" s="3" t="n">
        <v>46168.844525463</v>
      </c>
      <c r="L278" s="1" t="s">
        <v>9</v>
      </c>
      <c r="M278" s="1" t="n">
        <v>2122</v>
      </c>
      <c r="N278" s="1" t="n">
        <v>71</v>
      </c>
    </row>
    <row r="279" customFormat="false" ht="13.8" hidden="false" customHeight="false" outlineLevel="0" collapsed="false">
      <c r="K279" s="3" t="n">
        <v>46168.8448611111</v>
      </c>
      <c r="L279" s="1" t="s">
        <v>9</v>
      </c>
      <c r="M279" s="1" t="n">
        <v>2117</v>
      </c>
      <c r="N279" s="1" t="n">
        <v>71</v>
      </c>
    </row>
    <row r="280" customFormat="false" ht="13.8" hidden="false" customHeight="false" outlineLevel="0" collapsed="false">
      <c r="K280" s="3" t="n">
        <v>46168.8452083333</v>
      </c>
      <c r="L280" s="1" t="s">
        <v>9</v>
      </c>
      <c r="M280" s="1" t="n">
        <v>2114</v>
      </c>
      <c r="N280" s="1" t="n">
        <v>72</v>
      </c>
    </row>
    <row r="281" customFormat="false" ht="13.8" hidden="false" customHeight="false" outlineLevel="0" collapsed="false">
      <c r="K281" s="3" t="n">
        <v>46168.8455555556</v>
      </c>
      <c r="L281" s="1" t="s">
        <v>9</v>
      </c>
      <c r="M281" s="1" t="n">
        <v>2115</v>
      </c>
      <c r="N281" s="1" t="n">
        <v>72</v>
      </c>
    </row>
    <row r="282" customFormat="false" ht="13.8" hidden="false" customHeight="false" outlineLevel="0" collapsed="false">
      <c r="K282" s="3" t="n">
        <v>46168.8459143519</v>
      </c>
      <c r="L282" s="1" t="s">
        <v>9</v>
      </c>
      <c r="M282" s="1" t="n">
        <v>2118</v>
      </c>
      <c r="N282" s="1" t="n">
        <v>71</v>
      </c>
    </row>
    <row r="283" customFormat="false" ht="13.8" hidden="false" customHeight="false" outlineLevel="0" collapsed="false">
      <c r="K283" s="3" t="n">
        <v>46168.84625</v>
      </c>
      <c r="L283" s="1" t="s">
        <v>9</v>
      </c>
      <c r="M283" s="1" t="n">
        <v>2126</v>
      </c>
      <c r="N283" s="1" t="n">
        <v>70</v>
      </c>
    </row>
    <row r="284" customFormat="false" ht="13.8" hidden="false" customHeight="false" outlineLevel="0" collapsed="false">
      <c r="K284" s="3" t="n">
        <v>46168.8465972222</v>
      </c>
      <c r="L284" s="1" t="s">
        <v>9</v>
      </c>
      <c r="M284" s="1" t="n">
        <v>2126</v>
      </c>
      <c r="N284" s="1" t="n">
        <v>70</v>
      </c>
    </row>
    <row r="285" customFormat="false" ht="13.8" hidden="false" customHeight="false" outlineLevel="0" collapsed="false">
      <c r="K285" s="3" t="n">
        <v>46168.8469560185</v>
      </c>
      <c r="L285" s="1" t="s">
        <v>9</v>
      </c>
      <c r="M285" s="1" t="n">
        <v>2128</v>
      </c>
      <c r="N285" s="1" t="n">
        <v>70</v>
      </c>
    </row>
    <row r="286" customFormat="false" ht="13.8" hidden="false" customHeight="false" outlineLevel="0" collapsed="false">
      <c r="K286" s="3" t="n">
        <v>46168.8473032407</v>
      </c>
      <c r="L286" s="1" t="s">
        <v>9</v>
      </c>
      <c r="M286" s="1" t="n">
        <v>2128</v>
      </c>
      <c r="N286" s="1" t="n">
        <v>70</v>
      </c>
    </row>
    <row r="287" customFormat="false" ht="13.8" hidden="false" customHeight="false" outlineLevel="0" collapsed="false">
      <c r="K287" s="3" t="n">
        <v>46168.847662037</v>
      </c>
      <c r="L287" s="1" t="s">
        <v>9</v>
      </c>
      <c r="M287" s="1" t="n">
        <v>2134</v>
      </c>
      <c r="N287" s="1" t="n">
        <v>68</v>
      </c>
    </row>
    <row r="288" customFormat="false" ht="13.8" hidden="false" customHeight="false" outlineLevel="0" collapsed="false">
      <c r="K288" s="3" t="n">
        <v>46168.8480092593</v>
      </c>
      <c r="L288" s="1" t="s">
        <v>9</v>
      </c>
      <c r="M288" s="1" t="n">
        <v>2132</v>
      </c>
      <c r="N288" s="1" t="n">
        <v>69</v>
      </c>
    </row>
    <row r="289" customFormat="false" ht="13.8" hidden="false" customHeight="false" outlineLevel="0" collapsed="false">
      <c r="K289" s="3" t="n">
        <v>46168.8483564815</v>
      </c>
      <c r="L289" s="1" t="s">
        <v>9</v>
      </c>
      <c r="M289" s="1" t="n">
        <v>2137</v>
      </c>
      <c r="N289" s="1" t="n">
        <v>68</v>
      </c>
    </row>
    <row r="290" customFormat="false" ht="13.8" hidden="false" customHeight="false" outlineLevel="0" collapsed="false">
      <c r="K290" s="3" t="n">
        <v>46168.8487037037</v>
      </c>
      <c r="L290" s="1" t="s">
        <v>9</v>
      </c>
      <c r="M290" s="1" t="n">
        <v>2134</v>
      </c>
      <c r="N290" s="1" t="n">
        <v>68</v>
      </c>
    </row>
    <row r="291" customFormat="false" ht="13.8" hidden="false" customHeight="false" outlineLevel="0" collapsed="false">
      <c r="K291" s="3" t="n">
        <v>46168.8490509259</v>
      </c>
      <c r="L291" s="1" t="s">
        <v>9</v>
      </c>
      <c r="M291" s="1" t="n">
        <v>2134</v>
      </c>
      <c r="N291" s="1" t="n">
        <v>68</v>
      </c>
    </row>
    <row r="292" customFormat="false" ht="13.8" hidden="false" customHeight="false" outlineLevel="0" collapsed="false">
      <c r="K292" s="3" t="n">
        <v>46168.8493981482</v>
      </c>
      <c r="L292" s="1" t="s">
        <v>9</v>
      </c>
      <c r="M292" s="1" t="n">
        <v>2137</v>
      </c>
      <c r="N292" s="1" t="n">
        <v>68</v>
      </c>
    </row>
    <row r="293" customFormat="false" ht="13.8" hidden="false" customHeight="false" outlineLevel="0" collapsed="false">
      <c r="K293" s="3" t="n">
        <v>46168.8497453704</v>
      </c>
      <c r="L293" s="1" t="s">
        <v>9</v>
      </c>
      <c r="M293" s="1" t="n">
        <v>2140</v>
      </c>
      <c r="N293" s="1" t="n">
        <v>67</v>
      </c>
    </row>
    <row r="294" customFormat="false" ht="13.8" hidden="false" customHeight="false" outlineLevel="0" collapsed="false">
      <c r="K294" s="3" t="n">
        <v>46168.8500925926</v>
      </c>
      <c r="L294" s="1" t="s">
        <v>9</v>
      </c>
      <c r="M294" s="1" t="n">
        <v>2149</v>
      </c>
      <c r="N294" s="1" t="n">
        <v>66</v>
      </c>
    </row>
    <row r="295" customFormat="false" ht="13.8" hidden="false" customHeight="false" outlineLevel="0" collapsed="false">
      <c r="K295" s="3" t="n">
        <v>46168.8504398148</v>
      </c>
      <c r="L295" s="1" t="s">
        <v>9</v>
      </c>
      <c r="M295" s="1" t="n">
        <v>2145</v>
      </c>
      <c r="N295" s="1" t="n">
        <v>67</v>
      </c>
    </row>
    <row r="296" customFormat="false" ht="13.8" hidden="false" customHeight="false" outlineLevel="0" collapsed="false">
      <c r="K296" s="3" t="n">
        <v>46168.850787037</v>
      </c>
      <c r="L296" s="1" t="s">
        <v>9</v>
      </c>
      <c r="M296" s="1" t="n">
        <v>2144</v>
      </c>
      <c r="N296" s="1" t="n">
        <v>67</v>
      </c>
    </row>
    <row r="297" customFormat="false" ht="13.8" hidden="false" customHeight="false" outlineLevel="0" collapsed="false">
      <c r="K297" s="3" t="n">
        <v>46168.8511574074</v>
      </c>
      <c r="L297" s="1" t="s">
        <v>9</v>
      </c>
      <c r="M297" s="1" t="n">
        <v>2147</v>
      </c>
      <c r="N297" s="1" t="n">
        <v>66</v>
      </c>
    </row>
    <row r="298" customFormat="false" ht="13.8" hidden="false" customHeight="false" outlineLevel="0" collapsed="false">
      <c r="K298" s="3" t="n">
        <v>46168.8515046296</v>
      </c>
      <c r="L298" s="1" t="s">
        <v>9</v>
      </c>
      <c r="M298" s="1" t="n">
        <v>2146</v>
      </c>
      <c r="N298" s="1" t="n">
        <v>66</v>
      </c>
    </row>
    <row r="299" customFormat="false" ht="13.8" hidden="false" customHeight="false" outlineLevel="0" collapsed="false">
      <c r="K299" s="3" t="n">
        <v>46168.8518518519</v>
      </c>
      <c r="L299" s="1" t="s">
        <v>9</v>
      </c>
      <c r="M299" s="1" t="n">
        <v>2146</v>
      </c>
      <c r="N299" s="1" t="n">
        <v>66</v>
      </c>
    </row>
    <row r="300" customFormat="false" ht="13.8" hidden="false" customHeight="false" outlineLevel="0" collapsed="false">
      <c r="K300" s="3" t="n">
        <v>46168.8522106482</v>
      </c>
      <c r="L300" s="1" t="s">
        <v>9</v>
      </c>
      <c r="M300" s="1" t="n">
        <v>2157</v>
      </c>
      <c r="N300" s="1" t="n">
        <v>64</v>
      </c>
    </row>
    <row r="301" customFormat="false" ht="13.8" hidden="false" customHeight="false" outlineLevel="0" collapsed="false">
      <c r="K301" s="3" t="n">
        <v>46168.8525578704</v>
      </c>
      <c r="L301" s="1" t="s">
        <v>9</v>
      </c>
      <c r="M301" s="1" t="n">
        <v>2150</v>
      </c>
      <c r="N301" s="1" t="n">
        <v>66</v>
      </c>
    </row>
    <row r="302" customFormat="false" ht="13.8" hidden="false" customHeight="false" outlineLevel="0" collapsed="false">
      <c r="K302" s="3" t="n">
        <v>46168.8529050926</v>
      </c>
      <c r="L302" s="1" t="s">
        <v>9</v>
      </c>
      <c r="M302" s="1" t="n">
        <v>2149</v>
      </c>
      <c r="N302" s="1" t="n">
        <v>66</v>
      </c>
    </row>
    <row r="303" customFormat="false" ht="13.8" hidden="false" customHeight="false" outlineLevel="0" collapsed="false">
      <c r="K303" s="3" t="n">
        <v>46168.8532523148</v>
      </c>
      <c r="L303" s="1" t="s">
        <v>9</v>
      </c>
      <c r="M303" s="1" t="n">
        <v>2153</v>
      </c>
      <c r="N303" s="1" t="n">
        <v>65</v>
      </c>
    </row>
    <row r="304" customFormat="false" ht="13.8" hidden="false" customHeight="false" outlineLevel="0" collapsed="false">
      <c r="K304" s="3" t="n">
        <v>46168.8536111111</v>
      </c>
      <c r="L304" s="1" t="s">
        <v>9</v>
      </c>
      <c r="M304" s="1" t="n">
        <v>2155</v>
      </c>
      <c r="N304" s="1" t="n">
        <v>65</v>
      </c>
    </row>
    <row r="305" customFormat="false" ht="13.8" hidden="false" customHeight="false" outlineLevel="0" collapsed="false">
      <c r="K305" s="3" t="n">
        <v>46168.8539467593</v>
      </c>
      <c r="L305" s="1" t="s">
        <v>9</v>
      </c>
      <c r="M305" s="1" t="n">
        <v>2159</v>
      </c>
      <c r="N305" s="1" t="n">
        <v>64</v>
      </c>
    </row>
    <row r="306" customFormat="false" ht="13.8" hidden="false" customHeight="false" outlineLevel="0" collapsed="false">
      <c r="K306" s="3" t="n">
        <v>46168.8543055556</v>
      </c>
      <c r="L306" s="1" t="s">
        <v>9</v>
      </c>
      <c r="M306" s="1" t="n">
        <v>2139</v>
      </c>
      <c r="N306" s="1" t="n">
        <v>68</v>
      </c>
    </row>
    <row r="307" customFormat="false" ht="13.8" hidden="false" customHeight="false" outlineLevel="0" collapsed="false">
      <c r="K307" s="3" t="n">
        <v>46168.8546527778</v>
      </c>
      <c r="L307" s="1" t="s">
        <v>9</v>
      </c>
      <c r="M307" s="1" t="n">
        <v>2157</v>
      </c>
      <c r="N307" s="1" t="n">
        <v>64</v>
      </c>
    </row>
    <row r="308" customFormat="false" ht="13.8" hidden="false" customHeight="false" outlineLevel="0" collapsed="false">
      <c r="K308" s="3" t="n">
        <v>46168.8550115741</v>
      </c>
      <c r="L308" s="1" t="s">
        <v>9</v>
      </c>
      <c r="M308" s="1" t="n">
        <v>2158</v>
      </c>
      <c r="N308" s="1" t="n">
        <v>64</v>
      </c>
    </row>
    <row r="309" customFormat="false" ht="13.8" hidden="false" customHeight="false" outlineLevel="0" collapsed="false">
      <c r="K309" s="3" t="n">
        <v>46168.8553356482</v>
      </c>
      <c r="L309" s="1" t="s">
        <v>9</v>
      </c>
      <c r="M309" s="1" t="n">
        <v>2160</v>
      </c>
      <c r="N309" s="1" t="n">
        <v>64</v>
      </c>
    </row>
    <row r="310" customFormat="false" ht="13.8" hidden="false" customHeight="false" outlineLevel="0" collapsed="false">
      <c r="K310" s="3" t="n">
        <v>46168.8556944444</v>
      </c>
      <c r="L310" s="1" t="s">
        <v>9</v>
      </c>
      <c r="M310" s="1" t="n">
        <v>2159</v>
      </c>
      <c r="N310" s="1" t="n">
        <v>64</v>
      </c>
    </row>
    <row r="311" customFormat="false" ht="13.8" hidden="false" customHeight="false" outlineLevel="0" collapsed="false">
      <c r="K311" s="3" t="n">
        <v>46168.8560532407</v>
      </c>
      <c r="L311" s="1" t="s">
        <v>9</v>
      </c>
      <c r="M311" s="1" t="n">
        <v>2160</v>
      </c>
      <c r="N311" s="1" t="n">
        <v>64</v>
      </c>
    </row>
    <row r="312" customFormat="false" ht="13.8" hidden="false" customHeight="false" outlineLevel="0" collapsed="false">
      <c r="K312" s="3" t="n">
        <v>46168.856400463</v>
      </c>
      <c r="L312" s="1" t="s">
        <v>9</v>
      </c>
      <c r="M312" s="1" t="n">
        <v>2160</v>
      </c>
      <c r="N312" s="1" t="n">
        <v>64</v>
      </c>
    </row>
    <row r="313" customFormat="false" ht="13.8" hidden="false" customHeight="false" outlineLevel="0" collapsed="false">
      <c r="K313" s="3" t="n">
        <v>46168.8567476852</v>
      </c>
      <c r="L313" s="1" t="s">
        <v>9</v>
      </c>
      <c r="M313" s="1" t="n">
        <v>2160</v>
      </c>
      <c r="N313" s="1" t="n">
        <v>64</v>
      </c>
    </row>
    <row r="314" customFormat="false" ht="13.8" hidden="false" customHeight="false" outlineLevel="0" collapsed="false">
      <c r="K314" s="3" t="n">
        <v>46168.8570949074</v>
      </c>
      <c r="L314" s="1" t="s">
        <v>9</v>
      </c>
      <c r="M314" s="1" t="n">
        <v>2161</v>
      </c>
      <c r="N314" s="1" t="n">
        <v>64</v>
      </c>
    </row>
    <row r="315" customFormat="false" ht="13.8" hidden="false" customHeight="false" outlineLevel="0" collapsed="false">
      <c r="K315" s="3" t="n">
        <v>46168.8574421296</v>
      </c>
      <c r="L315" s="1" t="s">
        <v>9</v>
      </c>
      <c r="M315" s="1" t="n">
        <v>2162</v>
      </c>
      <c r="N315" s="1" t="n">
        <v>64</v>
      </c>
    </row>
    <row r="316" customFormat="false" ht="13.8" hidden="false" customHeight="false" outlineLevel="0" collapsed="false">
      <c r="K316" s="3" t="n">
        <v>46168.8578009259</v>
      </c>
      <c r="L316" s="1" t="s">
        <v>9</v>
      </c>
      <c r="M316" s="1" t="n">
        <v>2164</v>
      </c>
      <c r="N316" s="1" t="n">
        <v>63</v>
      </c>
    </row>
    <row r="317" customFormat="false" ht="13.8" hidden="false" customHeight="false" outlineLevel="0" collapsed="false">
      <c r="K317" s="3" t="n">
        <v>46168.8581481482</v>
      </c>
      <c r="L317" s="1" t="s">
        <v>9</v>
      </c>
      <c r="M317" s="1" t="n">
        <v>2162</v>
      </c>
      <c r="N317" s="1" t="n">
        <v>64</v>
      </c>
    </row>
    <row r="318" customFormat="false" ht="13.8" hidden="false" customHeight="false" outlineLevel="0" collapsed="false">
      <c r="K318" s="3" t="n">
        <v>46168.8584953704</v>
      </c>
      <c r="L318" s="1" t="s">
        <v>9</v>
      </c>
      <c r="M318" s="1" t="n">
        <v>2163</v>
      </c>
      <c r="N318" s="1" t="n">
        <v>63</v>
      </c>
    </row>
    <row r="319" customFormat="false" ht="13.8" hidden="false" customHeight="false" outlineLevel="0" collapsed="false">
      <c r="K319" s="3" t="n">
        <v>46168.8588425926</v>
      </c>
      <c r="L319" s="1" t="s">
        <v>9</v>
      </c>
      <c r="M319" s="1" t="n">
        <v>2164</v>
      </c>
      <c r="N319" s="1" t="n">
        <v>63</v>
      </c>
    </row>
    <row r="320" customFormat="false" ht="13.8" hidden="false" customHeight="false" outlineLevel="0" collapsed="false">
      <c r="K320" s="3" t="n">
        <v>46168.8367824074</v>
      </c>
      <c r="L320" s="51" t="s">
        <v>5</v>
      </c>
      <c r="M320" s="51"/>
      <c r="N320" s="51" t="n">
        <v>58.8</v>
      </c>
    </row>
    <row r="321" customFormat="false" ht="13.8" hidden="false" customHeight="false" outlineLevel="0" collapsed="false">
      <c r="K321" s="3" t="n">
        <v>46168.8371296296</v>
      </c>
      <c r="L321" s="1" t="s">
        <v>5</v>
      </c>
      <c r="M321" s="1"/>
      <c r="N321" s="1" t="n">
        <v>58.6</v>
      </c>
    </row>
    <row r="322" customFormat="false" ht="13.8" hidden="false" customHeight="false" outlineLevel="0" collapsed="false">
      <c r="K322" s="3" t="n">
        <v>46168.8374768519</v>
      </c>
      <c r="L322" s="1" t="s">
        <v>5</v>
      </c>
      <c r="M322" s="1"/>
      <c r="N322" s="1" t="n">
        <v>58.6</v>
      </c>
    </row>
    <row r="323" customFormat="false" ht="13.8" hidden="false" customHeight="false" outlineLevel="0" collapsed="false">
      <c r="K323" s="3" t="n">
        <v>46168.8378356482</v>
      </c>
      <c r="L323" s="1" t="s">
        <v>5</v>
      </c>
      <c r="M323" s="1"/>
      <c r="N323" s="1" t="n">
        <v>58.6</v>
      </c>
    </row>
    <row r="324" customFormat="false" ht="13.8" hidden="false" customHeight="false" outlineLevel="0" collapsed="false">
      <c r="K324" s="3" t="n">
        <v>46168.8381828704</v>
      </c>
      <c r="L324" s="1" t="s">
        <v>5</v>
      </c>
      <c r="M324" s="1"/>
      <c r="N324" s="1" t="n">
        <v>58.6</v>
      </c>
    </row>
    <row r="325" customFormat="false" ht="13.8" hidden="false" customHeight="false" outlineLevel="0" collapsed="false">
      <c r="K325" s="3" t="n">
        <v>46168.8385300926</v>
      </c>
      <c r="L325" s="1" t="s">
        <v>5</v>
      </c>
      <c r="M325" s="1"/>
      <c r="N325" s="1" t="n">
        <v>58.6</v>
      </c>
    </row>
    <row r="326" customFormat="false" ht="13.8" hidden="false" customHeight="false" outlineLevel="0" collapsed="false">
      <c r="K326" s="3" t="n">
        <v>46168.8388888889</v>
      </c>
      <c r="L326" s="1" t="s">
        <v>5</v>
      </c>
      <c r="M326" s="1"/>
      <c r="N326" s="1" t="n">
        <v>58.4</v>
      </c>
    </row>
    <row r="327" customFormat="false" ht="13.8" hidden="false" customHeight="false" outlineLevel="0" collapsed="false">
      <c r="K327" s="3" t="n">
        <v>46168.8392361111</v>
      </c>
      <c r="L327" s="1" t="s">
        <v>5</v>
      </c>
      <c r="M327" s="1"/>
      <c r="N327" s="1" t="n">
        <v>58.4</v>
      </c>
    </row>
    <row r="328" customFormat="false" ht="13.8" hidden="false" customHeight="false" outlineLevel="0" collapsed="false">
      <c r="K328" s="3" t="n">
        <v>46168.8395949074</v>
      </c>
      <c r="L328" s="1" t="s">
        <v>5</v>
      </c>
      <c r="M328" s="1"/>
      <c r="N328" s="1" t="n">
        <v>58.6</v>
      </c>
    </row>
    <row r="329" customFormat="false" ht="13.8" hidden="false" customHeight="false" outlineLevel="0" collapsed="false">
      <c r="K329" s="3" t="n">
        <v>46168.8399421296</v>
      </c>
      <c r="L329" s="1" t="s">
        <v>5</v>
      </c>
      <c r="M329" s="1"/>
      <c r="N329" s="1" t="n">
        <v>58.4</v>
      </c>
    </row>
    <row r="330" customFormat="false" ht="13.8" hidden="false" customHeight="false" outlineLevel="0" collapsed="false">
      <c r="K330" s="3" t="n">
        <v>46168.8402893519</v>
      </c>
      <c r="L330" s="1" t="s">
        <v>5</v>
      </c>
      <c r="M330" s="1"/>
      <c r="N330" s="1" t="n">
        <v>58.4</v>
      </c>
    </row>
    <row r="331" customFormat="false" ht="13.8" hidden="false" customHeight="false" outlineLevel="0" collapsed="false">
      <c r="K331" s="3" t="n">
        <v>46168.8406365741</v>
      </c>
      <c r="L331" s="1" t="s">
        <v>5</v>
      </c>
      <c r="M331" s="1"/>
      <c r="N331" s="1" t="n">
        <v>58.4</v>
      </c>
    </row>
    <row r="332" customFormat="false" ht="13.8" hidden="false" customHeight="false" outlineLevel="0" collapsed="false">
      <c r="K332" s="3" t="n">
        <v>46168.8409837963</v>
      </c>
      <c r="L332" s="1" t="s">
        <v>5</v>
      </c>
      <c r="M332" s="1"/>
      <c r="N332" s="1" t="n">
        <v>58.4</v>
      </c>
    </row>
    <row r="333" customFormat="false" ht="13.8" hidden="false" customHeight="false" outlineLevel="0" collapsed="false">
      <c r="K333" s="3" t="n">
        <v>46168.8413425926</v>
      </c>
      <c r="L333" s="1" t="s">
        <v>5</v>
      </c>
      <c r="M333" s="1"/>
      <c r="N333" s="1" t="n">
        <v>58.4</v>
      </c>
    </row>
    <row r="334" customFormat="false" ht="13.8" hidden="false" customHeight="false" outlineLevel="0" collapsed="false">
      <c r="K334" s="3" t="n">
        <v>46168.8416898148</v>
      </c>
      <c r="L334" s="1" t="s">
        <v>5</v>
      </c>
      <c r="M334" s="1"/>
      <c r="N334" s="1" t="n">
        <v>58.4</v>
      </c>
    </row>
    <row r="335" customFormat="false" ht="13.8" hidden="false" customHeight="false" outlineLevel="0" collapsed="false">
      <c r="K335" s="3" t="n">
        <v>46168.842037037</v>
      </c>
      <c r="L335" s="1" t="s">
        <v>5</v>
      </c>
      <c r="M335" s="1"/>
      <c r="N335" s="1" t="n">
        <v>58.4</v>
      </c>
    </row>
    <row r="336" customFormat="false" ht="13.8" hidden="false" customHeight="false" outlineLevel="0" collapsed="false">
      <c r="K336" s="3" t="n">
        <v>46168.8423958333</v>
      </c>
      <c r="L336" s="1" t="s">
        <v>5</v>
      </c>
      <c r="M336" s="1"/>
      <c r="N336" s="1" t="n">
        <v>58.4</v>
      </c>
    </row>
    <row r="337" customFormat="false" ht="13.8" hidden="false" customHeight="false" outlineLevel="0" collapsed="false">
      <c r="K337" s="3" t="n">
        <v>46168.8427430556</v>
      </c>
      <c r="L337" s="1" t="s">
        <v>5</v>
      </c>
      <c r="M337" s="1"/>
      <c r="N337" s="1" t="n">
        <v>58.4</v>
      </c>
    </row>
    <row r="338" customFormat="false" ht="13.8" hidden="false" customHeight="false" outlineLevel="0" collapsed="false">
      <c r="K338" s="3" t="n">
        <v>46168.8430902778</v>
      </c>
      <c r="L338" s="1" t="s">
        <v>5</v>
      </c>
      <c r="M338" s="1"/>
      <c r="N338" s="1" t="n">
        <v>58.4</v>
      </c>
    </row>
    <row r="339" customFormat="false" ht="13.8" hidden="false" customHeight="false" outlineLevel="0" collapsed="false">
      <c r="K339" s="3" t="n">
        <v>46168.8434375</v>
      </c>
      <c r="L339" s="1" t="s">
        <v>5</v>
      </c>
      <c r="M339" s="1"/>
      <c r="N339" s="1" t="n">
        <v>58.4</v>
      </c>
    </row>
    <row r="340" customFormat="false" ht="13.8" hidden="false" customHeight="false" outlineLevel="0" collapsed="false">
      <c r="K340" s="3" t="n">
        <v>46168.8437962963</v>
      </c>
      <c r="L340" s="1" t="s">
        <v>5</v>
      </c>
      <c r="M340" s="1"/>
      <c r="N340" s="1" t="n">
        <v>58.4</v>
      </c>
    </row>
    <row r="341" customFormat="false" ht="13.8" hidden="false" customHeight="false" outlineLevel="0" collapsed="false">
      <c r="K341" s="3" t="n">
        <v>46168.8441435185</v>
      </c>
      <c r="L341" s="1" t="s">
        <v>5</v>
      </c>
      <c r="M341" s="1"/>
      <c r="N341" s="1" t="n">
        <v>58.4</v>
      </c>
    </row>
    <row r="342" customFormat="false" ht="13.8" hidden="false" customHeight="false" outlineLevel="0" collapsed="false">
      <c r="K342" s="3" t="n">
        <v>46168.8444907407</v>
      </c>
      <c r="L342" s="1" t="s">
        <v>5</v>
      </c>
      <c r="M342" s="1"/>
      <c r="N342" s="1" t="n">
        <v>58.4</v>
      </c>
    </row>
    <row r="343" customFormat="false" ht="13.8" hidden="false" customHeight="false" outlineLevel="0" collapsed="false">
      <c r="K343" s="3" t="n">
        <v>46168.844837963</v>
      </c>
      <c r="L343" s="1" t="s">
        <v>5</v>
      </c>
      <c r="M343" s="1"/>
      <c r="N343" s="1" t="n">
        <v>58.4</v>
      </c>
    </row>
    <row r="344" customFormat="false" ht="13.8" hidden="false" customHeight="false" outlineLevel="0" collapsed="false">
      <c r="K344" s="3" t="n">
        <v>46168.8451967593</v>
      </c>
      <c r="L344" s="1" t="s">
        <v>5</v>
      </c>
      <c r="M344" s="1"/>
      <c r="N344" s="1" t="n">
        <v>58.4</v>
      </c>
    </row>
    <row r="345" customFormat="false" ht="13.8" hidden="false" customHeight="false" outlineLevel="0" collapsed="false">
      <c r="K345" s="3" t="n">
        <v>46168.8455439815</v>
      </c>
      <c r="L345" s="1" t="s">
        <v>5</v>
      </c>
      <c r="M345" s="1"/>
      <c r="N345" s="1" t="n">
        <v>58.4</v>
      </c>
    </row>
    <row r="346" customFormat="false" ht="13.8" hidden="false" customHeight="false" outlineLevel="0" collapsed="false">
      <c r="K346" s="3" t="n">
        <v>46168.8458912037</v>
      </c>
      <c r="L346" s="1" t="s">
        <v>5</v>
      </c>
      <c r="M346" s="1"/>
      <c r="N346" s="1" t="n">
        <v>58.4</v>
      </c>
    </row>
    <row r="347" customFormat="false" ht="13.8" hidden="false" customHeight="false" outlineLevel="0" collapsed="false">
      <c r="K347" s="3" t="n">
        <v>46168.8462384259</v>
      </c>
      <c r="L347" s="1" t="s">
        <v>5</v>
      </c>
      <c r="M347" s="1"/>
      <c r="N347" s="1" t="n">
        <v>58.4</v>
      </c>
    </row>
    <row r="348" customFormat="false" ht="13.8" hidden="false" customHeight="false" outlineLevel="0" collapsed="false">
      <c r="K348" s="3" t="n">
        <v>46168.8465856482</v>
      </c>
      <c r="L348" s="1" t="s">
        <v>5</v>
      </c>
      <c r="M348" s="1"/>
      <c r="N348" s="1" t="n">
        <v>58.4</v>
      </c>
    </row>
    <row r="349" customFormat="false" ht="13.8" hidden="false" customHeight="false" outlineLevel="0" collapsed="false">
      <c r="K349" s="3" t="n">
        <v>46168.8469328704</v>
      </c>
      <c r="L349" s="1" t="s">
        <v>5</v>
      </c>
      <c r="M349" s="1"/>
      <c r="N349" s="1" t="n">
        <v>58.4</v>
      </c>
    </row>
    <row r="350" customFormat="false" ht="13.8" hidden="false" customHeight="false" outlineLevel="0" collapsed="false">
      <c r="K350" s="3" t="n">
        <v>46168.8472916667</v>
      </c>
      <c r="L350" s="1" t="s">
        <v>5</v>
      </c>
      <c r="M350" s="1"/>
      <c r="N350" s="1" t="n">
        <v>58.4</v>
      </c>
    </row>
    <row r="351" customFormat="false" ht="13.8" hidden="false" customHeight="false" outlineLevel="0" collapsed="false">
      <c r="K351" s="3" t="n">
        <v>46168.8476388889</v>
      </c>
      <c r="L351" s="1" t="s">
        <v>5</v>
      </c>
      <c r="M351" s="1"/>
      <c r="N351" s="1" t="n">
        <v>58.4</v>
      </c>
    </row>
    <row r="352" customFormat="false" ht="13.8" hidden="false" customHeight="false" outlineLevel="0" collapsed="false">
      <c r="K352" s="3" t="n">
        <v>46168.8479861111</v>
      </c>
      <c r="L352" s="1" t="s">
        <v>5</v>
      </c>
      <c r="M352" s="1"/>
      <c r="N352" s="1" t="n">
        <v>58.4</v>
      </c>
    </row>
    <row r="353" customFormat="false" ht="13.8" hidden="false" customHeight="false" outlineLevel="0" collapsed="false">
      <c r="K353" s="3" t="n">
        <v>46168.8483333333</v>
      </c>
      <c r="L353" s="1" t="s">
        <v>5</v>
      </c>
      <c r="M353" s="1"/>
      <c r="N353" s="1" t="n">
        <v>58.4</v>
      </c>
    </row>
    <row r="354" customFormat="false" ht="13.8" hidden="false" customHeight="false" outlineLevel="0" collapsed="false">
      <c r="K354" s="3" t="n">
        <v>46168.8486805556</v>
      </c>
      <c r="L354" s="1" t="s">
        <v>5</v>
      </c>
      <c r="M354" s="1"/>
      <c r="N354" s="1" t="n">
        <v>58.4</v>
      </c>
    </row>
    <row r="355" customFormat="false" ht="13.8" hidden="false" customHeight="false" outlineLevel="0" collapsed="false">
      <c r="K355" s="3" t="n">
        <v>46168.8490393519</v>
      </c>
      <c r="L355" s="1" t="s">
        <v>5</v>
      </c>
      <c r="M355" s="1"/>
      <c r="N355" s="1" t="n">
        <v>58.4</v>
      </c>
    </row>
    <row r="356" customFormat="false" ht="13.8" hidden="false" customHeight="false" outlineLevel="0" collapsed="false">
      <c r="K356" s="3" t="n">
        <v>46168.8493865741</v>
      </c>
      <c r="L356" s="1" t="s">
        <v>5</v>
      </c>
      <c r="M356" s="1"/>
      <c r="N356" s="1" t="n">
        <v>58.4</v>
      </c>
    </row>
    <row r="357" customFormat="false" ht="13.8" hidden="false" customHeight="false" outlineLevel="0" collapsed="false">
      <c r="K357" s="3" t="n">
        <v>46168.8497337963</v>
      </c>
      <c r="L357" s="1" t="s">
        <v>5</v>
      </c>
      <c r="M357" s="1"/>
      <c r="N357" s="1" t="n">
        <v>58.4</v>
      </c>
    </row>
    <row r="358" customFormat="false" ht="13.8" hidden="false" customHeight="false" outlineLevel="0" collapsed="false">
      <c r="K358" s="3" t="n">
        <v>46168.8500810185</v>
      </c>
      <c r="L358" s="1" t="s">
        <v>5</v>
      </c>
      <c r="M358" s="1"/>
      <c r="N358" s="1" t="n">
        <v>58.4</v>
      </c>
    </row>
    <row r="359" customFormat="false" ht="13.8" hidden="false" customHeight="false" outlineLevel="0" collapsed="false">
      <c r="K359" s="3" t="n">
        <v>46168.8504282407</v>
      </c>
      <c r="L359" s="1" t="s">
        <v>5</v>
      </c>
      <c r="M359" s="1"/>
      <c r="N359" s="1" t="n">
        <v>58.4</v>
      </c>
    </row>
    <row r="360" customFormat="false" ht="13.8" hidden="false" customHeight="false" outlineLevel="0" collapsed="false">
      <c r="K360" s="3" t="n">
        <v>46168.850775463</v>
      </c>
      <c r="L360" s="1" t="s">
        <v>5</v>
      </c>
      <c r="M360" s="1"/>
      <c r="N360" s="1" t="n">
        <v>58.4</v>
      </c>
    </row>
    <row r="361" customFormat="false" ht="13.8" hidden="false" customHeight="false" outlineLevel="0" collapsed="false">
      <c r="K361" s="3" t="n">
        <v>46168.8511226852</v>
      </c>
      <c r="L361" s="1" t="s">
        <v>5</v>
      </c>
      <c r="M361" s="1"/>
      <c r="N361" s="1" t="n">
        <v>58.4</v>
      </c>
    </row>
    <row r="362" customFormat="false" ht="13.8" hidden="false" customHeight="false" outlineLevel="0" collapsed="false">
      <c r="K362" s="3" t="n">
        <v>46168.8514814815</v>
      </c>
      <c r="L362" s="1" t="s">
        <v>5</v>
      </c>
      <c r="M362" s="1"/>
      <c r="N362" s="1" t="n">
        <v>58.4</v>
      </c>
    </row>
    <row r="363" customFormat="false" ht="13.8" hidden="false" customHeight="false" outlineLevel="0" collapsed="false">
      <c r="K363" s="3" t="n">
        <v>46168.8518402778</v>
      </c>
      <c r="L363" s="1" t="s">
        <v>5</v>
      </c>
      <c r="M363" s="1"/>
      <c r="N363" s="1" t="n">
        <v>58.2</v>
      </c>
    </row>
    <row r="364" customFormat="false" ht="13.8" hidden="false" customHeight="false" outlineLevel="0" collapsed="false">
      <c r="K364" s="3" t="n">
        <v>46168.8521875</v>
      </c>
      <c r="L364" s="1" t="s">
        <v>5</v>
      </c>
      <c r="M364" s="1"/>
      <c r="N364" s="1" t="n">
        <v>58.4</v>
      </c>
    </row>
    <row r="365" customFormat="false" ht="13.8" hidden="false" customHeight="false" outlineLevel="0" collapsed="false">
      <c r="K365" s="3" t="n">
        <v>46168.8525462963</v>
      </c>
      <c r="L365" s="1" t="s">
        <v>5</v>
      </c>
      <c r="M365" s="1"/>
      <c r="N365" s="1" t="n">
        <v>58.4</v>
      </c>
    </row>
    <row r="366" customFormat="false" ht="13.8" hidden="false" customHeight="false" outlineLevel="0" collapsed="false">
      <c r="K366" s="3" t="n">
        <v>46168.8528935185</v>
      </c>
      <c r="L366" s="1" t="s">
        <v>5</v>
      </c>
      <c r="M366" s="1"/>
      <c r="N366" s="1" t="n">
        <v>58.4</v>
      </c>
    </row>
    <row r="367" customFormat="false" ht="13.8" hidden="false" customHeight="false" outlineLevel="0" collapsed="false">
      <c r="K367" s="3" t="n">
        <v>46168.8532407407</v>
      </c>
      <c r="L367" s="1" t="s">
        <v>5</v>
      </c>
      <c r="M367" s="1"/>
      <c r="N367" s="1" t="n">
        <v>58.4</v>
      </c>
    </row>
    <row r="368" customFormat="false" ht="13.8" hidden="false" customHeight="false" outlineLevel="0" collapsed="false">
      <c r="K368" s="3" t="n">
        <v>46168.853587963</v>
      </c>
      <c r="L368" s="1" t="s">
        <v>5</v>
      </c>
      <c r="M368" s="1"/>
      <c r="N368" s="1" t="n">
        <v>58.4</v>
      </c>
    </row>
    <row r="369" customFormat="false" ht="13.8" hidden="false" customHeight="false" outlineLevel="0" collapsed="false">
      <c r="K369" s="3" t="n">
        <v>46168.8539351852</v>
      </c>
      <c r="L369" s="1" t="s">
        <v>5</v>
      </c>
      <c r="M369" s="1"/>
      <c r="N369" s="1" t="n">
        <v>58.4</v>
      </c>
    </row>
    <row r="370" customFormat="false" ht="13.8" hidden="false" customHeight="false" outlineLevel="0" collapsed="false">
      <c r="K370" s="3" t="n">
        <v>46168.8542824074</v>
      </c>
      <c r="L370" s="1" t="s">
        <v>5</v>
      </c>
      <c r="M370" s="1"/>
      <c r="N370" s="1" t="n">
        <v>58.4</v>
      </c>
    </row>
    <row r="371" customFormat="false" ht="13.8" hidden="false" customHeight="false" outlineLevel="0" collapsed="false">
      <c r="K371" s="3" t="n">
        <v>46168.8546296296</v>
      </c>
      <c r="L371" s="1" t="s">
        <v>5</v>
      </c>
      <c r="M371" s="1"/>
      <c r="N371" s="1" t="n">
        <v>58.4</v>
      </c>
    </row>
    <row r="372" customFormat="false" ht="13.8" hidden="false" customHeight="false" outlineLevel="0" collapsed="false">
      <c r="K372" s="3" t="n">
        <v>46168.8549768519</v>
      </c>
      <c r="L372" s="1" t="s">
        <v>5</v>
      </c>
      <c r="M372" s="1"/>
      <c r="N372" s="1" t="n">
        <v>58.4</v>
      </c>
    </row>
    <row r="373" customFormat="false" ht="13.8" hidden="false" customHeight="false" outlineLevel="0" collapsed="false">
      <c r="K373" s="3" t="n">
        <v>46168.8553240741</v>
      </c>
      <c r="L373" s="1" t="s">
        <v>5</v>
      </c>
      <c r="M373" s="1"/>
      <c r="N373" s="1" t="n">
        <v>58.4</v>
      </c>
    </row>
    <row r="374" customFormat="false" ht="13.8" hidden="false" customHeight="false" outlineLevel="0" collapsed="false">
      <c r="K374" s="3" t="n">
        <v>46168.8556712963</v>
      </c>
      <c r="L374" s="1" t="s">
        <v>5</v>
      </c>
      <c r="M374" s="1"/>
      <c r="N374" s="1" t="n">
        <v>58.2</v>
      </c>
    </row>
    <row r="375" customFormat="false" ht="13.8" hidden="false" customHeight="false" outlineLevel="0" collapsed="false">
      <c r="K375" s="3" t="n">
        <v>46168.8560300926</v>
      </c>
      <c r="L375" s="1" t="s">
        <v>5</v>
      </c>
      <c r="M375" s="1"/>
      <c r="N375" s="1" t="n">
        <v>58.4</v>
      </c>
    </row>
    <row r="376" customFormat="false" ht="13.8" hidden="false" customHeight="false" outlineLevel="0" collapsed="false">
      <c r="K376" s="3" t="n">
        <v>46168.8563773148</v>
      </c>
      <c r="L376" s="1" t="s">
        <v>5</v>
      </c>
      <c r="M376" s="1"/>
      <c r="N376" s="1" t="n">
        <v>58.4</v>
      </c>
    </row>
    <row r="377" customFormat="false" ht="13.8" hidden="false" customHeight="false" outlineLevel="0" collapsed="false">
      <c r="K377" s="3" t="n">
        <v>46168.8567361111</v>
      </c>
      <c r="L377" s="1" t="s">
        <v>5</v>
      </c>
      <c r="M377" s="1"/>
      <c r="N377" s="1" t="n">
        <v>58.4</v>
      </c>
    </row>
    <row r="378" customFormat="false" ht="13.8" hidden="false" customHeight="false" outlineLevel="0" collapsed="false">
      <c r="K378" s="3" t="n">
        <v>46168.8570833333</v>
      </c>
      <c r="L378" s="1" t="s">
        <v>5</v>
      </c>
      <c r="M378" s="1"/>
      <c r="N378" s="1" t="n">
        <v>58.4</v>
      </c>
    </row>
    <row r="379" customFormat="false" ht="13.8" hidden="false" customHeight="false" outlineLevel="0" collapsed="false">
      <c r="K379" s="3" t="n">
        <v>46168.8574305556</v>
      </c>
      <c r="L379" s="1" t="s">
        <v>5</v>
      </c>
      <c r="M379" s="1"/>
      <c r="N379" s="1" t="n">
        <v>58.4</v>
      </c>
    </row>
    <row r="380" customFormat="false" ht="13.8" hidden="false" customHeight="false" outlineLevel="0" collapsed="false">
      <c r="K380" s="3" t="n">
        <v>46168.8577777778</v>
      </c>
      <c r="L380" s="1" t="s">
        <v>5</v>
      </c>
      <c r="M380" s="1"/>
      <c r="N380" s="1" t="n">
        <v>58.4</v>
      </c>
    </row>
    <row r="381" customFormat="false" ht="13.8" hidden="false" customHeight="false" outlineLevel="0" collapsed="false">
      <c r="K381" s="3" t="n">
        <v>46168.858125</v>
      </c>
      <c r="L381" s="1" t="s">
        <v>5</v>
      </c>
      <c r="M381" s="1"/>
      <c r="N381" s="1" t="n">
        <v>58.4</v>
      </c>
    </row>
    <row r="382" customFormat="false" ht="13.8" hidden="false" customHeight="false" outlineLevel="0" collapsed="false">
      <c r="K382" s="3" t="n">
        <v>46168.8584722222</v>
      </c>
      <c r="L382" s="1" t="s">
        <v>5</v>
      </c>
      <c r="M382" s="1"/>
      <c r="N382" s="1" t="n">
        <v>58.4</v>
      </c>
    </row>
    <row r="383" customFormat="false" ht="13.8" hidden="false" customHeight="false" outlineLevel="0" collapsed="false">
      <c r="K383" s="3" t="n">
        <v>46168.8588310185</v>
      </c>
      <c r="L383" s="1" t="s">
        <v>5</v>
      </c>
      <c r="M383" s="1"/>
      <c r="N383" s="1" t="n">
        <v>58.4</v>
      </c>
    </row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</sheetData>
  <autoFilter ref="K1:N383">
    <filterColumn colId="0" hiddenButton="1"/>
    <filterColumn colId="1" hiddenButton="1"/>
    <filterColumn colId="2" hiddenButton="1"/>
    <filterColumn colId="3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33"/>
  <sheetViews>
    <sheetView showFormulas="false" showGridLines="true" showRowColHeaders="true" showZeros="true" rightToLeft="false" tabSelected="false" showOutlineSymbols="true" defaultGridColor="true" view="normal" topLeftCell="A54" colorId="64" zoomScale="55" zoomScaleNormal="55" zoomScalePageLayoutView="100" workbookViewId="0">
      <selection pane="topLeft" activeCell="F83" activeCellId="0" sqref="F8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B1" s="1" t="s">
        <v>5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K1" s="3"/>
      <c r="L1" s="51"/>
      <c r="M1" s="51"/>
      <c r="N1" s="51"/>
    </row>
    <row r="2" customFormat="false" ht="13.8" hidden="false" customHeight="false" outlineLevel="0" collapsed="false">
      <c r="B2" s="1"/>
      <c r="C2" s="1"/>
      <c r="D2" s="1"/>
      <c r="E2" s="1"/>
      <c r="F2" s="1"/>
      <c r="G2" s="1"/>
      <c r="K2" s="3" t="n">
        <v>46168.8637152778</v>
      </c>
      <c r="L2" s="1" t="s">
        <v>6</v>
      </c>
      <c r="M2" s="1" t="n">
        <v>2640</v>
      </c>
      <c r="N2" s="1" t="n">
        <v>5</v>
      </c>
    </row>
    <row r="3" customFormat="false" ht="13.8" hidden="false" customHeight="false" outlineLevel="0" collapsed="false">
      <c r="B3" s="1"/>
      <c r="C3" s="1"/>
      <c r="D3" s="1"/>
      <c r="E3" s="1"/>
      <c r="F3" s="1"/>
      <c r="G3" s="1"/>
      <c r="K3" s="3" t="n">
        <v>46168.8640625</v>
      </c>
      <c r="L3" s="1" t="s">
        <v>6</v>
      </c>
      <c r="M3" s="1" t="n">
        <v>1199</v>
      </c>
      <c r="N3" s="1" t="n">
        <v>100</v>
      </c>
    </row>
    <row r="4" customFormat="false" ht="13.8" hidden="false" customHeight="false" outlineLevel="0" collapsed="false">
      <c r="B4" s="1" t="n">
        <v>87.6</v>
      </c>
      <c r="C4" s="1" t="n">
        <v>1297</v>
      </c>
      <c r="D4" s="1" t="n">
        <v>1200</v>
      </c>
      <c r="E4" s="1" t="n">
        <v>1891</v>
      </c>
      <c r="F4" s="1" t="n">
        <v>2063</v>
      </c>
      <c r="G4" s="1" t="n">
        <v>1968</v>
      </c>
      <c r="K4" s="3" t="n">
        <v>46168.8644097222</v>
      </c>
      <c r="L4" s="1" t="s">
        <v>6</v>
      </c>
      <c r="M4" s="1" t="n">
        <v>1200</v>
      </c>
      <c r="N4" s="1" t="n">
        <v>100</v>
      </c>
    </row>
    <row r="5" customFormat="false" ht="13.8" hidden="false" customHeight="false" outlineLevel="0" collapsed="false">
      <c r="B5" s="1" t="n">
        <v>87.6</v>
      </c>
      <c r="C5" s="1" t="n">
        <v>1284</v>
      </c>
      <c r="D5" s="1" t="n">
        <v>1210</v>
      </c>
      <c r="E5" s="1" t="n">
        <v>1930</v>
      </c>
      <c r="F5" s="1" t="n">
        <v>2086</v>
      </c>
      <c r="G5" s="1" t="n">
        <v>1994</v>
      </c>
      <c r="K5" s="3" t="n">
        <v>46168.8647569444</v>
      </c>
      <c r="L5" s="1" t="s">
        <v>6</v>
      </c>
      <c r="M5" s="1" t="n">
        <v>1210</v>
      </c>
      <c r="N5" s="1" t="n">
        <v>100</v>
      </c>
    </row>
    <row r="6" customFormat="false" ht="13.8" hidden="false" customHeight="false" outlineLevel="0" collapsed="false">
      <c r="B6" s="1" t="n">
        <v>87.6</v>
      </c>
      <c r="C6" s="1" t="n">
        <v>1286</v>
      </c>
      <c r="D6" s="1" t="n">
        <v>1289</v>
      </c>
      <c r="E6" s="1" t="n">
        <v>1941</v>
      </c>
      <c r="F6" s="1" t="n">
        <v>2101</v>
      </c>
      <c r="G6" s="1" t="n">
        <v>2016</v>
      </c>
      <c r="K6" s="3" t="n">
        <v>46168.8651157407</v>
      </c>
      <c r="L6" s="1" t="s">
        <v>6</v>
      </c>
      <c r="M6" s="1" t="n">
        <v>1289</v>
      </c>
      <c r="N6" s="1" t="n">
        <v>94</v>
      </c>
    </row>
    <row r="7" customFormat="false" ht="13.8" hidden="false" customHeight="false" outlineLevel="0" collapsed="false">
      <c r="B7" s="1" t="n">
        <v>87.6</v>
      </c>
      <c r="C7" s="1" t="n">
        <v>1255</v>
      </c>
      <c r="D7" s="1" t="n">
        <v>1199</v>
      </c>
      <c r="E7" s="1" t="n">
        <v>1967</v>
      </c>
      <c r="F7" s="1" t="n">
        <v>2108</v>
      </c>
      <c r="G7" s="1" t="n">
        <v>2013</v>
      </c>
      <c r="K7" s="3" t="n">
        <v>46168.865462963</v>
      </c>
      <c r="L7" s="1" t="s">
        <v>6</v>
      </c>
      <c r="M7" s="1" t="n">
        <v>1199</v>
      </c>
      <c r="N7" s="1" t="n">
        <v>100</v>
      </c>
    </row>
    <row r="8" customFormat="false" ht="13.8" hidden="false" customHeight="false" outlineLevel="0" collapsed="false">
      <c r="B8" s="1" t="n">
        <v>87.6</v>
      </c>
      <c r="C8" s="1" t="n">
        <v>1296</v>
      </c>
      <c r="D8" s="1" t="n">
        <v>1197</v>
      </c>
      <c r="E8" s="1" t="n">
        <v>1970</v>
      </c>
      <c r="F8" s="1" t="n">
        <v>2113</v>
      </c>
      <c r="G8" s="1" t="n">
        <v>2023</v>
      </c>
      <c r="K8" s="3" t="n">
        <v>46168.8658217593</v>
      </c>
      <c r="L8" s="1" t="s">
        <v>6</v>
      </c>
      <c r="M8" s="1" t="n">
        <v>1197</v>
      </c>
      <c r="N8" s="1" t="n">
        <v>100</v>
      </c>
    </row>
    <row r="9" customFormat="false" ht="13.8" hidden="false" customHeight="false" outlineLevel="0" collapsed="false">
      <c r="B9" s="1" t="n">
        <v>87.6</v>
      </c>
      <c r="C9" s="1" t="n">
        <v>1268</v>
      </c>
      <c r="D9" s="1" t="n">
        <v>1312</v>
      </c>
      <c r="E9" s="1" t="n">
        <v>1983</v>
      </c>
      <c r="F9" s="1" t="n">
        <v>2123</v>
      </c>
      <c r="G9" s="1" t="n">
        <v>2032</v>
      </c>
      <c r="K9" s="3" t="n">
        <v>46168.8661689815</v>
      </c>
      <c r="L9" s="1" t="s">
        <v>6</v>
      </c>
      <c r="M9" s="1" t="n">
        <v>1312</v>
      </c>
      <c r="N9" s="1" t="n">
        <v>93</v>
      </c>
    </row>
    <row r="10" customFormat="false" ht="13.8" hidden="false" customHeight="false" outlineLevel="0" collapsed="false">
      <c r="B10" s="1" t="n">
        <v>87.4</v>
      </c>
      <c r="C10" s="1" t="n">
        <v>1264</v>
      </c>
      <c r="D10" s="1" t="n">
        <v>1227</v>
      </c>
      <c r="E10" s="1" t="n">
        <v>1993</v>
      </c>
      <c r="F10" s="1" t="n">
        <v>2083</v>
      </c>
      <c r="G10" s="1" t="n">
        <v>2033</v>
      </c>
      <c r="K10" s="3" t="n">
        <v>46168.8665162037</v>
      </c>
      <c r="L10" s="1" t="s">
        <v>6</v>
      </c>
      <c r="M10" s="1" t="n">
        <v>1227</v>
      </c>
      <c r="N10" s="1" t="n">
        <v>99</v>
      </c>
    </row>
    <row r="11" customFormat="false" ht="13.8" hidden="false" customHeight="false" outlineLevel="0" collapsed="false">
      <c r="B11" s="1" t="n">
        <v>87.6</v>
      </c>
      <c r="C11" s="1" t="n">
        <v>1270</v>
      </c>
      <c r="D11" s="1" t="n">
        <v>1253</v>
      </c>
      <c r="E11" s="1" t="n">
        <v>2000</v>
      </c>
      <c r="F11" s="1" t="n">
        <v>2125</v>
      </c>
      <c r="G11" s="1" t="n">
        <v>2043</v>
      </c>
      <c r="K11" s="3" t="n">
        <v>46168.866875</v>
      </c>
      <c r="L11" s="1" t="s">
        <v>6</v>
      </c>
      <c r="M11" s="1" t="n">
        <v>1253</v>
      </c>
      <c r="N11" s="1" t="n">
        <v>97</v>
      </c>
    </row>
    <row r="12" customFormat="false" ht="13.8" hidden="false" customHeight="false" outlineLevel="0" collapsed="false">
      <c r="B12" s="1" t="n">
        <v>87.6</v>
      </c>
      <c r="C12" s="1" t="n">
        <v>1261</v>
      </c>
      <c r="D12" s="1" t="n">
        <v>1231</v>
      </c>
      <c r="E12" s="1" t="n">
        <v>2011</v>
      </c>
      <c r="F12" s="1" t="n">
        <v>2128</v>
      </c>
      <c r="G12" s="1" t="n">
        <v>2047</v>
      </c>
      <c r="K12" s="3" t="n">
        <v>46168.8672222222</v>
      </c>
      <c r="L12" s="1" t="s">
        <v>6</v>
      </c>
      <c r="M12" s="1" t="n">
        <v>1231</v>
      </c>
      <c r="N12" s="1" t="n">
        <v>98</v>
      </c>
    </row>
    <row r="13" customFormat="false" ht="13.8" hidden="false" customHeight="false" outlineLevel="0" collapsed="false">
      <c r="B13" s="1" t="n">
        <v>87.6</v>
      </c>
      <c r="C13" s="1" t="n">
        <v>1264</v>
      </c>
      <c r="D13" s="1" t="n">
        <v>1197</v>
      </c>
      <c r="E13" s="1" t="n">
        <v>2015</v>
      </c>
      <c r="F13" s="1" t="n">
        <v>2128</v>
      </c>
      <c r="G13" s="1" t="n">
        <v>2057</v>
      </c>
      <c r="K13" s="3" t="n">
        <v>46168.8675694445</v>
      </c>
      <c r="L13" s="1" t="s">
        <v>6</v>
      </c>
      <c r="M13" s="1" t="n">
        <v>1197</v>
      </c>
      <c r="N13" s="1" t="n">
        <v>100</v>
      </c>
    </row>
    <row r="14" customFormat="false" ht="13.8" hidden="false" customHeight="false" outlineLevel="0" collapsed="false">
      <c r="B14" s="1" t="n">
        <v>87.6</v>
      </c>
      <c r="C14" s="1" t="n">
        <v>1296</v>
      </c>
      <c r="D14" s="1" t="n">
        <v>1197</v>
      </c>
      <c r="E14" s="1" t="n">
        <v>2014</v>
      </c>
      <c r="F14" s="1" t="n">
        <v>2133</v>
      </c>
      <c r="G14" s="1" t="n">
        <v>2059</v>
      </c>
      <c r="K14" s="3" t="n">
        <v>46168.8679282407</v>
      </c>
      <c r="L14" s="1" t="s">
        <v>6</v>
      </c>
      <c r="M14" s="1" t="n">
        <v>1197</v>
      </c>
      <c r="N14" s="1" t="n">
        <v>100</v>
      </c>
    </row>
    <row r="15" customFormat="false" ht="13.8" hidden="false" customHeight="false" outlineLevel="0" collapsed="false">
      <c r="B15" s="1" t="n">
        <v>87.6</v>
      </c>
      <c r="C15" s="1" t="n">
        <v>1262</v>
      </c>
      <c r="D15" s="1" t="n">
        <v>1161</v>
      </c>
      <c r="E15" s="1" t="n">
        <v>2022</v>
      </c>
      <c r="F15" s="1" t="n">
        <v>2138</v>
      </c>
      <c r="G15" s="1" t="n">
        <v>2063</v>
      </c>
      <c r="K15" s="3" t="n">
        <v>46168.868275463</v>
      </c>
      <c r="L15" s="1" t="s">
        <v>6</v>
      </c>
      <c r="M15" s="1" t="n">
        <v>1161</v>
      </c>
      <c r="N15" s="1" t="n">
        <v>100</v>
      </c>
    </row>
    <row r="16" customFormat="false" ht="13.8" hidden="false" customHeight="false" outlineLevel="0" collapsed="false">
      <c r="B16" s="1" t="n">
        <v>87.6</v>
      </c>
      <c r="C16" s="1" t="n">
        <v>1275</v>
      </c>
      <c r="D16" s="1" t="n">
        <v>1200</v>
      </c>
      <c r="E16" s="1" t="n">
        <v>2027</v>
      </c>
      <c r="F16" s="1" t="n">
        <v>2143</v>
      </c>
      <c r="G16" s="1" t="n">
        <v>2067</v>
      </c>
      <c r="K16" s="3" t="n">
        <v>46168.8686226852</v>
      </c>
      <c r="L16" s="1" t="s">
        <v>6</v>
      </c>
      <c r="M16" s="1" t="n">
        <v>1200</v>
      </c>
      <c r="N16" s="1" t="n">
        <v>100</v>
      </c>
    </row>
    <row r="17" customFormat="false" ht="13.8" hidden="false" customHeight="false" outlineLevel="0" collapsed="false">
      <c r="B17" s="1" t="n">
        <v>87.4</v>
      </c>
      <c r="C17" s="1" t="n">
        <v>1291</v>
      </c>
      <c r="D17" s="1" t="n">
        <v>1197</v>
      </c>
      <c r="E17" s="1" t="n">
        <v>2032</v>
      </c>
      <c r="F17" s="1" t="n">
        <v>2142</v>
      </c>
      <c r="G17" s="1" t="n">
        <v>2073</v>
      </c>
      <c r="K17" s="3" t="n">
        <v>46168.8689699074</v>
      </c>
      <c r="L17" s="1" t="s">
        <v>6</v>
      </c>
      <c r="M17" s="1" t="n">
        <v>1197</v>
      </c>
      <c r="N17" s="1" t="n">
        <v>100</v>
      </c>
    </row>
    <row r="18" customFormat="false" ht="13.8" hidden="false" customHeight="false" outlineLevel="0" collapsed="false">
      <c r="B18" s="1" t="n">
        <v>87.6</v>
      </c>
      <c r="C18" s="1" t="n">
        <v>1278</v>
      </c>
      <c r="D18" s="1" t="n">
        <v>1200</v>
      </c>
      <c r="E18" s="1" t="n">
        <v>2033</v>
      </c>
      <c r="F18" s="1" t="n">
        <v>2143</v>
      </c>
      <c r="G18" s="1" t="n">
        <v>2077</v>
      </c>
      <c r="K18" s="3" t="n">
        <v>46168.8693171296</v>
      </c>
      <c r="L18" s="1" t="s">
        <v>6</v>
      </c>
      <c r="M18" s="1" t="n">
        <v>1200</v>
      </c>
      <c r="N18" s="1" t="n">
        <v>100</v>
      </c>
    </row>
    <row r="19" customFormat="false" ht="13.8" hidden="false" customHeight="false" outlineLevel="0" collapsed="false">
      <c r="B19" s="1" t="n">
        <v>87.4</v>
      </c>
      <c r="C19" s="1" t="n">
        <v>1285</v>
      </c>
      <c r="D19" s="1" t="n">
        <v>1200</v>
      </c>
      <c r="E19" s="1" t="n">
        <v>2037</v>
      </c>
      <c r="F19" s="1" t="n">
        <v>2143</v>
      </c>
      <c r="G19" s="1" t="n">
        <v>2078</v>
      </c>
      <c r="K19" s="3" t="n">
        <v>46168.8696643519</v>
      </c>
      <c r="L19" s="1" t="s">
        <v>6</v>
      </c>
      <c r="M19" s="1" t="n">
        <v>1200</v>
      </c>
      <c r="N19" s="1" t="n">
        <v>100</v>
      </c>
    </row>
    <row r="20" customFormat="false" ht="13.8" hidden="false" customHeight="false" outlineLevel="0" collapsed="false">
      <c r="B20" s="1" t="n">
        <v>87.6</v>
      </c>
      <c r="C20" s="1" t="n">
        <v>1281</v>
      </c>
      <c r="D20" s="1" t="n">
        <v>1197</v>
      </c>
      <c r="E20" s="1" t="n">
        <v>2042</v>
      </c>
      <c r="F20" s="1" t="n">
        <v>2145</v>
      </c>
      <c r="G20" s="1" t="n">
        <v>2079</v>
      </c>
      <c r="K20" s="3" t="n">
        <v>46168.8700115741</v>
      </c>
      <c r="L20" s="1" t="s">
        <v>6</v>
      </c>
      <c r="M20" s="1" t="n">
        <v>1197</v>
      </c>
      <c r="N20" s="1" t="n">
        <v>100</v>
      </c>
    </row>
    <row r="21" customFormat="false" ht="13.8" hidden="false" customHeight="false" outlineLevel="0" collapsed="false">
      <c r="B21" s="1" t="n">
        <v>87.6</v>
      </c>
      <c r="C21" s="1" t="n">
        <v>1281</v>
      </c>
      <c r="D21" s="1" t="n">
        <v>1153</v>
      </c>
      <c r="E21" s="1" t="n">
        <v>2045</v>
      </c>
      <c r="F21" s="1" t="n">
        <v>2147</v>
      </c>
      <c r="G21" s="1" t="n">
        <v>2083</v>
      </c>
      <c r="K21" s="3" t="n">
        <v>46168.8703587963</v>
      </c>
      <c r="L21" s="1" t="s">
        <v>6</v>
      </c>
      <c r="M21" s="1" t="n">
        <v>1153</v>
      </c>
      <c r="N21" s="1" t="n">
        <v>100</v>
      </c>
    </row>
    <row r="22" customFormat="false" ht="13.8" hidden="false" customHeight="false" outlineLevel="0" collapsed="false">
      <c r="B22" s="1" t="n">
        <v>87.4</v>
      </c>
      <c r="C22" s="1" t="n">
        <v>1287</v>
      </c>
      <c r="D22" s="1" t="n">
        <v>1198</v>
      </c>
      <c r="E22" s="1" t="n">
        <v>2047</v>
      </c>
      <c r="F22" s="1" t="n">
        <v>2154</v>
      </c>
      <c r="G22" s="1" t="n">
        <v>2085</v>
      </c>
      <c r="K22" s="3" t="n">
        <v>46168.8707060185</v>
      </c>
      <c r="L22" s="1" t="s">
        <v>6</v>
      </c>
      <c r="M22" s="1" t="n">
        <v>1198</v>
      </c>
      <c r="N22" s="1" t="n">
        <v>100</v>
      </c>
    </row>
    <row r="23" customFormat="false" ht="13.8" hidden="false" customHeight="false" outlineLevel="0" collapsed="false">
      <c r="B23" s="1" t="n">
        <v>87.6</v>
      </c>
      <c r="C23" s="1" t="n">
        <v>1264</v>
      </c>
      <c r="D23" s="1" t="n">
        <v>1190</v>
      </c>
      <c r="E23" s="1" t="n">
        <v>2055</v>
      </c>
      <c r="F23" s="1" t="n">
        <v>2153</v>
      </c>
      <c r="G23" s="1" t="n">
        <v>2089</v>
      </c>
      <c r="K23" s="3" t="n">
        <v>46168.8710532407</v>
      </c>
      <c r="L23" s="1" t="s">
        <v>6</v>
      </c>
      <c r="M23" s="1" t="n">
        <v>1190</v>
      </c>
      <c r="N23" s="1" t="n">
        <v>100</v>
      </c>
    </row>
    <row r="24" customFormat="false" ht="13.8" hidden="false" customHeight="false" outlineLevel="0" collapsed="false">
      <c r="B24" s="1" t="n">
        <v>87.6</v>
      </c>
      <c r="C24" s="1" t="n">
        <v>1284</v>
      </c>
      <c r="D24" s="1" t="n">
        <v>1201</v>
      </c>
      <c r="E24" s="1" t="n">
        <v>2057</v>
      </c>
      <c r="F24" s="1" t="n">
        <v>2155</v>
      </c>
      <c r="G24" s="1" t="n">
        <v>2096</v>
      </c>
      <c r="K24" s="3" t="n">
        <v>46168.871400463</v>
      </c>
      <c r="L24" s="1" t="s">
        <v>6</v>
      </c>
      <c r="M24" s="1" t="n">
        <v>1201</v>
      </c>
      <c r="N24" s="1" t="n">
        <v>100</v>
      </c>
    </row>
    <row r="25" customFormat="false" ht="13.8" hidden="false" customHeight="false" outlineLevel="0" collapsed="false">
      <c r="B25" s="1" t="n">
        <v>87.4</v>
      </c>
      <c r="C25" s="1" t="n">
        <v>1264</v>
      </c>
      <c r="D25" s="1" t="n">
        <v>1189</v>
      </c>
      <c r="E25" s="1" t="n">
        <v>2064</v>
      </c>
      <c r="F25" s="1" t="n">
        <v>2154</v>
      </c>
      <c r="G25" s="1" t="n">
        <v>2095</v>
      </c>
      <c r="K25" s="3" t="n">
        <v>46168.8717476852</v>
      </c>
      <c r="L25" s="1" t="s">
        <v>6</v>
      </c>
      <c r="M25" s="1" t="n">
        <v>1189</v>
      </c>
      <c r="N25" s="1" t="n">
        <v>100</v>
      </c>
    </row>
    <row r="26" customFormat="false" ht="13.8" hidden="false" customHeight="false" outlineLevel="0" collapsed="false">
      <c r="B26" s="1" t="n">
        <v>87.4</v>
      </c>
      <c r="C26" s="1" t="n">
        <v>1275</v>
      </c>
      <c r="D26" s="1" t="n">
        <v>1198</v>
      </c>
      <c r="E26" s="1" t="n">
        <v>2066</v>
      </c>
      <c r="F26" s="1" t="n">
        <v>2157</v>
      </c>
      <c r="G26" s="1" t="n">
        <v>2097</v>
      </c>
      <c r="K26" s="3" t="n">
        <v>46168.8720949074</v>
      </c>
      <c r="L26" s="1" t="s">
        <v>6</v>
      </c>
      <c r="M26" s="1" t="n">
        <v>1198</v>
      </c>
      <c r="N26" s="1" t="n">
        <v>100</v>
      </c>
    </row>
    <row r="27" customFormat="false" ht="13.8" hidden="false" customHeight="false" outlineLevel="0" collapsed="false">
      <c r="B27" s="1" t="n">
        <v>87.4</v>
      </c>
      <c r="C27" s="1" t="n">
        <v>1281</v>
      </c>
      <c r="D27" s="1" t="n">
        <v>1174</v>
      </c>
      <c r="E27" s="1" t="n">
        <v>2066</v>
      </c>
      <c r="F27" s="1" t="n">
        <v>2153</v>
      </c>
      <c r="G27" s="1" t="n">
        <v>2096</v>
      </c>
      <c r="K27" s="3" t="n">
        <v>46168.8724421296</v>
      </c>
      <c r="L27" s="1" t="s">
        <v>6</v>
      </c>
      <c r="M27" s="1" t="n">
        <v>1174</v>
      </c>
      <c r="N27" s="1" t="n">
        <v>100</v>
      </c>
    </row>
    <row r="28" customFormat="false" ht="13.8" hidden="false" customHeight="false" outlineLevel="0" collapsed="false">
      <c r="B28" s="1" t="n">
        <v>87.6</v>
      </c>
      <c r="C28" s="1" t="n">
        <v>1264</v>
      </c>
      <c r="D28" s="1" t="n">
        <v>1182</v>
      </c>
      <c r="E28" s="1" t="n">
        <v>2065</v>
      </c>
      <c r="F28" s="1" t="n">
        <v>2157</v>
      </c>
      <c r="G28" s="1" t="n">
        <v>2103</v>
      </c>
      <c r="K28" s="3" t="n">
        <v>46168.8727893519</v>
      </c>
      <c r="L28" s="1" t="s">
        <v>6</v>
      </c>
      <c r="M28" s="1" t="n">
        <v>1182</v>
      </c>
      <c r="N28" s="1" t="n">
        <v>100</v>
      </c>
    </row>
    <row r="29" customFormat="false" ht="13.8" hidden="false" customHeight="false" outlineLevel="0" collapsed="false">
      <c r="B29" s="1" t="n">
        <v>87.6</v>
      </c>
      <c r="C29" s="1" t="n">
        <v>1238</v>
      </c>
      <c r="D29" s="1" t="n">
        <v>1273</v>
      </c>
      <c r="E29" s="1" t="n">
        <v>2066</v>
      </c>
      <c r="F29" s="1" t="n">
        <v>2159</v>
      </c>
      <c r="G29" s="1" t="n">
        <v>2101</v>
      </c>
      <c r="K29" s="3" t="n">
        <v>46168.8731828704</v>
      </c>
      <c r="L29" s="1" t="s">
        <v>6</v>
      </c>
      <c r="M29" s="1" t="n">
        <v>1273</v>
      </c>
      <c r="N29" s="1" t="n">
        <v>96</v>
      </c>
    </row>
    <row r="30" customFormat="false" ht="13.8" hidden="false" customHeight="false" outlineLevel="0" collapsed="false">
      <c r="B30" s="1" t="n">
        <v>87.6</v>
      </c>
      <c r="C30" s="1" t="n">
        <v>1280</v>
      </c>
      <c r="D30" s="1" t="n">
        <v>1179</v>
      </c>
      <c r="E30" s="1" t="n">
        <v>2066</v>
      </c>
      <c r="F30" s="1" t="n">
        <v>2159</v>
      </c>
      <c r="G30" s="1" t="n">
        <v>2101</v>
      </c>
      <c r="K30" s="3" t="n">
        <v>46168.8734953704</v>
      </c>
      <c r="L30" s="1" t="s">
        <v>6</v>
      </c>
      <c r="M30" s="1" t="n">
        <v>1179</v>
      </c>
      <c r="N30" s="1" t="n">
        <v>100</v>
      </c>
    </row>
    <row r="31" customFormat="false" ht="13.8" hidden="false" customHeight="false" outlineLevel="0" collapsed="false">
      <c r="B31" s="1" t="n">
        <v>87.4</v>
      </c>
      <c r="C31" s="1" t="n">
        <v>1250</v>
      </c>
      <c r="D31" s="1" t="n">
        <v>1198</v>
      </c>
      <c r="E31" s="1" t="n">
        <v>2070</v>
      </c>
      <c r="F31" s="1" t="n">
        <v>2160</v>
      </c>
      <c r="G31" s="1" t="n">
        <v>2106</v>
      </c>
      <c r="K31" s="3" t="n">
        <v>46168.8738425926</v>
      </c>
      <c r="L31" s="1" t="s">
        <v>6</v>
      </c>
      <c r="M31" s="1" t="n">
        <v>1198</v>
      </c>
      <c r="N31" s="1" t="n">
        <v>100</v>
      </c>
    </row>
    <row r="32" customFormat="false" ht="13.8" hidden="false" customHeight="false" outlineLevel="0" collapsed="false">
      <c r="B32" s="1" t="n">
        <v>87.6</v>
      </c>
      <c r="C32" s="1" t="n">
        <v>1257</v>
      </c>
      <c r="D32" s="1" t="n">
        <v>1204</v>
      </c>
      <c r="E32" s="1" t="n">
        <v>2072</v>
      </c>
      <c r="F32" s="1" t="n">
        <v>2160</v>
      </c>
      <c r="G32" s="1" t="n">
        <v>2107</v>
      </c>
      <c r="K32" s="3" t="n">
        <v>46168.8741898148</v>
      </c>
      <c r="L32" s="1" t="s">
        <v>6</v>
      </c>
      <c r="M32" s="1" t="n">
        <v>1204</v>
      </c>
      <c r="N32" s="1" t="n">
        <v>100</v>
      </c>
    </row>
    <row r="33" customFormat="false" ht="13.8" hidden="false" customHeight="false" outlineLevel="0" collapsed="false">
      <c r="B33" s="1" t="n">
        <v>87.6</v>
      </c>
      <c r="C33" s="1" t="n">
        <v>1292</v>
      </c>
      <c r="D33" s="1" t="n">
        <v>1194</v>
      </c>
      <c r="E33" s="1" t="n">
        <v>2075</v>
      </c>
      <c r="F33" s="1" t="n">
        <v>2160</v>
      </c>
      <c r="G33" s="1" t="n">
        <v>2109</v>
      </c>
      <c r="K33" s="3" t="n">
        <v>46168.874537037</v>
      </c>
      <c r="L33" s="1" t="s">
        <v>6</v>
      </c>
      <c r="M33" s="1" t="n">
        <v>1194</v>
      </c>
      <c r="N33" s="1" t="n">
        <v>100</v>
      </c>
    </row>
    <row r="34" customFormat="false" ht="13.8" hidden="false" customHeight="false" outlineLevel="0" collapsed="false">
      <c r="B34" s="1" t="n">
        <v>87.4</v>
      </c>
      <c r="C34" s="1" t="n">
        <v>1273</v>
      </c>
      <c r="D34" s="1" t="n">
        <v>1197</v>
      </c>
      <c r="E34" s="1" t="n">
        <v>2077</v>
      </c>
      <c r="F34" s="1" t="n">
        <v>2163</v>
      </c>
      <c r="G34" s="1" t="n">
        <v>2113</v>
      </c>
      <c r="K34" s="3" t="n">
        <v>46168.8748958333</v>
      </c>
      <c r="L34" s="1" t="s">
        <v>6</v>
      </c>
      <c r="M34" s="1" t="n">
        <v>1197</v>
      </c>
      <c r="N34" s="1" t="n">
        <v>100</v>
      </c>
    </row>
    <row r="35" customFormat="false" ht="13.8" hidden="false" customHeight="false" outlineLevel="0" collapsed="false">
      <c r="B35" s="1" t="n">
        <v>87.4</v>
      </c>
      <c r="C35" s="1" t="n">
        <v>1277</v>
      </c>
      <c r="D35" s="1" t="n">
        <v>1185</v>
      </c>
      <c r="E35" s="1" t="n">
        <v>2078</v>
      </c>
      <c r="F35" s="1" t="n">
        <v>2165</v>
      </c>
      <c r="G35" s="1" t="n">
        <v>2115</v>
      </c>
      <c r="K35" s="3" t="n">
        <v>46168.8752430556</v>
      </c>
      <c r="L35" s="1" t="s">
        <v>6</v>
      </c>
      <c r="M35" s="1" t="n">
        <v>1185</v>
      </c>
      <c r="N35" s="1" t="n">
        <v>100</v>
      </c>
    </row>
    <row r="36" customFormat="false" ht="13.8" hidden="false" customHeight="false" outlineLevel="0" collapsed="false">
      <c r="B36" s="1" t="n">
        <v>87.4</v>
      </c>
      <c r="C36" s="1" t="n">
        <v>1291</v>
      </c>
      <c r="D36" s="1" t="n">
        <v>1195</v>
      </c>
      <c r="E36" s="1" t="n">
        <v>2082</v>
      </c>
      <c r="F36" s="1" t="n">
        <v>2159</v>
      </c>
      <c r="G36" s="1" t="n">
        <v>2112</v>
      </c>
      <c r="K36" s="3" t="n">
        <v>46168.8756018519</v>
      </c>
      <c r="L36" s="1" t="s">
        <v>6</v>
      </c>
      <c r="M36" s="1" t="n">
        <v>1195</v>
      </c>
      <c r="N36" s="1" t="n">
        <v>100</v>
      </c>
    </row>
    <row r="37" customFormat="false" ht="13.8" hidden="false" customHeight="false" outlineLevel="0" collapsed="false">
      <c r="B37" s="1" t="n">
        <v>87.4</v>
      </c>
      <c r="C37" s="1" t="n">
        <v>1309</v>
      </c>
      <c r="D37" s="1" t="n">
        <v>1195</v>
      </c>
      <c r="E37" s="1" t="n">
        <v>2083</v>
      </c>
      <c r="F37" s="1" t="n">
        <v>2166</v>
      </c>
      <c r="G37" s="1" t="n">
        <v>2119</v>
      </c>
      <c r="K37" s="3" t="n">
        <v>46168.8759490741</v>
      </c>
      <c r="L37" s="1" t="s">
        <v>6</v>
      </c>
      <c r="M37" s="1" t="n">
        <v>1195</v>
      </c>
      <c r="N37" s="1" t="n">
        <v>100</v>
      </c>
    </row>
    <row r="38" customFormat="false" ht="13.8" hidden="false" customHeight="false" outlineLevel="0" collapsed="false">
      <c r="B38" s="1" t="n">
        <v>87.6</v>
      </c>
      <c r="C38" s="1" t="n">
        <v>1270</v>
      </c>
      <c r="D38" s="1" t="n">
        <v>1186</v>
      </c>
      <c r="E38" s="1" t="n">
        <v>2085</v>
      </c>
      <c r="F38" s="1" t="n">
        <v>2163</v>
      </c>
      <c r="G38" s="1" t="n">
        <v>2112</v>
      </c>
      <c r="K38" s="3" t="n">
        <v>46168.8763078704</v>
      </c>
      <c r="L38" s="1" t="s">
        <v>6</v>
      </c>
      <c r="M38" s="1" t="n">
        <v>1186</v>
      </c>
      <c r="N38" s="1" t="n">
        <v>100</v>
      </c>
    </row>
    <row r="39" customFormat="false" ht="13.8" hidden="false" customHeight="false" outlineLevel="0" collapsed="false">
      <c r="B39" s="1" t="n">
        <v>87.6</v>
      </c>
      <c r="C39" s="1" t="n">
        <v>1280</v>
      </c>
      <c r="D39" s="1" t="n">
        <v>1194</v>
      </c>
      <c r="E39" s="1" t="n">
        <v>2086</v>
      </c>
      <c r="F39" s="1" t="n">
        <v>2164</v>
      </c>
      <c r="G39" s="1" t="n">
        <v>2117</v>
      </c>
      <c r="K39" s="3" t="n">
        <v>46168.8766550926</v>
      </c>
      <c r="L39" s="1" t="s">
        <v>6</v>
      </c>
      <c r="M39" s="1" t="n">
        <v>1194</v>
      </c>
      <c r="N39" s="1" t="n">
        <v>100</v>
      </c>
    </row>
    <row r="40" customFormat="false" ht="13.8" hidden="false" customHeight="false" outlineLevel="0" collapsed="false">
      <c r="B40" s="1" t="n">
        <v>87.6</v>
      </c>
      <c r="C40" s="1" t="n">
        <v>1243</v>
      </c>
      <c r="D40" s="1" t="n">
        <v>1199</v>
      </c>
      <c r="E40" s="1" t="n">
        <v>2077</v>
      </c>
      <c r="F40" s="1" t="n">
        <v>2165</v>
      </c>
      <c r="G40" s="1" t="n">
        <v>2118</v>
      </c>
      <c r="K40" s="3" t="n">
        <v>46168.8770138889</v>
      </c>
      <c r="L40" s="1" t="s">
        <v>6</v>
      </c>
      <c r="M40" s="1" t="n">
        <v>1199</v>
      </c>
      <c r="N40" s="1" t="n">
        <v>100</v>
      </c>
    </row>
    <row r="41" customFormat="false" ht="13.8" hidden="false" customHeight="false" outlineLevel="0" collapsed="false">
      <c r="B41" s="1" t="n">
        <v>87.6</v>
      </c>
      <c r="C41" s="1" t="n">
        <v>1258</v>
      </c>
      <c r="D41" s="1" t="n">
        <v>1191</v>
      </c>
      <c r="E41" s="1" t="n">
        <v>2091</v>
      </c>
      <c r="F41" s="1" t="n">
        <v>2166</v>
      </c>
      <c r="G41" s="1" t="n">
        <v>2119</v>
      </c>
      <c r="K41" s="3" t="n">
        <v>46168.8773726852</v>
      </c>
      <c r="L41" s="1" t="s">
        <v>6</v>
      </c>
      <c r="M41" s="1" t="n">
        <v>1191</v>
      </c>
      <c r="N41" s="1" t="n">
        <v>100</v>
      </c>
    </row>
    <row r="42" customFormat="false" ht="13.8" hidden="false" customHeight="false" outlineLevel="0" collapsed="false">
      <c r="B42" s="1" t="n">
        <v>87.6</v>
      </c>
      <c r="C42" s="1" t="n">
        <v>1265</v>
      </c>
      <c r="D42" s="1" t="n">
        <v>1214</v>
      </c>
      <c r="E42" s="1" t="n">
        <v>2090</v>
      </c>
      <c r="F42" s="1" t="n">
        <v>2167</v>
      </c>
      <c r="G42" s="1" t="n">
        <v>2119</v>
      </c>
      <c r="K42" s="3" t="n">
        <v>46168.8777314815</v>
      </c>
      <c r="L42" s="1" t="s">
        <v>6</v>
      </c>
      <c r="M42" s="1" t="n">
        <v>1214</v>
      </c>
      <c r="N42" s="1" t="n">
        <v>99</v>
      </c>
    </row>
    <row r="43" customFormat="false" ht="13.8" hidden="false" customHeight="false" outlineLevel="0" collapsed="false">
      <c r="B43" s="1" t="n">
        <v>87.4</v>
      </c>
      <c r="C43" s="1" t="n">
        <v>1271</v>
      </c>
      <c r="D43" s="1" t="n">
        <v>1201</v>
      </c>
      <c r="E43" s="1" t="n">
        <v>2094</v>
      </c>
      <c r="F43" s="1" t="n">
        <v>2167</v>
      </c>
      <c r="G43" s="1" t="n">
        <v>2123</v>
      </c>
      <c r="K43" s="3" t="n">
        <v>46168.8780787037</v>
      </c>
      <c r="L43" s="1" t="s">
        <v>6</v>
      </c>
      <c r="M43" s="1" t="n">
        <v>1201</v>
      </c>
      <c r="N43" s="1" t="n">
        <v>100</v>
      </c>
    </row>
    <row r="44" customFormat="false" ht="13.8" hidden="false" customHeight="false" outlineLevel="0" collapsed="false">
      <c r="B44" s="1" t="n">
        <v>87.6</v>
      </c>
      <c r="C44" s="1" t="n">
        <v>1276</v>
      </c>
      <c r="D44" s="1" t="n">
        <v>1195</v>
      </c>
      <c r="E44" s="1" t="n">
        <v>2095</v>
      </c>
      <c r="F44" s="1" t="n">
        <v>2170</v>
      </c>
      <c r="G44" s="1" t="n">
        <v>2119</v>
      </c>
      <c r="K44" s="3" t="n">
        <v>46168.8784259259</v>
      </c>
      <c r="L44" s="1" t="s">
        <v>6</v>
      </c>
      <c r="M44" s="1" t="n">
        <v>1195</v>
      </c>
      <c r="N44" s="1" t="n">
        <v>100</v>
      </c>
    </row>
    <row r="45" customFormat="false" ht="13.8" hidden="false" customHeight="false" outlineLevel="0" collapsed="false">
      <c r="B45" s="1" t="n">
        <v>87.4</v>
      </c>
      <c r="C45" s="1" t="n">
        <v>1264</v>
      </c>
      <c r="D45" s="1" t="n">
        <v>1198</v>
      </c>
      <c r="E45" s="1" t="n">
        <v>2096</v>
      </c>
      <c r="F45" s="1" t="n">
        <v>2173</v>
      </c>
      <c r="G45" s="1" t="n">
        <v>2125</v>
      </c>
      <c r="K45" s="3" t="n">
        <v>46168.8787731482</v>
      </c>
      <c r="L45" s="1" t="s">
        <v>6</v>
      </c>
      <c r="M45" s="1" t="n">
        <v>1198</v>
      </c>
      <c r="N45" s="1" t="n">
        <v>100</v>
      </c>
    </row>
    <row r="46" customFormat="false" ht="13.8" hidden="false" customHeight="false" outlineLevel="0" collapsed="false">
      <c r="B46" s="1" t="n">
        <v>87.6</v>
      </c>
      <c r="C46" s="1" t="n">
        <v>1266</v>
      </c>
      <c r="D46" s="1" t="n">
        <v>1189</v>
      </c>
      <c r="E46" s="1" t="n">
        <v>2096</v>
      </c>
      <c r="F46" s="1" t="n">
        <v>2171</v>
      </c>
      <c r="G46" s="1" t="n">
        <v>2117</v>
      </c>
      <c r="K46" s="3" t="n">
        <v>46168.8791319444</v>
      </c>
      <c r="L46" s="1" t="s">
        <v>6</v>
      </c>
      <c r="M46" s="1" t="n">
        <v>1189</v>
      </c>
      <c r="N46" s="1" t="n">
        <v>100</v>
      </c>
    </row>
    <row r="47" customFormat="false" ht="13.8" hidden="false" customHeight="false" outlineLevel="0" collapsed="false">
      <c r="B47" s="1" t="n">
        <v>87.4</v>
      </c>
      <c r="C47" s="1" t="n">
        <v>1255</v>
      </c>
      <c r="D47" s="1" t="n">
        <v>1206</v>
      </c>
      <c r="E47" s="1" t="n">
        <v>2096</v>
      </c>
      <c r="F47" s="1" t="n">
        <v>2175</v>
      </c>
      <c r="G47" s="1" t="n">
        <v>2128</v>
      </c>
      <c r="K47" s="3" t="n">
        <v>46168.8794791667</v>
      </c>
      <c r="L47" s="1" t="s">
        <v>6</v>
      </c>
      <c r="M47" s="1" t="n">
        <v>1206</v>
      </c>
      <c r="N47" s="1" t="n">
        <v>100</v>
      </c>
    </row>
    <row r="48" customFormat="false" ht="13.8" hidden="false" customHeight="false" outlineLevel="0" collapsed="false">
      <c r="B48" s="1" t="n">
        <v>87.4</v>
      </c>
      <c r="C48" s="1" t="n">
        <v>1252</v>
      </c>
      <c r="D48" s="1" t="n">
        <v>1168</v>
      </c>
      <c r="E48" s="1" t="n">
        <v>2099</v>
      </c>
      <c r="F48" s="1" t="n">
        <v>2170</v>
      </c>
      <c r="G48" s="1" t="n">
        <v>2128</v>
      </c>
      <c r="K48" s="3" t="n">
        <v>46168.8798263889</v>
      </c>
      <c r="L48" s="1" t="s">
        <v>6</v>
      </c>
      <c r="M48" s="1" t="n">
        <v>1168</v>
      </c>
      <c r="N48" s="1" t="n">
        <v>100</v>
      </c>
    </row>
    <row r="49" customFormat="false" ht="13.8" hidden="false" customHeight="false" outlineLevel="0" collapsed="false">
      <c r="B49" s="1" t="n">
        <v>87.6</v>
      </c>
      <c r="C49" s="1" t="n">
        <v>1274</v>
      </c>
      <c r="D49" s="1" t="n">
        <v>1195</v>
      </c>
      <c r="E49" s="1" t="n">
        <v>2101</v>
      </c>
      <c r="F49" s="1" t="n">
        <v>2172</v>
      </c>
      <c r="G49" s="1" t="n">
        <v>2129</v>
      </c>
      <c r="K49" s="3" t="n">
        <v>46168.8801736111</v>
      </c>
      <c r="L49" s="1" t="s">
        <v>6</v>
      </c>
      <c r="M49" s="1" t="n">
        <v>1195</v>
      </c>
      <c r="N49" s="1" t="n">
        <v>100</v>
      </c>
    </row>
    <row r="50" customFormat="false" ht="13.8" hidden="false" customHeight="false" outlineLevel="0" collapsed="false">
      <c r="B50" s="1" t="n">
        <v>87.6</v>
      </c>
      <c r="C50" s="1" t="n">
        <v>1273</v>
      </c>
      <c r="D50" s="1" t="n">
        <v>1199</v>
      </c>
      <c r="E50" s="1" t="n">
        <v>2100</v>
      </c>
      <c r="F50" s="1" t="n">
        <v>2174</v>
      </c>
      <c r="G50" s="1" t="n">
        <v>2130</v>
      </c>
      <c r="K50" s="3" t="n">
        <v>46168.8805208333</v>
      </c>
      <c r="L50" s="1" t="s">
        <v>6</v>
      </c>
      <c r="M50" s="1" t="n">
        <v>1199</v>
      </c>
      <c r="N50" s="1" t="n">
        <v>100</v>
      </c>
    </row>
    <row r="51" customFormat="false" ht="13.8" hidden="false" customHeight="false" outlineLevel="0" collapsed="false">
      <c r="B51" s="1" t="n">
        <v>87.4</v>
      </c>
      <c r="C51" s="1" t="n">
        <v>1291</v>
      </c>
      <c r="D51" s="1" t="n">
        <v>1233</v>
      </c>
      <c r="E51" s="1" t="n">
        <v>2071</v>
      </c>
      <c r="F51" s="1" t="n">
        <v>2175</v>
      </c>
      <c r="G51" s="1" t="n">
        <v>2128</v>
      </c>
      <c r="K51" s="3" t="n">
        <v>46168.8808680556</v>
      </c>
      <c r="L51" s="1" t="s">
        <v>6</v>
      </c>
      <c r="M51" s="1" t="n">
        <v>1233</v>
      </c>
      <c r="N51" s="1" t="n">
        <v>98</v>
      </c>
    </row>
    <row r="52" customFormat="false" ht="13.8" hidden="false" customHeight="false" outlineLevel="0" collapsed="false">
      <c r="C52" s="1"/>
      <c r="D52" s="1"/>
      <c r="E52" s="1"/>
      <c r="F52" s="1"/>
      <c r="K52" s="3" t="n">
        <v>46168.8812152778</v>
      </c>
      <c r="L52" s="1" t="s">
        <v>6</v>
      </c>
      <c r="M52" s="1" t="n">
        <v>1193</v>
      </c>
      <c r="N52" s="1" t="n">
        <v>100</v>
      </c>
    </row>
    <row r="53" customFormat="false" ht="13.8" hidden="false" customHeight="false" outlineLevel="0" collapsed="false">
      <c r="D53" s="1"/>
      <c r="K53" s="3" t="n">
        <v>46168.8815740741</v>
      </c>
      <c r="L53" s="1" t="s">
        <v>6</v>
      </c>
      <c r="M53" s="1" t="n">
        <v>1195</v>
      </c>
      <c r="N53" s="1" t="n">
        <v>100</v>
      </c>
    </row>
    <row r="54" customFormat="false" ht="13.8" hidden="false" customHeight="false" outlineLevel="0" collapsed="false">
      <c r="K54" s="3" t="n">
        <v>46168.8637152778</v>
      </c>
      <c r="L54" s="1" t="s">
        <v>7</v>
      </c>
      <c r="M54" s="1" t="n">
        <v>1477</v>
      </c>
      <c r="N54" s="1" t="n">
        <v>100</v>
      </c>
    </row>
    <row r="55" customFormat="false" ht="13.8" hidden="false" customHeight="false" outlineLevel="0" collapsed="false">
      <c r="K55" s="3" t="n">
        <v>46168.8640625</v>
      </c>
      <c r="L55" s="1" t="s">
        <v>7</v>
      </c>
      <c r="M55" s="1" t="n">
        <v>1826</v>
      </c>
      <c r="N55" s="1" t="n">
        <v>91</v>
      </c>
    </row>
    <row r="56" customFormat="false" ht="13.8" hidden="false" customHeight="false" outlineLevel="0" collapsed="false">
      <c r="K56" s="3" t="n">
        <v>46168.8644097222</v>
      </c>
      <c r="L56" s="1" t="s">
        <v>7</v>
      </c>
      <c r="M56" s="1" t="n">
        <v>1891</v>
      </c>
      <c r="N56" s="1" t="n">
        <v>85</v>
      </c>
    </row>
    <row r="57" customFormat="false" ht="13.8" hidden="false" customHeight="false" outlineLevel="0" collapsed="false">
      <c r="K57" s="3" t="n">
        <v>46168.8647685185</v>
      </c>
      <c r="L57" s="1" t="s">
        <v>7</v>
      </c>
      <c r="M57" s="1" t="n">
        <v>1930</v>
      </c>
      <c r="N57" s="1" t="n">
        <v>81</v>
      </c>
    </row>
    <row r="58" customFormat="false" ht="13.8" hidden="false" customHeight="false" outlineLevel="0" collapsed="false">
      <c r="K58" s="3" t="n">
        <v>46168.8651157407</v>
      </c>
      <c r="L58" s="1" t="s">
        <v>7</v>
      </c>
      <c r="M58" s="1" t="n">
        <v>1941</v>
      </c>
      <c r="N58" s="1" t="n">
        <v>80</v>
      </c>
    </row>
    <row r="59" customFormat="false" ht="13.8" hidden="false" customHeight="false" outlineLevel="0" collapsed="false">
      <c r="K59" s="3" t="n">
        <v>46168.865474537</v>
      </c>
      <c r="L59" s="1" t="s">
        <v>7</v>
      </c>
      <c r="M59" s="1" t="n">
        <v>1967</v>
      </c>
      <c r="N59" s="1" t="n">
        <v>78</v>
      </c>
    </row>
    <row r="60" customFormat="false" ht="13.8" hidden="false" customHeight="false" outlineLevel="0" collapsed="false">
      <c r="K60" s="3" t="n">
        <v>46168.8658217593</v>
      </c>
      <c r="L60" s="1" t="s">
        <v>7</v>
      </c>
      <c r="M60" s="1" t="n">
        <v>1970</v>
      </c>
      <c r="N60" s="1" t="n">
        <v>78</v>
      </c>
    </row>
    <row r="61" customFormat="false" ht="13.8" hidden="false" customHeight="false" outlineLevel="0" collapsed="false">
      <c r="K61" s="3" t="n">
        <v>46168.8661689815</v>
      </c>
      <c r="L61" s="1" t="s">
        <v>7</v>
      </c>
      <c r="M61" s="1" t="n">
        <v>1983</v>
      </c>
      <c r="N61" s="1" t="n">
        <v>76</v>
      </c>
    </row>
    <row r="62" customFormat="false" ht="13.8" hidden="false" customHeight="false" outlineLevel="0" collapsed="false">
      <c r="K62" s="3" t="n">
        <v>46168.8665393519</v>
      </c>
      <c r="L62" s="1" t="s">
        <v>7</v>
      </c>
      <c r="M62" s="1" t="n">
        <v>1993</v>
      </c>
      <c r="N62" s="1" t="n">
        <v>75</v>
      </c>
    </row>
    <row r="63" customFormat="false" ht="13.8" hidden="false" customHeight="false" outlineLevel="0" collapsed="false">
      <c r="K63" s="3" t="n">
        <v>46168.8668865741</v>
      </c>
      <c r="L63" s="1" t="s">
        <v>7</v>
      </c>
      <c r="M63" s="1" t="n">
        <v>2000</v>
      </c>
      <c r="N63" s="1" t="n">
        <v>75</v>
      </c>
    </row>
    <row r="64" customFormat="false" ht="13.8" hidden="false" customHeight="false" outlineLevel="0" collapsed="false">
      <c r="K64" s="3" t="n">
        <v>46168.8672337963</v>
      </c>
      <c r="L64" s="1" t="s">
        <v>7</v>
      </c>
      <c r="M64" s="1" t="n">
        <v>2011</v>
      </c>
      <c r="N64" s="1" t="n">
        <v>74</v>
      </c>
    </row>
    <row r="65" customFormat="false" ht="13.8" hidden="false" customHeight="false" outlineLevel="0" collapsed="false">
      <c r="K65" s="3" t="n">
        <v>46168.8675810185</v>
      </c>
      <c r="L65" s="1" t="s">
        <v>7</v>
      </c>
      <c r="M65" s="1" t="n">
        <v>2015</v>
      </c>
      <c r="N65" s="1" t="n">
        <v>73</v>
      </c>
    </row>
    <row r="66" customFormat="false" ht="13.8" hidden="false" customHeight="false" outlineLevel="0" collapsed="false">
      <c r="K66" s="3" t="n">
        <v>46168.8679282407</v>
      </c>
      <c r="L66" s="1" t="s">
        <v>7</v>
      </c>
      <c r="M66" s="1" t="n">
        <v>2014</v>
      </c>
      <c r="N66" s="1" t="n">
        <v>73</v>
      </c>
    </row>
    <row r="67" customFormat="false" ht="13.8" hidden="false" customHeight="false" outlineLevel="0" collapsed="false">
      <c r="K67" s="3" t="n">
        <v>46168.868275463</v>
      </c>
      <c r="L67" s="1" t="s">
        <v>7</v>
      </c>
      <c r="M67" s="1" t="n">
        <v>2022</v>
      </c>
      <c r="N67" s="1" t="n">
        <v>73</v>
      </c>
    </row>
    <row r="68" customFormat="false" ht="13.8" hidden="false" customHeight="false" outlineLevel="0" collapsed="false">
      <c r="K68" s="3" t="n">
        <v>46168.8686226852</v>
      </c>
      <c r="L68" s="1" t="s">
        <v>7</v>
      </c>
      <c r="M68" s="1" t="n">
        <v>2027</v>
      </c>
      <c r="N68" s="1" t="n">
        <v>72</v>
      </c>
    </row>
    <row r="69" customFormat="false" ht="13.8" hidden="false" customHeight="false" outlineLevel="0" collapsed="false">
      <c r="K69" s="3" t="n">
        <v>46168.8689699074</v>
      </c>
      <c r="L69" s="1" t="s">
        <v>7</v>
      </c>
      <c r="M69" s="1" t="n">
        <v>2032</v>
      </c>
      <c r="N69" s="1" t="n">
        <v>72</v>
      </c>
    </row>
    <row r="70" customFormat="false" ht="13.8" hidden="false" customHeight="false" outlineLevel="0" collapsed="false">
      <c r="K70" s="3" t="n">
        <v>46168.8693171296</v>
      </c>
      <c r="L70" s="1" t="s">
        <v>7</v>
      </c>
      <c r="M70" s="1" t="n">
        <v>2033</v>
      </c>
      <c r="N70" s="1" t="n">
        <v>72</v>
      </c>
    </row>
    <row r="71" customFormat="false" ht="13.8" hidden="false" customHeight="false" outlineLevel="0" collapsed="false">
      <c r="B71" s="1" t="s">
        <v>969</v>
      </c>
      <c r="C71" s="1" t="n">
        <f aca="false">AVERAGE($C$2:$C$69)</f>
        <v>1273.29166666667</v>
      </c>
      <c r="D71" s="1" t="n">
        <f aca="false">AVERAGE($D$2:$D$69)</f>
        <v>1202.91666666667</v>
      </c>
      <c r="E71" s="1" t="n">
        <f aca="false">AVERAGE($E$2:$E$69)</f>
        <v>2048.3125</v>
      </c>
      <c r="F71" s="1" t="n">
        <f aca="false">AVERAGE($F$2:$F$69)</f>
        <v>2147.875</v>
      </c>
      <c r="G71" s="1" t="n">
        <f aca="false">AVERAGE($G$2:$G$69)</f>
        <v>2086.6875</v>
      </c>
      <c r="K71" s="3" t="n">
        <v>46168.8696643519</v>
      </c>
      <c r="L71" s="1" t="s">
        <v>7</v>
      </c>
      <c r="M71" s="1" t="n">
        <v>2037</v>
      </c>
      <c r="N71" s="1" t="n">
        <v>71</v>
      </c>
    </row>
    <row r="72" customFormat="false" ht="13.8" hidden="false" customHeight="false" outlineLevel="0" collapsed="false">
      <c r="B72" s="1" t="s">
        <v>970</v>
      </c>
      <c r="C72" s="1" t="n">
        <f aca="false">SQRT(VAR($C$2:$C$69)/COUNT($C$2:$C$69))</f>
        <v>2.15674727451933</v>
      </c>
      <c r="D72" s="1" t="n">
        <f aca="false">SQRT(VAR($D$2:$D$69)/COUNT($D$2:$D$69))</f>
        <v>4.13682576659543</v>
      </c>
      <c r="E72" s="1" t="n">
        <f aca="false">SQRT(VAR($E$2:$E$69)/COUNT($E$2:$E$69))</f>
        <v>7.06555902495382</v>
      </c>
      <c r="F72" s="1" t="n">
        <f aca="false">SQRT(VAR($F$2:$F$69)/COUNT($F$2:$F$69))</f>
        <v>3.7272507360849</v>
      </c>
      <c r="G72" s="1" t="n">
        <f aca="false">SQRT(VAR($G$2:$G$69)/COUNT($G$2:$G$69))</f>
        <v>5.69629998814709</v>
      </c>
      <c r="K72" s="3" t="n">
        <v>46168.8700115741</v>
      </c>
      <c r="L72" s="1" t="s">
        <v>7</v>
      </c>
      <c r="M72" s="1" t="n">
        <v>2042</v>
      </c>
      <c r="N72" s="1" t="n">
        <v>71</v>
      </c>
    </row>
    <row r="73" customFormat="false" ht="13.8" hidden="false" customHeight="false" outlineLevel="0" collapsed="false">
      <c r="B73" s="1" t="s">
        <v>971</v>
      </c>
      <c r="C73" s="1" t="n">
        <f aca="false">MODE($C$2:$C$69)</f>
        <v>1264</v>
      </c>
      <c r="D73" s="1" t="n">
        <f aca="false">MODE($D$2:$D$69)</f>
        <v>1197</v>
      </c>
      <c r="E73" s="1" t="n">
        <f aca="false">MODE($E$2:$E$69)</f>
        <v>2066</v>
      </c>
      <c r="F73" s="1" t="n">
        <f aca="false">MODE($F$2:$F$69)</f>
        <v>2143</v>
      </c>
      <c r="G73" s="1" t="n">
        <f aca="false">MODE($G$2:$G$69)</f>
        <v>2119</v>
      </c>
      <c r="K73" s="3" t="n">
        <v>46168.8703703704</v>
      </c>
      <c r="L73" s="1" t="s">
        <v>7</v>
      </c>
      <c r="M73" s="1" t="n">
        <v>2045</v>
      </c>
      <c r="N73" s="1" t="n">
        <v>70</v>
      </c>
    </row>
    <row r="74" customFormat="false" ht="13.8" hidden="false" customHeight="false" outlineLevel="0" collapsed="false">
      <c r="B74" s="1" t="s">
        <v>972</v>
      </c>
      <c r="C74" s="1" t="n">
        <f aca="false">MEDIAN($C$2:$C$69)</f>
        <v>1273.5</v>
      </c>
      <c r="D74" s="1" t="n">
        <f aca="false">MEDIAN($D$2:$D$69)</f>
        <v>1197.5</v>
      </c>
      <c r="E74" s="1" t="n">
        <f aca="false">MEDIAN($E$2:$E$69)</f>
        <v>2066</v>
      </c>
      <c r="F74" s="1" t="n">
        <f aca="false">MEDIAN($F$2:$F$69)</f>
        <v>2157</v>
      </c>
      <c r="G74" s="1" t="n">
        <f aca="false">MEDIAN($G$2:$G$69)</f>
        <v>2099</v>
      </c>
      <c r="K74" s="3" t="n">
        <v>46168.8707060185</v>
      </c>
      <c r="L74" s="1" t="s">
        <v>7</v>
      </c>
      <c r="M74" s="1" t="n">
        <v>2047</v>
      </c>
      <c r="N74" s="1" t="n">
        <v>70</v>
      </c>
    </row>
    <row r="75" customFormat="false" ht="13.8" hidden="false" customHeight="false" outlineLevel="0" collapsed="false">
      <c r="B75" s="1" t="s">
        <v>973</v>
      </c>
      <c r="C75" s="1" t="n">
        <f aca="false">QUARTILE($C$2:$C$69, 1)</f>
        <v>1264</v>
      </c>
      <c r="D75" s="1" t="n">
        <f aca="false">QUARTILE($D$2:$D$69, 1)</f>
        <v>1193.25</v>
      </c>
      <c r="E75" s="1" t="n">
        <f aca="false">QUARTILE($E$2:$E$69, 1)</f>
        <v>2025.75</v>
      </c>
      <c r="F75" s="1" t="n">
        <f aca="false">QUARTILE($F$2:$F$69, 1)</f>
        <v>2141</v>
      </c>
      <c r="G75" s="1" t="n">
        <f aca="false">QUARTILE($G$2:$G$69, 1)</f>
        <v>2066</v>
      </c>
      <c r="K75" s="3" t="n">
        <v>46168.8710648148</v>
      </c>
      <c r="L75" s="1" t="s">
        <v>7</v>
      </c>
      <c r="M75" s="1" t="n">
        <v>2055</v>
      </c>
      <c r="N75" s="1" t="n">
        <v>69</v>
      </c>
    </row>
    <row r="76" customFormat="false" ht="13.8" hidden="false" customHeight="false" outlineLevel="0" collapsed="false">
      <c r="B76" s="1" t="s">
        <v>974</v>
      </c>
      <c r="C76" s="1" t="n">
        <f aca="false">QUARTILE($C$2:$C$69, 3)</f>
        <v>1284</v>
      </c>
      <c r="D76" s="1" t="n">
        <f aca="false">QUARTILE($D$2:$D$69, 3)</f>
        <v>1201</v>
      </c>
      <c r="E76" s="1" t="n">
        <f aca="false">QUARTILE($E$2:$E$69, 3)</f>
        <v>2083.5</v>
      </c>
      <c r="F76" s="1" t="n">
        <f aca="false">QUARTILE($F$2:$F$69, 3)</f>
        <v>2165.25</v>
      </c>
      <c r="G76" s="1" t="n">
        <f aca="false">QUARTILE($G$2:$G$69, 3)</f>
        <v>2117.25</v>
      </c>
      <c r="K76" s="3" t="n">
        <v>46168.871400463</v>
      </c>
      <c r="L76" s="1" t="s">
        <v>7</v>
      </c>
      <c r="M76" s="1" t="n">
        <v>2057</v>
      </c>
      <c r="N76" s="1" t="n">
        <v>69</v>
      </c>
    </row>
    <row r="77" customFormat="false" ht="13.8" hidden="false" customHeight="false" outlineLevel="0" collapsed="false">
      <c r="B77" s="1" t="s">
        <v>975</v>
      </c>
      <c r="C77" s="1" t="n">
        <f aca="false">VAR($C$2:$C$69)</f>
        <v>223.274822695035</v>
      </c>
      <c r="D77" s="1" t="n">
        <f aca="false">VAR($D$2:$D$69)</f>
        <v>821.439716312057</v>
      </c>
      <c r="E77" s="1" t="n">
        <f aca="false">VAR($E$2:$E$69)</f>
        <v>2396.26196808511</v>
      </c>
      <c r="F77" s="1" t="n">
        <f aca="false">VAR($F$2:$F$69)</f>
        <v>666.835106382979</v>
      </c>
      <c r="G77" s="1" t="n">
        <f aca="false">VAR($G$2:$G$69)</f>
        <v>1557.4960106383</v>
      </c>
      <c r="K77" s="3" t="n">
        <v>46168.8717476852</v>
      </c>
      <c r="L77" s="1" t="s">
        <v>7</v>
      </c>
      <c r="M77" s="1" t="n">
        <v>2064</v>
      </c>
      <c r="N77" s="1" t="n">
        <v>69</v>
      </c>
    </row>
    <row r="78" customFormat="false" ht="13.8" hidden="false" customHeight="false" outlineLevel="0" collapsed="false">
      <c r="B78" s="1" t="s">
        <v>976</v>
      </c>
      <c r="C78" s="1" t="n">
        <f aca="false">STDEV($C$2:$C$69)</f>
        <v>14.9423834342127</v>
      </c>
      <c r="D78" s="1" t="n">
        <f aca="false">STDEV($D$2:$D$69)</f>
        <v>28.6607696392134</v>
      </c>
      <c r="E78" s="1" t="n">
        <f aca="false">STDEV($E$2:$E$69)</f>
        <v>48.9516288603873</v>
      </c>
      <c r="F78" s="1" t="n">
        <f aca="false">STDEV($F$2:$F$69)</f>
        <v>25.8231505897901</v>
      </c>
      <c r="G78" s="1" t="n">
        <f aca="false">STDEV($G$2:$G$69)</f>
        <v>39.465123978499</v>
      </c>
      <c r="K78" s="3" t="n">
        <v>46168.8721064815</v>
      </c>
      <c r="L78" s="1" t="s">
        <v>7</v>
      </c>
      <c r="M78" s="1" t="n">
        <v>2066</v>
      </c>
      <c r="N78" s="1" t="n">
        <v>68</v>
      </c>
    </row>
    <row r="79" customFormat="false" ht="13.8" hidden="false" customHeight="false" outlineLevel="0" collapsed="false">
      <c r="B79" s="1" t="s">
        <v>977</v>
      </c>
      <c r="C79" s="1" t="n">
        <f aca="false">KURT($C$2:$C$69)</f>
        <v>-0.123290512290703</v>
      </c>
      <c r="D79" s="1" t="n">
        <f aca="false">KURT($D$2:$D$69)</f>
        <v>5.43521113457876</v>
      </c>
      <c r="E79" s="1" t="n">
        <f aca="false">KURT($E$2:$E$69)</f>
        <v>1.52931214456013</v>
      </c>
      <c r="F79" s="1" t="n">
        <f aca="false">KURT($F$2:$F$69)</f>
        <v>2.13415483746257</v>
      </c>
      <c r="G79" s="1" t="n">
        <f aca="false">KURT($G$2:$G$69)</f>
        <v>0.759534600407643</v>
      </c>
      <c r="K79" s="3" t="n">
        <v>46168.8724537037</v>
      </c>
      <c r="L79" s="1" t="s">
        <v>7</v>
      </c>
      <c r="M79" s="1" t="n">
        <v>2066</v>
      </c>
      <c r="N79" s="1" t="n">
        <v>68</v>
      </c>
    </row>
    <row r="80" customFormat="false" ht="13.8" hidden="false" customHeight="false" outlineLevel="0" collapsed="false">
      <c r="B80" s="1" t="s">
        <v>978</v>
      </c>
      <c r="C80" s="1" t="n">
        <f aca="false">SKEW($C$2:$C$69)</f>
        <v>-0.0475233814461589</v>
      </c>
      <c r="D80" s="1" t="n">
        <f aca="false">SKEW($D$2:$D$69)</f>
        <v>2.03504414199263</v>
      </c>
      <c r="E80" s="1" t="n">
        <f aca="false">SKEW($E$2:$E$69)</f>
        <v>-1.34402060600387</v>
      </c>
      <c r="F80" s="1" t="n">
        <f aca="false">SKEW($F$2:$F$69)</f>
        <v>-1.54361653662999</v>
      </c>
      <c r="G80" s="1" t="n">
        <f aca="false">SKEW($G$2:$G$69)</f>
        <v>-1.15923784166438</v>
      </c>
      <c r="K80" s="3" t="n">
        <v>46168.8728009259</v>
      </c>
      <c r="L80" s="1" t="s">
        <v>7</v>
      </c>
      <c r="M80" s="1" t="n">
        <v>2065</v>
      </c>
      <c r="N80" s="1" t="n">
        <v>68</v>
      </c>
    </row>
    <row r="81" customFormat="false" ht="13.8" hidden="false" customHeight="false" outlineLevel="0" collapsed="false">
      <c r="B81" s="1" t="s">
        <v>979</v>
      </c>
      <c r="C81" s="1" t="n">
        <f aca="false">MAX($C$2:$C$69)-MIN($C$2:$C$69)</f>
        <v>71</v>
      </c>
      <c r="D81" s="1" t="n">
        <f aca="false">MAX($D$2:$D$69)-MIN($D$2:$D$69)</f>
        <v>159</v>
      </c>
      <c r="E81" s="1" t="n">
        <f aca="false">MAX($E$2:$E$69)-MIN($E$2:$E$69)</f>
        <v>210</v>
      </c>
      <c r="F81" s="1" t="n">
        <f aca="false">MAX($F$2:$F$69)-MIN($F$2:$F$69)</f>
        <v>112</v>
      </c>
      <c r="G81" s="1" t="n">
        <f aca="false">MAX($G$2:$G$69)-MIN($G$2:$G$69)</f>
        <v>162</v>
      </c>
      <c r="K81" s="3" t="n">
        <v>46168.8731828704</v>
      </c>
      <c r="L81" s="1" t="s">
        <v>7</v>
      </c>
      <c r="M81" s="1" t="n">
        <v>2066</v>
      </c>
      <c r="N81" s="1" t="n">
        <v>68</v>
      </c>
    </row>
    <row r="82" customFormat="false" ht="13.8" hidden="false" customHeight="false" outlineLevel="0" collapsed="false">
      <c r="B82" s="1" t="s">
        <v>980</v>
      </c>
      <c r="C82" s="1" t="n">
        <f aca="false">MIN($C$2:$C$69)</f>
        <v>1238</v>
      </c>
      <c r="D82" s="1" t="n">
        <f aca="false">MIN($D$2:$D$69)</f>
        <v>1153</v>
      </c>
      <c r="E82" s="1" t="n">
        <f aca="false">MIN($E$2:$E$69)</f>
        <v>1891</v>
      </c>
      <c r="F82" s="1" t="n">
        <f aca="false">MIN($F$2:$F$69)</f>
        <v>2063</v>
      </c>
      <c r="G82" s="1" t="n">
        <f aca="false">MIN($G$2:$G$69)</f>
        <v>1968</v>
      </c>
      <c r="K82" s="3" t="n">
        <v>46168.8734953704</v>
      </c>
      <c r="L82" s="1" t="s">
        <v>7</v>
      </c>
      <c r="M82" s="1" t="n">
        <v>2066</v>
      </c>
      <c r="N82" s="1" t="n">
        <v>68</v>
      </c>
    </row>
    <row r="83" customFormat="false" ht="13.8" hidden="false" customHeight="false" outlineLevel="0" collapsed="false">
      <c r="B83" s="1" t="s">
        <v>981</v>
      </c>
      <c r="C83" s="1" t="n">
        <f aca="false">MAX($C$2:$C$69)</f>
        <v>1309</v>
      </c>
      <c r="D83" s="1" t="n">
        <f aca="false">MAX($D$2:$D$69)</f>
        <v>1312</v>
      </c>
      <c r="E83" s="1" t="n">
        <f aca="false">MAX($E$2:$E$69)</f>
        <v>2101</v>
      </c>
      <c r="F83" s="1" t="n">
        <f aca="false">MAX($F$2:$F$69)</f>
        <v>2175</v>
      </c>
      <c r="G83" s="1" t="n">
        <f aca="false">MAX($G$2:$G$69)</f>
        <v>2130</v>
      </c>
      <c r="K83" s="3" t="n">
        <v>46168.8738425926</v>
      </c>
      <c r="L83" s="1" t="s">
        <v>7</v>
      </c>
      <c r="M83" s="1" t="n">
        <v>2070</v>
      </c>
      <c r="N83" s="1" t="n">
        <v>68</v>
      </c>
    </row>
    <row r="84" customFormat="false" ht="13.8" hidden="false" customHeight="false" outlineLevel="0" collapsed="false">
      <c r="B84" s="1" t="s">
        <v>982</v>
      </c>
      <c r="C84" s="1" t="n">
        <f aca="false">SUM($C$2:$C$69)</f>
        <v>61118</v>
      </c>
      <c r="D84" s="1" t="n">
        <f aca="false">SUM($D$2:$D$69)</f>
        <v>57740</v>
      </c>
      <c r="E84" s="1" t="n">
        <f aca="false">SUM($E$2:$E$69)</f>
        <v>98319</v>
      </c>
      <c r="F84" s="1" t="n">
        <f aca="false">SUM($F$2:$F$69)</f>
        <v>103098</v>
      </c>
      <c r="G84" s="1" t="n">
        <f aca="false">SUM($G$2:$G$69)</f>
        <v>100161</v>
      </c>
      <c r="K84" s="3" t="n">
        <v>46168.8741898148</v>
      </c>
      <c r="L84" s="1" t="s">
        <v>7</v>
      </c>
      <c r="M84" s="1" t="n">
        <v>2072</v>
      </c>
      <c r="N84" s="1" t="n">
        <v>68</v>
      </c>
    </row>
    <row r="85" customFormat="false" ht="13.8" hidden="false" customHeight="false" outlineLevel="0" collapsed="false">
      <c r="B85" s="1" t="s">
        <v>983</v>
      </c>
      <c r="C85" s="1" t="n">
        <f aca="false">COUNT($C$2:$C$69)</f>
        <v>48</v>
      </c>
      <c r="D85" s="1" t="n">
        <f aca="false">COUNT($D$2:$D$69)</f>
        <v>48</v>
      </c>
      <c r="E85" s="1" t="n">
        <f aca="false">COUNT($E$2:$E$69)</f>
        <v>48</v>
      </c>
      <c r="F85" s="1" t="n">
        <f aca="false">COUNT($F$2:$F$69)</f>
        <v>48</v>
      </c>
      <c r="G85" s="1" t="n">
        <f aca="false">COUNT($G$2:$G$69)</f>
        <v>48</v>
      </c>
      <c r="K85" s="3" t="n">
        <v>46168.8745486111</v>
      </c>
      <c r="L85" s="1" t="s">
        <v>7</v>
      </c>
      <c r="M85" s="1" t="n">
        <v>2075</v>
      </c>
      <c r="N85" s="1" t="n">
        <v>68</v>
      </c>
    </row>
    <row r="86" customFormat="false" ht="13.8" hidden="false" customHeight="false" outlineLevel="0" collapsed="false">
      <c r="K86" s="3" t="n">
        <v>46168.8748958333</v>
      </c>
      <c r="L86" s="1" t="s">
        <v>7</v>
      </c>
      <c r="M86" s="1" t="n">
        <v>2077</v>
      </c>
      <c r="N86" s="1" t="n">
        <v>67</v>
      </c>
    </row>
    <row r="87" customFormat="false" ht="13.8" hidden="false" customHeight="false" outlineLevel="0" collapsed="false">
      <c r="K87" s="3" t="n">
        <v>46168.8752546296</v>
      </c>
      <c r="L87" s="1" t="s">
        <v>7</v>
      </c>
      <c r="M87" s="1" t="n">
        <v>2078</v>
      </c>
      <c r="N87" s="1" t="n">
        <v>67</v>
      </c>
    </row>
    <row r="88" customFormat="false" ht="13.8" hidden="false" customHeight="false" outlineLevel="0" collapsed="false">
      <c r="K88" s="3" t="n">
        <v>46168.8756018519</v>
      </c>
      <c r="L88" s="1" t="s">
        <v>7</v>
      </c>
      <c r="M88" s="1" t="n">
        <v>2082</v>
      </c>
      <c r="N88" s="1" t="n">
        <v>67</v>
      </c>
    </row>
    <row r="89" customFormat="false" ht="13.8" hidden="false" customHeight="false" outlineLevel="0" collapsed="false">
      <c r="K89" s="3" t="n">
        <v>46168.8759606482</v>
      </c>
      <c r="L89" s="1" t="s">
        <v>7</v>
      </c>
      <c r="M89" s="1" t="n">
        <v>2083</v>
      </c>
      <c r="N89" s="1" t="n">
        <v>67</v>
      </c>
    </row>
    <row r="90" customFormat="false" ht="13.8" hidden="false" customHeight="false" outlineLevel="0" collapsed="false">
      <c r="K90" s="3" t="n">
        <v>46168.8763078704</v>
      </c>
      <c r="L90" s="1" t="s">
        <v>7</v>
      </c>
      <c r="M90" s="1" t="n">
        <v>2085</v>
      </c>
      <c r="N90" s="1" t="n">
        <v>67</v>
      </c>
    </row>
    <row r="91" customFormat="false" ht="13.8" hidden="false" customHeight="false" outlineLevel="0" collapsed="false">
      <c r="K91" s="3" t="n">
        <v>46168.8766666667</v>
      </c>
      <c r="L91" s="1" t="s">
        <v>7</v>
      </c>
      <c r="M91" s="1" t="n">
        <v>2086</v>
      </c>
      <c r="N91" s="1" t="n">
        <v>66</v>
      </c>
    </row>
    <row r="92" customFormat="false" ht="13.8" hidden="false" customHeight="false" outlineLevel="0" collapsed="false">
      <c r="K92" s="3" t="n">
        <v>46168.877025463</v>
      </c>
      <c r="L92" s="1" t="s">
        <v>7</v>
      </c>
      <c r="M92" s="1" t="n">
        <v>2077</v>
      </c>
      <c r="N92" s="1" t="n">
        <v>67</v>
      </c>
    </row>
    <row r="93" customFormat="false" ht="13.8" hidden="false" customHeight="false" outlineLevel="0" collapsed="false">
      <c r="K93" s="3" t="n">
        <v>46168.8773726852</v>
      </c>
      <c r="L93" s="1" t="s">
        <v>7</v>
      </c>
      <c r="M93" s="1" t="n">
        <v>2091</v>
      </c>
      <c r="N93" s="1" t="n">
        <v>66</v>
      </c>
    </row>
    <row r="94" customFormat="false" ht="13.8" hidden="false" customHeight="false" outlineLevel="0" collapsed="false">
      <c r="K94" s="3" t="n">
        <v>46168.8777314815</v>
      </c>
      <c r="L94" s="1" t="s">
        <v>7</v>
      </c>
      <c r="M94" s="1" t="n">
        <v>2090</v>
      </c>
      <c r="N94" s="1" t="n">
        <v>66</v>
      </c>
    </row>
    <row r="95" customFormat="false" ht="13.8" hidden="false" customHeight="false" outlineLevel="0" collapsed="false">
      <c r="K95" s="3" t="n">
        <v>46168.8780787037</v>
      </c>
      <c r="L95" s="1" t="s">
        <v>7</v>
      </c>
      <c r="M95" s="1" t="n">
        <v>2094</v>
      </c>
      <c r="N95" s="1" t="n">
        <v>66</v>
      </c>
    </row>
    <row r="96" customFormat="false" ht="13.8" hidden="false" customHeight="false" outlineLevel="0" collapsed="false">
      <c r="K96" s="3" t="n">
        <v>46168.8784259259</v>
      </c>
      <c r="L96" s="1" t="s">
        <v>7</v>
      </c>
      <c r="M96" s="1" t="n">
        <v>2095</v>
      </c>
      <c r="N96" s="1" t="n">
        <v>66</v>
      </c>
    </row>
    <row r="97" customFormat="false" ht="13.8" hidden="false" customHeight="false" outlineLevel="0" collapsed="false">
      <c r="K97" s="3" t="n">
        <v>46168.8787731482</v>
      </c>
      <c r="L97" s="1" t="s">
        <v>7</v>
      </c>
      <c r="M97" s="1" t="n">
        <v>2096</v>
      </c>
      <c r="N97" s="1" t="n">
        <v>65</v>
      </c>
    </row>
    <row r="98" customFormat="false" ht="13.8" hidden="false" customHeight="false" outlineLevel="0" collapsed="false">
      <c r="K98" s="3" t="n">
        <v>46168.8791319444</v>
      </c>
      <c r="L98" s="1" t="s">
        <v>7</v>
      </c>
      <c r="M98" s="1" t="n">
        <v>2096</v>
      </c>
      <c r="N98" s="1" t="n">
        <v>65</v>
      </c>
    </row>
    <row r="99" customFormat="false" ht="13.8" hidden="false" customHeight="false" outlineLevel="0" collapsed="false">
      <c r="K99" s="3" t="n">
        <v>46168.8794907407</v>
      </c>
      <c r="L99" s="1" t="s">
        <v>7</v>
      </c>
      <c r="M99" s="1" t="n">
        <v>2096</v>
      </c>
      <c r="N99" s="1" t="n">
        <v>65</v>
      </c>
    </row>
    <row r="100" customFormat="false" ht="13.8" hidden="false" customHeight="false" outlineLevel="0" collapsed="false">
      <c r="K100" s="3" t="n">
        <v>46168.8798263889</v>
      </c>
      <c r="L100" s="1" t="s">
        <v>7</v>
      </c>
      <c r="M100" s="1" t="n">
        <v>2099</v>
      </c>
      <c r="N100" s="1" t="n">
        <v>65</v>
      </c>
    </row>
    <row r="101" customFormat="false" ht="13.8" hidden="false" customHeight="false" outlineLevel="0" collapsed="false">
      <c r="K101" s="3" t="n">
        <v>46168.8801736111</v>
      </c>
      <c r="L101" s="1" t="s">
        <v>7</v>
      </c>
      <c r="M101" s="1" t="n">
        <v>2101</v>
      </c>
      <c r="N101" s="1" t="n">
        <v>65</v>
      </c>
    </row>
    <row r="102" customFormat="false" ht="13.8" hidden="false" customHeight="false" outlineLevel="0" collapsed="false">
      <c r="K102" s="3" t="n">
        <v>46168.8805208333</v>
      </c>
      <c r="L102" s="1" t="s">
        <v>7</v>
      </c>
      <c r="M102" s="1" t="n">
        <v>2100</v>
      </c>
      <c r="N102" s="1" t="n">
        <v>65</v>
      </c>
    </row>
    <row r="103" customFormat="false" ht="13.8" hidden="false" customHeight="false" outlineLevel="0" collapsed="false">
      <c r="K103" s="3" t="n">
        <v>46168.8808796296</v>
      </c>
      <c r="L103" s="1" t="s">
        <v>7</v>
      </c>
      <c r="M103" s="1" t="n">
        <v>2071</v>
      </c>
      <c r="N103" s="1" t="n">
        <v>68</v>
      </c>
    </row>
    <row r="104" customFormat="false" ht="13.8" hidden="false" customHeight="false" outlineLevel="0" collapsed="false">
      <c r="K104" s="3" t="n">
        <v>46168.8812268519</v>
      </c>
      <c r="L104" s="1" t="s">
        <v>7</v>
      </c>
      <c r="M104" s="1" t="n">
        <v>2103</v>
      </c>
      <c r="N104" s="1" t="n">
        <v>65</v>
      </c>
    </row>
    <row r="105" customFormat="false" ht="13.8" hidden="false" customHeight="false" outlineLevel="0" collapsed="false">
      <c r="K105" s="3" t="n">
        <v>46168.8815740741</v>
      </c>
      <c r="L105" s="1" t="s">
        <v>7</v>
      </c>
      <c r="M105" s="1" t="n">
        <v>2109</v>
      </c>
      <c r="N105" s="1" t="n">
        <v>64</v>
      </c>
    </row>
    <row r="106" customFormat="false" ht="13.8" hidden="false" customHeight="false" outlineLevel="0" collapsed="false">
      <c r="K106" s="3" t="n">
        <v>46168.8637152778</v>
      </c>
      <c r="L106" s="1" t="s">
        <v>4</v>
      </c>
      <c r="M106" s="1" t="n">
        <v>2681</v>
      </c>
      <c r="N106" s="1" t="n">
        <v>8</v>
      </c>
    </row>
    <row r="107" customFormat="false" ht="13.8" hidden="false" customHeight="false" outlineLevel="0" collapsed="false">
      <c r="K107" s="3" t="n">
        <v>46168.8640625</v>
      </c>
      <c r="L107" s="1" t="s">
        <v>4</v>
      </c>
      <c r="M107" s="1" t="n">
        <v>1319</v>
      </c>
      <c r="N107" s="1" t="n">
        <v>98</v>
      </c>
    </row>
    <row r="108" customFormat="false" ht="13.8" hidden="false" customHeight="false" outlineLevel="0" collapsed="false">
      <c r="K108" s="3" t="n">
        <v>46168.8644097222</v>
      </c>
      <c r="L108" s="1" t="s">
        <v>4</v>
      </c>
      <c r="M108" s="1" t="n">
        <v>1297</v>
      </c>
      <c r="N108" s="1" t="n">
        <v>100</v>
      </c>
    </row>
    <row r="109" customFormat="false" ht="13.8" hidden="false" customHeight="false" outlineLevel="0" collapsed="false">
      <c r="K109" s="3" t="n">
        <v>46168.8647569444</v>
      </c>
      <c r="L109" s="1" t="s">
        <v>4</v>
      </c>
      <c r="M109" s="1" t="n">
        <v>1284</v>
      </c>
      <c r="N109" s="1" t="n">
        <v>100</v>
      </c>
    </row>
    <row r="110" customFormat="false" ht="13.8" hidden="false" customHeight="false" outlineLevel="0" collapsed="false">
      <c r="K110" s="3" t="n">
        <v>46168.8651041667</v>
      </c>
      <c r="L110" s="1" t="s">
        <v>4</v>
      </c>
      <c r="M110" s="1" t="n">
        <v>1286</v>
      </c>
      <c r="N110" s="1" t="n">
        <v>100</v>
      </c>
    </row>
    <row r="111" customFormat="false" ht="13.8" hidden="false" customHeight="false" outlineLevel="0" collapsed="false">
      <c r="K111" s="3" t="n">
        <v>46168.865462963</v>
      </c>
      <c r="L111" s="1" t="s">
        <v>4</v>
      </c>
      <c r="M111" s="1" t="n">
        <v>1255</v>
      </c>
      <c r="N111" s="1" t="n">
        <v>100</v>
      </c>
    </row>
    <row r="112" customFormat="false" ht="13.8" hidden="false" customHeight="false" outlineLevel="0" collapsed="false">
      <c r="K112" s="3" t="n">
        <v>46168.8658101852</v>
      </c>
      <c r="L112" s="1" t="s">
        <v>4</v>
      </c>
      <c r="M112" s="1" t="n">
        <v>1296</v>
      </c>
      <c r="N112" s="1" t="n">
        <v>100</v>
      </c>
    </row>
    <row r="113" customFormat="false" ht="13.8" hidden="false" customHeight="false" outlineLevel="0" collapsed="false">
      <c r="K113" s="3" t="n">
        <v>46168.8661574074</v>
      </c>
      <c r="L113" s="1" t="s">
        <v>4</v>
      </c>
      <c r="M113" s="1" t="n">
        <v>1268</v>
      </c>
      <c r="N113" s="1" t="n">
        <v>100</v>
      </c>
    </row>
    <row r="114" customFormat="false" ht="13.8" hidden="false" customHeight="false" outlineLevel="0" collapsed="false">
      <c r="K114" s="3" t="n">
        <v>46168.8665162037</v>
      </c>
      <c r="L114" s="1" t="s">
        <v>4</v>
      </c>
      <c r="M114" s="1" t="n">
        <v>1264</v>
      </c>
      <c r="N114" s="1" t="n">
        <v>100</v>
      </c>
    </row>
    <row r="115" customFormat="false" ht="13.8" hidden="false" customHeight="false" outlineLevel="0" collapsed="false">
      <c r="K115" s="3" t="n">
        <v>46168.8668634259</v>
      </c>
      <c r="L115" s="1" t="s">
        <v>4</v>
      </c>
      <c r="M115" s="1" t="n">
        <v>1270</v>
      </c>
      <c r="N115" s="1" t="n">
        <v>100</v>
      </c>
    </row>
    <row r="116" customFormat="false" ht="13.8" hidden="false" customHeight="false" outlineLevel="0" collapsed="false">
      <c r="K116" s="3" t="n">
        <v>46168.8672106482</v>
      </c>
      <c r="L116" s="1" t="s">
        <v>4</v>
      </c>
      <c r="M116" s="1" t="n">
        <v>1261</v>
      </c>
      <c r="N116" s="1" t="n">
        <v>100</v>
      </c>
    </row>
    <row r="117" customFormat="false" ht="13.8" hidden="false" customHeight="false" outlineLevel="0" collapsed="false">
      <c r="K117" s="3" t="n">
        <v>46168.8675694445</v>
      </c>
      <c r="L117" s="1" t="s">
        <v>4</v>
      </c>
      <c r="M117" s="1" t="n">
        <v>1264</v>
      </c>
      <c r="N117" s="1" t="n">
        <v>100</v>
      </c>
    </row>
    <row r="118" customFormat="false" ht="13.8" hidden="false" customHeight="false" outlineLevel="0" collapsed="false">
      <c r="K118" s="3" t="n">
        <v>46168.8679166667</v>
      </c>
      <c r="L118" s="1" t="s">
        <v>4</v>
      </c>
      <c r="M118" s="1" t="n">
        <v>1296</v>
      </c>
      <c r="N118" s="1" t="n">
        <v>100</v>
      </c>
    </row>
    <row r="119" customFormat="false" ht="13.8" hidden="false" customHeight="false" outlineLevel="0" collapsed="false">
      <c r="K119" s="3" t="n">
        <v>46168.868275463</v>
      </c>
      <c r="L119" s="1" t="s">
        <v>4</v>
      </c>
      <c r="M119" s="1" t="n">
        <v>1262</v>
      </c>
      <c r="N119" s="1" t="n">
        <v>100</v>
      </c>
    </row>
    <row r="120" customFormat="false" ht="13.8" hidden="false" customHeight="false" outlineLevel="0" collapsed="false">
      <c r="K120" s="3" t="n">
        <v>46168.8686226852</v>
      </c>
      <c r="L120" s="1" t="s">
        <v>4</v>
      </c>
      <c r="M120" s="1" t="n">
        <v>1275</v>
      </c>
      <c r="N120" s="1" t="n">
        <v>100</v>
      </c>
    </row>
    <row r="121" customFormat="false" ht="13.8" hidden="false" customHeight="false" outlineLevel="0" collapsed="false">
      <c r="K121" s="3" t="n">
        <v>46168.8689699074</v>
      </c>
      <c r="L121" s="1" t="s">
        <v>4</v>
      </c>
      <c r="M121" s="1" t="n">
        <v>1291</v>
      </c>
      <c r="N121" s="1" t="n">
        <v>100</v>
      </c>
    </row>
    <row r="122" customFormat="false" ht="13.8" hidden="false" customHeight="false" outlineLevel="0" collapsed="false">
      <c r="K122" s="3" t="n">
        <v>46168.8693171296</v>
      </c>
      <c r="L122" s="1" t="s">
        <v>4</v>
      </c>
      <c r="M122" s="1" t="n">
        <v>1278</v>
      </c>
      <c r="N122" s="1" t="n">
        <v>100</v>
      </c>
    </row>
    <row r="123" customFormat="false" ht="13.8" hidden="false" customHeight="false" outlineLevel="0" collapsed="false">
      <c r="K123" s="3" t="n">
        <v>46168.8696643519</v>
      </c>
      <c r="L123" s="1" t="s">
        <v>4</v>
      </c>
      <c r="M123" s="1" t="n">
        <v>1285</v>
      </c>
      <c r="N123" s="1" t="n">
        <v>100</v>
      </c>
    </row>
    <row r="124" customFormat="false" ht="13.8" hidden="false" customHeight="false" outlineLevel="0" collapsed="false">
      <c r="K124" s="3" t="n">
        <v>46168.8700115741</v>
      </c>
      <c r="L124" s="1" t="s">
        <v>4</v>
      </c>
      <c r="M124" s="1" t="n">
        <v>1281</v>
      </c>
      <c r="N124" s="1" t="n">
        <v>100</v>
      </c>
    </row>
    <row r="125" customFormat="false" ht="13.8" hidden="false" customHeight="false" outlineLevel="0" collapsed="false">
      <c r="K125" s="3" t="n">
        <v>46168.8703587963</v>
      </c>
      <c r="L125" s="1" t="s">
        <v>4</v>
      </c>
      <c r="M125" s="1" t="n">
        <v>1281</v>
      </c>
      <c r="N125" s="1" t="n">
        <v>100</v>
      </c>
    </row>
    <row r="126" customFormat="false" ht="13.8" hidden="false" customHeight="false" outlineLevel="0" collapsed="false">
      <c r="K126" s="3" t="n">
        <v>46168.8707060185</v>
      </c>
      <c r="L126" s="1" t="s">
        <v>4</v>
      </c>
      <c r="M126" s="1" t="n">
        <v>1287</v>
      </c>
      <c r="N126" s="1" t="n">
        <v>100</v>
      </c>
    </row>
    <row r="127" customFormat="false" ht="13.8" hidden="false" customHeight="false" outlineLevel="0" collapsed="false">
      <c r="K127" s="3" t="n">
        <v>46168.8710532407</v>
      </c>
      <c r="L127" s="1" t="s">
        <v>4</v>
      </c>
      <c r="M127" s="1" t="n">
        <v>1264</v>
      </c>
      <c r="N127" s="1" t="n">
        <v>100</v>
      </c>
    </row>
    <row r="128" customFormat="false" ht="13.8" hidden="false" customHeight="false" outlineLevel="0" collapsed="false">
      <c r="K128" s="3" t="n">
        <v>46168.871400463</v>
      </c>
      <c r="L128" s="1" t="s">
        <v>4</v>
      </c>
      <c r="M128" s="1" t="n">
        <v>1284</v>
      </c>
      <c r="N128" s="1" t="n">
        <v>100</v>
      </c>
    </row>
    <row r="129" customFormat="false" ht="13.8" hidden="false" customHeight="false" outlineLevel="0" collapsed="false">
      <c r="K129" s="3" t="n">
        <v>46168.8717476852</v>
      </c>
      <c r="L129" s="1" t="s">
        <v>4</v>
      </c>
      <c r="M129" s="1" t="n">
        <v>1264</v>
      </c>
      <c r="N129" s="1" t="n">
        <v>100</v>
      </c>
    </row>
    <row r="130" customFormat="false" ht="13.8" hidden="false" customHeight="false" outlineLevel="0" collapsed="false">
      <c r="K130" s="3" t="n">
        <v>46168.8720949074</v>
      </c>
      <c r="L130" s="1" t="s">
        <v>4</v>
      </c>
      <c r="M130" s="1" t="n">
        <v>1275</v>
      </c>
      <c r="N130" s="1" t="n">
        <v>100</v>
      </c>
    </row>
    <row r="131" customFormat="false" ht="13.8" hidden="false" customHeight="false" outlineLevel="0" collapsed="false">
      <c r="K131" s="3" t="n">
        <v>46168.8724421296</v>
      </c>
      <c r="L131" s="1" t="s">
        <v>4</v>
      </c>
      <c r="M131" s="1" t="n">
        <v>1281</v>
      </c>
      <c r="N131" s="1" t="n">
        <v>100</v>
      </c>
    </row>
    <row r="132" customFormat="false" ht="13.8" hidden="false" customHeight="false" outlineLevel="0" collapsed="false">
      <c r="K132" s="3" t="n">
        <v>46168.8727893519</v>
      </c>
      <c r="L132" s="1" t="s">
        <v>4</v>
      </c>
      <c r="M132" s="1" t="n">
        <v>1264</v>
      </c>
      <c r="N132" s="1" t="n">
        <v>100</v>
      </c>
    </row>
    <row r="133" customFormat="false" ht="13.8" hidden="false" customHeight="false" outlineLevel="0" collapsed="false">
      <c r="K133" s="3" t="n">
        <v>46168.8731712963</v>
      </c>
      <c r="L133" s="1" t="s">
        <v>4</v>
      </c>
      <c r="M133" s="1" t="n">
        <v>1238</v>
      </c>
      <c r="N133" s="1" t="n">
        <v>100</v>
      </c>
    </row>
    <row r="134" customFormat="false" ht="13.8" hidden="false" customHeight="false" outlineLevel="0" collapsed="false">
      <c r="K134" s="3" t="n">
        <v>46168.8734953704</v>
      </c>
      <c r="L134" s="1" t="s">
        <v>4</v>
      </c>
      <c r="M134" s="1" t="n">
        <v>1280</v>
      </c>
      <c r="N134" s="1" t="n">
        <v>100</v>
      </c>
    </row>
    <row r="135" customFormat="false" ht="13.8" hidden="false" customHeight="false" outlineLevel="0" collapsed="false">
      <c r="K135" s="3" t="n">
        <v>46168.8738425926</v>
      </c>
      <c r="L135" s="1" t="s">
        <v>4</v>
      </c>
      <c r="M135" s="1" t="n">
        <v>1250</v>
      </c>
      <c r="N135" s="1" t="n">
        <v>100</v>
      </c>
    </row>
    <row r="136" customFormat="false" ht="13.8" hidden="false" customHeight="false" outlineLevel="0" collapsed="false">
      <c r="K136" s="3" t="n">
        <v>46168.8741898148</v>
      </c>
      <c r="L136" s="1" t="s">
        <v>4</v>
      </c>
      <c r="M136" s="1" t="n">
        <v>1257</v>
      </c>
      <c r="N136" s="1" t="n">
        <v>100</v>
      </c>
    </row>
    <row r="137" customFormat="false" ht="13.8" hidden="false" customHeight="false" outlineLevel="0" collapsed="false">
      <c r="K137" s="3" t="n">
        <v>46168.874537037</v>
      </c>
      <c r="L137" s="1" t="s">
        <v>4</v>
      </c>
      <c r="M137" s="1" t="n">
        <v>1292</v>
      </c>
      <c r="N137" s="1" t="n">
        <v>100</v>
      </c>
    </row>
    <row r="138" customFormat="false" ht="13.8" hidden="false" customHeight="false" outlineLevel="0" collapsed="false">
      <c r="K138" s="3" t="n">
        <v>46168.8748958333</v>
      </c>
      <c r="L138" s="1" t="s">
        <v>4</v>
      </c>
      <c r="M138" s="1" t="n">
        <v>1273</v>
      </c>
      <c r="N138" s="1" t="n">
        <v>100</v>
      </c>
    </row>
    <row r="139" customFormat="false" ht="13.8" hidden="false" customHeight="false" outlineLevel="0" collapsed="false">
      <c r="K139" s="3" t="n">
        <v>46168.8752430556</v>
      </c>
      <c r="L139" s="1" t="s">
        <v>4</v>
      </c>
      <c r="M139" s="1" t="n">
        <v>1277</v>
      </c>
      <c r="N139" s="1" t="n">
        <v>100</v>
      </c>
    </row>
    <row r="140" customFormat="false" ht="13.8" hidden="false" customHeight="false" outlineLevel="0" collapsed="false">
      <c r="K140" s="3" t="n">
        <v>46168.8755902778</v>
      </c>
      <c r="L140" s="1" t="s">
        <v>4</v>
      </c>
      <c r="M140" s="1" t="n">
        <v>1291</v>
      </c>
      <c r="N140" s="1" t="n">
        <v>100</v>
      </c>
    </row>
    <row r="141" customFormat="false" ht="13.8" hidden="false" customHeight="false" outlineLevel="0" collapsed="false">
      <c r="K141" s="3" t="n">
        <v>46168.8759490741</v>
      </c>
      <c r="L141" s="1" t="s">
        <v>4</v>
      </c>
      <c r="M141" s="1" t="n">
        <v>1309</v>
      </c>
      <c r="N141" s="1" t="n">
        <v>99</v>
      </c>
    </row>
    <row r="142" customFormat="false" ht="13.8" hidden="false" customHeight="false" outlineLevel="0" collapsed="false">
      <c r="K142" s="3" t="n">
        <v>46168.8762962963</v>
      </c>
      <c r="L142" s="1" t="s">
        <v>4</v>
      </c>
      <c r="M142" s="1" t="n">
        <v>1270</v>
      </c>
      <c r="N142" s="1" t="n">
        <v>100</v>
      </c>
    </row>
    <row r="143" customFormat="false" ht="13.8" hidden="false" customHeight="false" outlineLevel="0" collapsed="false">
      <c r="K143" s="3" t="n">
        <v>46168.8766550926</v>
      </c>
      <c r="L143" s="1" t="s">
        <v>4</v>
      </c>
      <c r="M143" s="1" t="n">
        <v>1280</v>
      </c>
      <c r="N143" s="1" t="n">
        <v>100</v>
      </c>
    </row>
    <row r="144" customFormat="false" ht="13.8" hidden="false" customHeight="false" outlineLevel="0" collapsed="false">
      <c r="K144" s="3" t="n">
        <v>46168.8770138889</v>
      </c>
      <c r="L144" s="1" t="s">
        <v>4</v>
      </c>
      <c r="M144" s="1" t="n">
        <v>1243</v>
      </c>
      <c r="N144" s="1" t="n">
        <v>100</v>
      </c>
    </row>
    <row r="145" customFormat="false" ht="13.8" hidden="false" customHeight="false" outlineLevel="0" collapsed="false">
      <c r="K145" s="3" t="n">
        <v>46168.8773726852</v>
      </c>
      <c r="L145" s="1" t="s">
        <v>4</v>
      </c>
      <c r="M145" s="1" t="n">
        <v>1258</v>
      </c>
      <c r="N145" s="1" t="n">
        <v>100</v>
      </c>
    </row>
    <row r="146" customFormat="false" ht="13.8" hidden="false" customHeight="false" outlineLevel="0" collapsed="false">
      <c r="K146" s="3" t="n">
        <v>46168.8777199074</v>
      </c>
      <c r="L146" s="1" t="s">
        <v>4</v>
      </c>
      <c r="M146" s="1" t="n">
        <v>1265</v>
      </c>
      <c r="N146" s="1" t="n">
        <v>100</v>
      </c>
    </row>
    <row r="147" customFormat="false" ht="13.8" hidden="false" customHeight="false" outlineLevel="0" collapsed="false">
      <c r="K147" s="3" t="n">
        <v>46168.8780787037</v>
      </c>
      <c r="L147" s="1" t="s">
        <v>4</v>
      </c>
      <c r="M147" s="1" t="n">
        <v>1271</v>
      </c>
      <c r="N147" s="1" t="n">
        <v>100</v>
      </c>
    </row>
    <row r="148" customFormat="false" ht="13.8" hidden="false" customHeight="false" outlineLevel="0" collapsed="false">
      <c r="K148" s="3" t="n">
        <v>46168.8784259259</v>
      </c>
      <c r="L148" s="1" t="s">
        <v>4</v>
      </c>
      <c r="M148" s="1" t="n">
        <v>1276</v>
      </c>
      <c r="N148" s="1" t="n">
        <v>100</v>
      </c>
    </row>
    <row r="149" customFormat="false" ht="13.8" hidden="false" customHeight="false" outlineLevel="0" collapsed="false">
      <c r="K149" s="3" t="n">
        <v>46168.8787731482</v>
      </c>
      <c r="L149" s="1" t="s">
        <v>4</v>
      </c>
      <c r="M149" s="1" t="n">
        <v>1264</v>
      </c>
      <c r="N149" s="1" t="n">
        <v>100</v>
      </c>
    </row>
    <row r="150" customFormat="false" ht="13.8" hidden="false" customHeight="false" outlineLevel="0" collapsed="false">
      <c r="K150" s="3" t="n">
        <v>46168.8791203704</v>
      </c>
      <c r="L150" s="1" t="s">
        <v>4</v>
      </c>
      <c r="M150" s="1" t="n">
        <v>1266</v>
      </c>
      <c r="N150" s="1" t="n">
        <v>100</v>
      </c>
    </row>
    <row r="151" customFormat="false" ht="13.8" hidden="false" customHeight="false" outlineLevel="0" collapsed="false">
      <c r="K151" s="3" t="n">
        <v>46168.8794791667</v>
      </c>
      <c r="L151" s="1" t="s">
        <v>4</v>
      </c>
      <c r="M151" s="1" t="n">
        <v>1255</v>
      </c>
      <c r="N151" s="1" t="n">
        <v>100</v>
      </c>
    </row>
    <row r="152" customFormat="false" ht="13.8" hidden="false" customHeight="false" outlineLevel="0" collapsed="false">
      <c r="K152" s="3" t="n">
        <v>46168.8798263889</v>
      </c>
      <c r="L152" s="1" t="s">
        <v>4</v>
      </c>
      <c r="M152" s="1" t="n">
        <v>1252</v>
      </c>
      <c r="N152" s="1" t="n">
        <v>100</v>
      </c>
    </row>
    <row r="153" customFormat="false" ht="13.8" hidden="false" customHeight="false" outlineLevel="0" collapsed="false">
      <c r="K153" s="3" t="n">
        <v>46168.8801736111</v>
      </c>
      <c r="L153" s="1" t="s">
        <v>4</v>
      </c>
      <c r="M153" s="1" t="n">
        <v>1274</v>
      </c>
      <c r="N153" s="1" t="n">
        <v>100</v>
      </c>
    </row>
    <row r="154" customFormat="false" ht="13.8" hidden="false" customHeight="false" outlineLevel="0" collapsed="false">
      <c r="K154" s="3" t="n">
        <v>46168.8805208333</v>
      </c>
      <c r="L154" s="1" t="s">
        <v>4</v>
      </c>
      <c r="M154" s="1" t="n">
        <v>1273</v>
      </c>
      <c r="N154" s="1" t="n">
        <v>100</v>
      </c>
    </row>
    <row r="155" customFormat="false" ht="13.8" hidden="false" customHeight="false" outlineLevel="0" collapsed="false">
      <c r="K155" s="3" t="n">
        <v>46168.8808680556</v>
      </c>
      <c r="L155" s="1" t="s">
        <v>4</v>
      </c>
      <c r="M155" s="1" t="n">
        <v>1291</v>
      </c>
      <c r="N155" s="1" t="n">
        <v>100</v>
      </c>
    </row>
    <row r="156" customFormat="false" ht="13.8" hidden="false" customHeight="false" outlineLevel="0" collapsed="false">
      <c r="K156" s="3" t="n">
        <v>46168.8812152778</v>
      </c>
      <c r="L156" s="1" t="s">
        <v>4</v>
      </c>
      <c r="M156" s="1" t="n">
        <v>1262</v>
      </c>
      <c r="N156" s="1" t="n">
        <v>100</v>
      </c>
    </row>
    <row r="157" customFormat="false" ht="13.8" hidden="false" customHeight="false" outlineLevel="0" collapsed="false">
      <c r="K157" s="3" t="n">
        <v>46168.8815740741</v>
      </c>
      <c r="L157" s="1" t="s">
        <v>4</v>
      </c>
      <c r="M157" s="1" t="n">
        <v>1296</v>
      </c>
      <c r="N157" s="1" t="n">
        <v>100</v>
      </c>
    </row>
    <row r="158" customFormat="false" ht="13.8" hidden="false" customHeight="false" outlineLevel="0" collapsed="false">
      <c r="K158" s="3" t="n">
        <v>46168.8637152778</v>
      </c>
      <c r="L158" s="1" t="s">
        <v>8</v>
      </c>
      <c r="M158" s="1" t="n">
        <v>1728</v>
      </c>
      <c r="N158" s="1" t="n">
        <v>100</v>
      </c>
    </row>
    <row r="159" customFormat="false" ht="13.8" hidden="false" customHeight="false" outlineLevel="0" collapsed="false">
      <c r="K159" s="3" t="n">
        <v>46168.8640625</v>
      </c>
      <c r="L159" s="1" t="s">
        <v>8</v>
      </c>
      <c r="M159" s="1" t="n">
        <v>2000</v>
      </c>
      <c r="N159" s="1" t="n">
        <v>85</v>
      </c>
    </row>
    <row r="160" customFormat="false" ht="13.8" hidden="false" customHeight="false" outlineLevel="0" collapsed="false">
      <c r="K160" s="3" t="n">
        <v>46168.8644212963</v>
      </c>
      <c r="L160" s="1" t="s">
        <v>8</v>
      </c>
      <c r="M160" s="1" t="n">
        <v>2063</v>
      </c>
      <c r="N160" s="1" t="n">
        <v>77</v>
      </c>
    </row>
    <row r="161" customFormat="false" ht="13.8" hidden="false" customHeight="false" outlineLevel="0" collapsed="false">
      <c r="K161" s="3" t="n">
        <v>46168.8647685185</v>
      </c>
      <c r="L161" s="1" t="s">
        <v>8</v>
      </c>
      <c r="M161" s="1" t="n">
        <v>2086</v>
      </c>
      <c r="N161" s="1" t="n">
        <v>75</v>
      </c>
    </row>
    <row r="162" customFormat="false" ht="13.8" hidden="false" customHeight="false" outlineLevel="0" collapsed="false">
      <c r="K162" s="3" t="n">
        <v>46168.8651273148</v>
      </c>
      <c r="L162" s="1" t="s">
        <v>8</v>
      </c>
      <c r="M162" s="1" t="n">
        <v>2101</v>
      </c>
      <c r="N162" s="1" t="n">
        <v>73</v>
      </c>
    </row>
    <row r="163" customFormat="false" ht="13.8" hidden="false" customHeight="false" outlineLevel="0" collapsed="false">
      <c r="K163" s="3" t="n">
        <v>46168.865474537</v>
      </c>
      <c r="L163" s="1" t="s">
        <v>8</v>
      </c>
      <c r="M163" s="1" t="n">
        <v>2108</v>
      </c>
      <c r="N163" s="1" t="n">
        <v>72</v>
      </c>
    </row>
    <row r="164" customFormat="false" ht="13.8" hidden="false" customHeight="false" outlineLevel="0" collapsed="false">
      <c r="K164" s="3" t="n">
        <v>46168.8658217593</v>
      </c>
      <c r="L164" s="1" t="s">
        <v>8</v>
      </c>
      <c r="M164" s="1" t="n">
        <v>2113</v>
      </c>
      <c r="N164" s="1" t="n">
        <v>71</v>
      </c>
    </row>
    <row r="165" customFormat="false" ht="13.8" hidden="false" customHeight="false" outlineLevel="0" collapsed="false">
      <c r="K165" s="3" t="n">
        <v>46168.8661689815</v>
      </c>
      <c r="L165" s="1" t="s">
        <v>8</v>
      </c>
      <c r="M165" s="1" t="n">
        <v>2123</v>
      </c>
      <c r="N165" s="1" t="n">
        <v>70</v>
      </c>
    </row>
    <row r="166" customFormat="false" ht="13.8" hidden="false" customHeight="false" outlineLevel="0" collapsed="false">
      <c r="K166" s="3" t="n">
        <v>46168.8665393519</v>
      </c>
      <c r="L166" s="1" t="s">
        <v>8</v>
      </c>
      <c r="M166" s="1" t="n">
        <v>2083</v>
      </c>
      <c r="N166" s="1" t="n">
        <v>75</v>
      </c>
    </row>
    <row r="167" customFormat="false" ht="13.8" hidden="false" customHeight="false" outlineLevel="0" collapsed="false">
      <c r="K167" s="3" t="n">
        <v>46168.8668865741</v>
      </c>
      <c r="L167" s="1" t="s">
        <v>8</v>
      </c>
      <c r="M167" s="1" t="n">
        <v>2125</v>
      </c>
      <c r="N167" s="1" t="n">
        <v>70</v>
      </c>
    </row>
    <row r="168" customFormat="false" ht="13.8" hidden="false" customHeight="false" outlineLevel="0" collapsed="false">
      <c r="K168" s="3" t="n">
        <v>46168.8672337963</v>
      </c>
      <c r="L168" s="1" t="s">
        <v>8</v>
      </c>
      <c r="M168" s="1" t="n">
        <v>2128</v>
      </c>
      <c r="N168" s="1" t="n">
        <v>70</v>
      </c>
    </row>
    <row r="169" customFormat="false" ht="13.8" hidden="false" customHeight="false" outlineLevel="0" collapsed="false">
      <c r="K169" s="3" t="n">
        <v>46168.8675925926</v>
      </c>
      <c r="L169" s="1" t="s">
        <v>8</v>
      </c>
      <c r="M169" s="1" t="n">
        <v>2128</v>
      </c>
      <c r="N169" s="1" t="n">
        <v>70</v>
      </c>
    </row>
    <row r="170" customFormat="false" ht="13.8" hidden="false" customHeight="false" outlineLevel="0" collapsed="false">
      <c r="K170" s="3" t="n">
        <v>46168.8679282407</v>
      </c>
      <c r="L170" s="1" t="s">
        <v>8</v>
      </c>
      <c r="M170" s="1" t="n">
        <v>2133</v>
      </c>
      <c r="N170" s="1" t="n">
        <v>69</v>
      </c>
    </row>
    <row r="171" customFormat="false" ht="13.8" hidden="false" customHeight="false" outlineLevel="0" collapsed="false">
      <c r="K171" s="3" t="n">
        <v>46168.868275463</v>
      </c>
      <c r="L171" s="1" t="s">
        <v>8</v>
      </c>
      <c r="M171" s="1" t="n">
        <v>2138</v>
      </c>
      <c r="N171" s="1" t="n">
        <v>68</v>
      </c>
    </row>
    <row r="172" customFormat="false" ht="13.8" hidden="false" customHeight="false" outlineLevel="0" collapsed="false">
      <c r="K172" s="3" t="n">
        <v>46168.8686226852</v>
      </c>
      <c r="L172" s="1" t="s">
        <v>8</v>
      </c>
      <c r="M172" s="1" t="n">
        <v>2143</v>
      </c>
      <c r="N172" s="1" t="n">
        <v>68</v>
      </c>
    </row>
    <row r="173" customFormat="false" ht="13.8" hidden="false" customHeight="false" outlineLevel="0" collapsed="false">
      <c r="K173" s="3" t="n">
        <v>46168.8689814815</v>
      </c>
      <c r="L173" s="1" t="s">
        <v>8</v>
      </c>
      <c r="M173" s="1" t="n">
        <v>2142</v>
      </c>
      <c r="N173" s="1" t="n">
        <v>68</v>
      </c>
    </row>
    <row r="174" customFormat="false" ht="13.8" hidden="false" customHeight="false" outlineLevel="0" collapsed="false">
      <c r="K174" s="3" t="n">
        <v>46168.8693287037</v>
      </c>
      <c r="L174" s="1" t="s">
        <v>8</v>
      </c>
      <c r="M174" s="1" t="n">
        <v>2143</v>
      </c>
      <c r="N174" s="1" t="n">
        <v>68</v>
      </c>
    </row>
    <row r="175" customFormat="false" ht="13.8" hidden="false" customHeight="false" outlineLevel="0" collapsed="false">
      <c r="K175" s="3" t="n">
        <v>46168.8696643519</v>
      </c>
      <c r="L175" s="1" t="s">
        <v>8</v>
      </c>
      <c r="M175" s="1" t="n">
        <v>2143</v>
      </c>
      <c r="N175" s="1" t="n">
        <v>68</v>
      </c>
    </row>
    <row r="176" customFormat="false" ht="13.8" hidden="false" customHeight="false" outlineLevel="0" collapsed="false">
      <c r="K176" s="3" t="n">
        <v>46168.8700115741</v>
      </c>
      <c r="L176" s="1" t="s">
        <v>8</v>
      </c>
      <c r="M176" s="1" t="n">
        <v>2145</v>
      </c>
      <c r="N176" s="1" t="n">
        <v>68</v>
      </c>
    </row>
    <row r="177" customFormat="false" ht="13.8" hidden="false" customHeight="false" outlineLevel="0" collapsed="false">
      <c r="K177" s="3" t="n">
        <v>46168.8703703704</v>
      </c>
      <c r="L177" s="1" t="s">
        <v>8</v>
      </c>
      <c r="M177" s="1" t="n">
        <v>2147</v>
      </c>
      <c r="N177" s="1" t="n">
        <v>67</v>
      </c>
    </row>
    <row r="178" customFormat="false" ht="13.8" hidden="false" customHeight="false" outlineLevel="0" collapsed="false">
      <c r="K178" s="3" t="n">
        <v>46168.8707175926</v>
      </c>
      <c r="L178" s="1" t="s">
        <v>8</v>
      </c>
      <c r="M178" s="1" t="n">
        <v>2154</v>
      </c>
      <c r="N178" s="1" t="n">
        <v>67</v>
      </c>
    </row>
    <row r="179" customFormat="false" ht="13.8" hidden="false" customHeight="false" outlineLevel="0" collapsed="false">
      <c r="K179" s="3" t="n">
        <v>46168.8710648148</v>
      </c>
      <c r="L179" s="1" t="s">
        <v>8</v>
      </c>
      <c r="M179" s="1" t="n">
        <v>2153</v>
      </c>
      <c r="N179" s="1" t="n">
        <v>67</v>
      </c>
    </row>
    <row r="180" customFormat="false" ht="13.8" hidden="false" customHeight="false" outlineLevel="0" collapsed="false">
      <c r="K180" s="3" t="n">
        <v>46168.871412037</v>
      </c>
      <c r="L180" s="1" t="s">
        <v>8</v>
      </c>
      <c r="M180" s="1" t="n">
        <v>2155</v>
      </c>
      <c r="N180" s="1" t="n">
        <v>66</v>
      </c>
    </row>
    <row r="181" customFormat="false" ht="13.8" hidden="false" customHeight="false" outlineLevel="0" collapsed="false">
      <c r="K181" s="3" t="n">
        <v>46168.8717592593</v>
      </c>
      <c r="L181" s="1" t="s">
        <v>8</v>
      </c>
      <c r="M181" s="1" t="n">
        <v>2154</v>
      </c>
      <c r="N181" s="1" t="n">
        <v>67</v>
      </c>
    </row>
    <row r="182" customFormat="false" ht="13.8" hidden="false" customHeight="false" outlineLevel="0" collapsed="false">
      <c r="K182" s="3" t="n">
        <v>46168.8721064815</v>
      </c>
      <c r="L182" s="1" t="s">
        <v>8</v>
      </c>
      <c r="M182" s="1" t="n">
        <v>2157</v>
      </c>
      <c r="N182" s="1" t="n">
        <v>66</v>
      </c>
    </row>
    <row r="183" customFormat="false" ht="13.8" hidden="false" customHeight="false" outlineLevel="0" collapsed="false">
      <c r="K183" s="3" t="n">
        <v>46168.8724537037</v>
      </c>
      <c r="L183" s="1" t="s">
        <v>8</v>
      </c>
      <c r="M183" s="1" t="n">
        <v>2153</v>
      </c>
      <c r="N183" s="1" t="n">
        <v>67</v>
      </c>
    </row>
    <row r="184" customFormat="false" ht="13.8" hidden="false" customHeight="false" outlineLevel="0" collapsed="false">
      <c r="K184" s="3" t="n">
        <v>46168.8728009259</v>
      </c>
      <c r="L184" s="1" t="s">
        <v>8</v>
      </c>
      <c r="M184" s="1" t="n">
        <v>2157</v>
      </c>
      <c r="N184" s="1" t="n">
        <v>66</v>
      </c>
    </row>
    <row r="185" customFormat="false" ht="13.8" hidden="false" customHeight="false" outlineLevel="0" collapsed="false">
      <c r="K185" s="3" t="n">
        <v>46168.8731828704</v>
      </c>
      <c r="L185" s="1" t="s">
        <v>8</v>
      </c>
      <c r="M185" s="1" t="n">
        <v>2159</v>
      </c>
      <c r="N185" s="1" t="n">
        <v>66</v>
      </c>
    </row>
    <row r="186" customFormat="false" ht="13.8" hidden="false" customHeight="false" outlineLevel="0" collapsed="false">
      <c r="K186" s="3" t="n">
        <v>46168.8735069444</v>
      </c>
      <c r="L186" s="1" t="s">
        <v>8</v>
      </c>
      <c r="M186" s="1" t="n">
        <v>2159</v>
      </c>
      <c r="N186" s="1" t="n">
        <v>66</v>
      </c>
    </row>
    <row r="187" customFormat="false" ht="13.8" hidden="false" customHeight="false" outlineLevel="0" collapsed="false">
      <c r="K187" s="3" t="n">
        <v>46168.8738541667</v>
      </c>
      <c r="L187" s="1" t="s">
        <v>8</v>
      </c>
      <c r="M187" s="1" t="n">
        <v>2160</v>
      </c>
      <c r="N187" s="1" t="n">
        <v>66</v>
      </c>
    </row>
    <row r="188" customFormat="false" ht="13.8" hidden="false" customHeight="false" outlineLevel="0" collapsed="false">
      <c r="K188" s="3" t="n">
        <v>46168.8742013889</v>
      </c>
      <c r="L188" s="1" t="s">
        <v>8</v>
      </c>
      <c r="M188" s="1" t="n">
        <v>2160</v>
      </c>
      <c r="N188" s="1" t="n">
        <v>66</v>
      </c>
    </row>
    <row r="189" customFormat="false" ht="13.8" hidden="false" customHeight="false" outlineLevel="0" collapsed="false">
      <c r="K189" s="3" t="n">
        <v>46168.8745486111</v>
      </c>
      <c r="L189" s="1" t="s">
        <v>8</v>
      </c>
      <c r="M189" s="1" t="n">
        <v>2160</v>
      </c>
      <c r="N189" s="1" t="n">
        <v>66</v>
      </c>
    </row>
    <row r="190" customFormat="false" ht="13.8" hidden="false" customHeight="false" outlineLevel="0" collapsed="false">
      <c r="K190" s="3" t="n">
        <v>46168.8749074074</v>
      </c>
      <c r="L190" s="1" t="s">
        <v>8</v>
      </c>
      <c r="M190" s="1" t="n">
        <v>2163</v>
      </c>
      <c r="N190" s="1" t="n">
        <v>65</v>
      </c>
    </row>
    <row r="191" customFormat="false" ht="13.8" hidden="false" customHeight="false" outlineLevel="0" collapsed="false">
      <c r="K191" s="3" t="n">
        <v>46168.8752546296</v>
      </c>
      <c r="L191" s="1" t="s">
        <v>8</v>
      </c>
      <c r="M191" s="1" t="n">
        <v>2165</v>
      </c>
      <c r="N191" s="1" t="n">
        <v>65</v>
      </c>
    </row>
    <row r="192" customFormat="false" ht="13.8" hidden="false" customHeight="false" outlineLevel="0" collapsed="false">
      <c r="K192" s="3" t="n">
        <v>46168.8756018519</v>
      </c>
      <c r="L192" s="1" t="s">
        <v>8</v>
      </c>
      <c r="M192" s="1" t="n">
        <v>2159</v>
      </c>
      <c r="N192" s="1" t="n">
        <v>66</v>
      </c>
    </row>
    <row r="193" customFormat="false" ht="13.8" hidden="false" customHeight="false" outlineLevel="0" collapsed="false">
      <c r="K193" s="3" t="n">
        <v>46168.8759606482</v>
      </c>
      <c r="L193" s="1" t="s">
        <v>8</v>
      </c>
      <c r="M193" s="1" t="n">
        <v>2166</v>
      </c>
      <c r="N193" s="1" t="n">
        <v>65</v>
      </c>
    </row>
    <row r="194" customFormat="false" ht="13.8" hidden="false" customHeight="false" outlineLevel="0" collapsed="false">
      <c r="K194" s="3" t="n">
        <v>46168.8763194445</v>
      </c>
      <c r="L194" s="1" t="s">
        <v>8</v>
      </c>
      <c r="M194" s="1" t="n">
        <v>2163</v>
      </c>
      <c r="N194" s="1" t="n">
        <v>65</v>
      </c>
    </row>
    <row r="195" customFormat="false" ht="13.8" hidden="false" customHeight="false" outlineLevel="0" collapsed="false">
      <c r="K195" s="3" t="n">
        <v>46168.8766666667</v>
      </c>
      <c r="L195" s="1" t="s">
        <v>8</v>
      </c>
      <c r="M195" s="1" t="n">
        <v>2164</v>
      </c>
      <c r="N195" s="1" t="n">
        <v>65</v>
      </c>
    </row>
    <row r="196" customFormat="false" ht="13.8" hidden="false" customHeight="false" outlineLevel="0" collapsed="false">
      <c r="K196" s="3" t="n">
        <v>46168.877025463</v>
      </c>
      <c r="L196" s="1" t="s">
        <v>8</v>
      </c>
      <c r="M196" s="1" t="n">
        <v>2165</v>
      </c>
      <c r="N196" s="1" t="n">
        <v>65</v>
      </c>
    </row>
    <row r="197" customFormat="false" ht="13.8" hidden="false" customHeight="false" outlineLevel="0" collapsed="false">
      <c r="K197" s="3" t="n">
        <v>46168.8773842593</v>
      </c>
      <c r="L197" s="1" t="s">
        <v>8</v>
      </c>
      <c r="M197" s="1" t="n">
        <v>2166</v>
      </c>
      <c r="N197" s="1" t="n">
        <v>65</v>
      </c>
    </row>
    <row r="198" customFormat="false" ht="13.8" hidden="false" customHeight="false" outlineLevel="0" collapsed="false">
      <c r="K198" s="3" t="n">
        <v>46168.8777314815</v>
      </c>
      <c r="L198" s="1" t="s">
        <v>8</v>
      </c>
      <c r="M198" s="1" t="n">
        <v>2167</v>
      </c>
      <c r="N198" s="1" t="n">
        <v>65</v>
      </c>
    </row>
    <row r="199" customFormat="false" ht="13.8" hidden="false" customHeight="false" outlineLevel="0" collapsed="false">
      <c r="K199" s="3" t="n">
        <v>46168.8780787037</v>
      </c>
      <c r="L199" s="1" t="s">
        <v>8</v>
      </c>
      <c r="M199" s="1" t="n">
        <v>2167</v>
      </c>
      <c r="N199" s="1" t="n">
        <v>65</v>
      </c>
    </row>
    <row r="200" customFormat="false" ht="13.8" hidden="false" customHeight="false" outlineLevel="0" collapsed="false">
      <c r="K200" s="3" t="n">
        <v>46168.8784259259</v>
      </c>
      <c r="L200" s="1" t="s">
        <v>8</v>
      </c>
      <c r="M200" s="1" t="n">
        <v>2170</v>
      </c>
      <c r="N200" s="1" t="n">
        <v>65</v>
      </c>
    </row>
    <row r="201" customFormat="false" ht="13.8" hidden="false" customHeight="false" outlineLevel="0" collapsed="false">
      <c r="K201" s="3" t="n">
        <v>46168.8787847222</v>
      </c>
      <c r="L201" s="1" t="s">
        <v>8</v>
      </c>
      <c r="M201" s="1" t="n">
        <v>2173</v>
      </c>
      <c r="N201" s="1" t="n">
        <v>64</v>
      </c>
    </row>
    <row r="202" customFormat="false" ht="13.8" hidden="false" customHeight="false" outlineLevel="0" collapsed="false">
      <c r="K202" s="3" t="n">
        <v>46168.8791435185</v>
      </c>
      <c r="L202" s="1" t="s">
        <v>8</v>
      </c>
      <c r="M202" s="1" t="n">
        <v>2171</v>
      </c>
      <c r="N202" s="1" t="n">
        <v>64</v>
      </c>
    </row>
    <row r="203" customFormat="false" ht="13.8" hidden="false" customHeight="false" outlineLevel="0" collapsed="false">
      <c r="K203" s="3" t="n">
        <v>46168.8794907407</v>
      </c>
      <c r="L203" s="1" t="s">
        <v>8</v>
      </c>
      <c r="M203" s="1" t="n">
        <v>2175</v>
      </c>
      <c r="N203" s="1" t="n">
        <v>64</v>
      </c>
    </row>
    <row r="204" customFormat="false" ht="13.8" hidden="false" customHeight="false" outlineLevel="0" collapsed="false">
      <c r="K204" s="3" t="n">
        <v>46168.879837963</v>
      </c>
      <c r="L204" s="1" t="s">
        <v>8</v>
      </c>
      <c r="M204" s="1" t="n">
        <v>2170</v>
      </c>
      <c r="N204" s="1" t="n">
        <v>65</v>
      </c>
    </row>
    <row r="205" customFormat="false" ht="13.8" hidden="false" customHeight="false" outlineLevel="0" collapsed="false">
      <c r="K205" s="3" t="n">
        <v>46168.8801851852</v>
      </c>
      <c r="L205" s="1" t="s">
        <v>8</v>
      </c>
      <c r="M205" s="1" t="n">
        <v>2172</v>
      </c>
      <c r="N205" s="1" t="n">
        <v>64</v>
      </c>
    </row>
    <row r="206" customFormat="false" ht="13.8" hidden="false" customHeight="false" outlineLevel="0" collapsed="false">
      <c r="K206" s="3" t="n">
        <v>46168.8805324074</v>
      </c>
      <c r="L206" s="1" t="s">
        <v>8</v>
      </c>
      <c r="M206" s="1" t="n">
        <v>2174</v>
      </c>
      <c r="N206" s="1" t="n">
        <v>64</v>
      </c>
    </row>
    <row r="207" customFormat="false" ht="13.8" hidden="false" customHeight="false" outlineLevel="0" collapsed="false">
      <c r="K207" s="3" t="n">
        <v>46168.8808796296</v>
      </c>
      <c r="L207" s="1" t="s">
        <v>8</v>
      </c>
      <c r="M207" s="1" t="n">
        <v>2175</v>
      </c>
      <c r="N207" s="1" t="n">
        <v>64</v>
      </c>
    </row>
    <row r="208" customFormat="false" ht="13.8" hidden="false" customHeight="false" outlineLevel="0" collapsed="false">
      <c r="K208" s="3" t="n">
        <v>46168.8812268519</v>
      </c>
      <c r="L208" s="1" t="s">
        <v>8</v>
      </c>
      <c r="M208" s="1" t="n">
        <v>2172</v>
      </c>
      <c r="N208" s="1" t="n">
        <v>64</v>
      </c>
    </row>
    <row r="209" customFormat="false" ht="13.8" hidden="false" customHeight="false" outlineLevel="0" collapsed="false">
      <c r="K209" s="3" t="n">
        <v>46168.8637268519</v>
      </c>
      <c r="L209" s="1" t="s">
        <v>9</v>
      </c>
      <c r="M209" s="1" t="n">
        <v>1596</v>
      </c>
      <c r="N209" s="1" t="n">
        <v>100</v>
      </c>
    </row>
    <row r="210" customFormat="false" ht="13.8" hidden="false" customHeight="false" outlineLevel="0" collapsed="false">
      <c r="K210" s="3" t="n">
        <v>46168.8640740741</v>
      </c>
      <c r="L210" s="1" t="s">
        <v>9</v>
      </c>
      <c r="M210" s="1" t="n">
        <v>1859</v>
      </c>
      <c r="N210" s="1" t="n">
        <v>100</v>
      </c>
    </row>
    <row r="211" customFormat="false" ht="13.8" hidden="false" customHeight="false" outlineLevel="0" collapsed="false">
      <c r="K211" s="3" t="n">
        <v>46168.8644212963</v>
      </c>
      <c r="L211" s="1" t="s">
        <v>9</v>
      </c>
      <c r="M211" s="1" t="n">
        <v>1927</v>
      </c>
      <c r="N211" s="1" t="n">
        <v>100</v>
      </c>
    </row>
    <row r="212" customFormat="false" ht="13.8" hidden="false" customHeight="false" outlineLevel="0" collapsed="false">
      <c r="K212" s="3" t="n">
        <v>46168.8647685185</v>
      </c>
      <c r="L212" s="1" t="s">
        <v>9</v>
      </c>
      <c r="M212" s="1" t="n">
        <v>1968</v>
      </c>
      <c r="N212" s="1" t="n">
        <v>97</v>
      </c>
    </row>
    <row r="213" customFormat="false" ht="13.8" hidden="false" customHeight="false" outlineLevel="0" collapsed="false">
      <c r="K213" s="3" t="n">
        <v>46168.8651273148</v>
      </c>
      <c r="L213" s="1" t="s">
        <v>9</v>
      </c>
      <c r="M213" s="1" t="n">
        <v>1994</v>
      </c>
      <c r="N213" s="1" t="n">
        <v>93</v>
      </c>
    </row>
    <row r="214" customFormat="false" ht="13.8" hidden="false" customHeight="false" outlineLevel="0" collapsed="false">
      <c r="K214" s="3" t="n">
        <v>46168.865474537</v>
      </c>
      <c r="L214" s="1" t="s">
        <v>9</v>
      </c>
      <c r="M214" s="1" t="n">
        <v>2016</v>
      </c>
      <c r="N214" s="1" t="n">
        <v>89</v>
      </c>
    </row>
    <row r="215" customFormat="false" ht="13.8" hidden="false" customHeight="false" outlineLevel="0" collapsed="false">
      <c r="K215" s="3" t="n">
        <v>46168.8658217593</v>
      </c>
      <c r="L215" s="1" t="s">
        <v>9</v>
      </c>
      <c r="M215" s="1" t="n">
        <v>2013</v>
      </c>
      <c r="N215" s="1" t="n">
        <v>89</v>
      </c>
    </row>
    <row r="216" customFormat="false" ht="13.8" hidden="false" customHeight="false" outlineLevel="0" collapsed="false">
      <c r="K216" s="3" t="n">
        <v>46168.8661805556</v>
      </c>
      <c r="L216" s="1" t="s">
        <v>9</v>
      </c>
      <c r="M216" s="1" t="n">
        <v>2023</v>
      </c>
      <c r="N216" s="1" t="n">
        <v>88</v>
      </c>
    </row>
    <row r="217" customFormat="false" ht="13.8" hidden="false" customHeight="false" outlineLevel="0" collapsed="false">
      <c r="K217" s="3" t="n">
        <v>46168.8665509259</v>
      </c>
      <c r="L217" s="1" t="s">
        <v>9</v>
      </c>
      <c r="M217" s="1" t="n">
        <v>2032</v>
      </c>
      <c r="N217" s="1" t="n">
        <v>86</v>
      </c>
    </row>
    <row r="218" customFormat="false" ht="13.8" hidden="false" customHeight="false" outlineLevel="0" collapsed="false">
      <c r="K218" s="3" t="n">
        <v>46168.8668865741</v>
      </c>
      <c r="L218" s="1" t="s">
        <v>9</v>
      </c>
      <c r="M218" s="1" t="n">
        <v>2033</v>
      </c>
      <c r="N218" s="1" t="n">
        <v>86</v>
      </c>
    </row>
    <row r="219" customFormat="false" ht="13.8" hidden="false" customHeight="false" outlineLevel="0" collapsed="false">
      <c r="K219" s="3" t="n">
        <v>46168.8672337963</v>
      </c>
      <c r="L219" s="1" t="s">
        <v>9</v>
      </c>
      <c r="M219" s="1" t="n">
        <v>2043</v>
      </c>
      <c r="N219" s="1" t="n">
        <v>84</v>
      </c>
    </row>
    <row r="220" customFormat="false" ht="13.8" hidden="false" customHeight="false" outlineLevel="0" collapsed="false">
      <c r="K220" s="3" t="n">
        <v>46168.8675925926</v>
      </c>
      <c r="L220" s="1" t="s">
        <v>9</v>
      </c>
      <c r="M220" s="1" t="n">
        <v>2047</v>
      </c>
      <c r="N220" s="1" t="n">
        <v>84</v>
      </c>
    </row>
    <row r="221" customFormat="false" ht="13.8" hidden="false" customHeight="false" outlineLevel="0" collapsed="false">
      <c r="K221" s="3" t="n">
        <v>46168.8679282407</v>
      </c>
      <c r="L221" s="1" t="s">
        <v>9</v>
      </c>
      <c r="M221" s="1" t="n">
        <v>2057</v>
      </c>
      <c r="N221" s="1" t="n">
        <v>82</v>
      </c>
    </row>
    <row r="222" customFormat="false" ht="13.8" hidden="false" customHeight="false" outlineLevel="0" collapsed="false">
      <c r="K222" s="3" t="n">
        <v>46168.868287037</v>
      </c>
      <c r="L222" s="1" t="s">
        <v>9</v>
      </c>
      <c r="M222" s="1" t="n">
        <v>2059</v>
      </c>
      <c r="N222" s="1" t="n">
        <v>81</v>
      </c>
    </row>
    <row r="223" customFormat="false" ht="13.8" hidden="false" customHeight="false" outlineLevel="0" collapsed="false">
      <c r="K223" s="3" t="n">
        <v>46168.8686342593</v>
      </c>
      <c r="L223" s="1" t="s">
        <v>9</v>
      </c>
      <c r="M223" s="1" t="n">
        <v>2063</v>
      </c>
      <c r="N223" s="1" t="n">
        <v>81</v>
      </c>
    </row>
    <row r="224" customFormat="false" ht="13.8" hidden="false" customHeight="false" outlineLevel="0" collapsed="false">
      <c r="K224" s="3" t="n">
        <v>46168.8689814815</v>
      </c>
      <c r="L224" s="1" t="s">
        <v>9</v>
      </c>
      <c r="M224" s="1" t="n">
        <v>2067</v>
      </c>
      <c r="N224" s="1" t="n">
        <v>80</v>
      </c>
    </row>
    <row r="225" customFormat="false" ht="13.8" hidden="false" customHeight="false" outlineLevel="0" collapsed="false">
      <c r="K225" s="3" t="n">
        <v>46168.8693287037</v>
      </c>
      <c r="L225" s="1" t="s">
        <v>9</v>
      </c>
      <c r="M225" s="1" t="n">
        <v>2073</v>
      </c>
      <c r="N225" s="1" t="n">
        <v>79</v>
      </c>
    </row>
    <row r="226" customFormat="false" ht="13.8" hidden="false" customHeight="false" outlineLevel="0" collapsed="false">
      <c r="K226" s="3" t="n">
        <v>46168.8696759259</v>
      </c>
      <c r="L226" s="1" t="s">
        <v>9</v>
      </c>
      <c r="M226" s="1" t="n">
        <v>2077</v>
      </c>
      <c r="N226" s="1" t="n">
        <v>78</v>
      </c>
    </row>
    <row r="227" customFormat="false" ht="13.8" hidden="false" customHeight="false" outlineLevel="0" collapsed="false">
      <c r="K227" s="3" t="n">
        <v>46168.8700231482</v>
      </c>
      <c r="L227" s="1" t="s">
        <v>9</v>
      </c>
      <c r="M227" s="1" t="n">
        <v>2078</v>
      </c>
      <c r="N227" s="1" t="n">
        <v>78</v>
      </c>
    </row>
    <row r="228" customFormat="false" ht="13.8" hidden="false" customHeight="false" outlineLevel="0" collapsed="false">
      <c r="K228" s="3" t="n">
        <v>46168.8703703704</v>
      </c>
      <c r="L228" s="1" t="s">
        <v>9</v>
      </c>
      <c r="M228" s="1" t="n">
        <v>2079</v>
      </c>
      <c r="N228" s="1" t="n">
        <v>78</v>
      </c>
    </row>
    <row r="229" customFormat="false" ht="13.8" hidden="false" customHeight="false" outlineLevel="0" collapsed="false">
      <c r="K229" s="3" t="n">
        <v>46168.8707175926</v>
      </c>
      <c r="L229" s="1" t="s">
        <v>9</v>
      </c>
      <c r="M229" s="1" t="n">
        <v>2083</v>
      </c>
      <c r="N229" s="1" t="n">
        <v>77</v>
      </c>
    </row>
    <row r="230" customFormat="false" ht="13.8" hidden="false" customHeight="false" outlineLevel="0" collapsed="false">
      <c r="K230" s="3" t="n">
        <v>46168.8710648148</v>
      </c>
      <c r="L230" s="1" t="s">
        <v>9</v>
      </c>
      <c r="M230" s="1" t="n">
        <v>2085</v>
      </c>
      <c r="N230" s="1" t="n">
        <v>77</v>
      </c>
    </row>
    <row r="231" customFormat="false" ht="13.8" hidden="false" customHeight="false" outlineLevel="0" collapsed="false">
      <c r="K231" s="3" t="n">
        <v>46168.871412037</v>
      </c>
      <c r="L231" s="1" t="s">
        <v>9</v>
      </c>
      <c r="M231" s="1" t="n">
        <v>2089</v>
      </c>
      <c r="N231" s="1" t="n">
        <v>76</v>
      </c>
    </row>
    <row r="232" customFormat="false" ht="13.8" hidden="false" customHeight="false" outlineLevel="0" collapsed="false">
      <c r="K232" s="3" t="n">
        <v>46168.8717592593</v>
      </c>
      <c r="L232" s="1" t="s">
        <v>9</v>
      </c>
      <c r="M232" s="1" t="n">
        <v>2096</v>
      </c>
      <c r="N232" s="1" t="n">
        <v>75</v>
      </c>
    </row>
    <row r="233" customFormat="false" ht="13.8" hidden="false" customHeight="false" outlineLevel="0" collapsed="false">
      <c r="K233" s="3" t="n">
        <v>46168.8721064815</v>
      </c>
      <c r="L233" s="1" t="s">
        <v>9</v>
      </c>
      <c r="M233" s="1" t="n">
        <v>2095</v>
      </c>
      <c r="N233" s="1" t="n">
        <v>75</v>
      </c>
    </row>
    <row r="234" customFormat="false" ht="13.8" hidden="false" customHeight="false" outlineLevel="0" collapsed="false">
      <c r="K234" s="3" t="n">
        <v>46168.8724537037</v>
      </c>
      <c r="L234" s="1" t="s">
        <v>9</v>
      </c>
      <c r="M234" s="1" t="n">
        <v>2097</v>
      </c>
      <c r="N234" s="1" t="n">
        <v>75</v>
      </c>
    </row>
    <row r="235" customFormat="false" ht="13.8" hidden="false" customHeight="false" outlineLevel="0" collapsed="false">
      <c r="K235" s="3" t="n">
        <v>46168.8728009259</v>
      </c>
      <c r="L235" s="1" t="s">
        <v>9</v>
      </c>
      <c r="M235" s="1" t="n">
        <v>2096</v>
      </c>
      <c r="N235" s="1" t="n">
        <v>75</v>
      </c>
    </row>
    <row r="236" customFormat="false" ht="13.8" hidden="false" customHeight="false" outlineLevel="0" collapsed="false">
      <c r="K236" s="3" t="n">
        <v>46168.8731828704</v>
      </c>
      <c r="L236" s="1" t="s">
        <v>9</v>
      </c>
      <c r="M236" s="1" t="n">
        <v>2103</v>
      </c>
      <c r="N236" s="1" t="n">
        <v>74</v>
      </c>
    </row>
    <row r="237" customFormat="false" ht="13.8" hidden="false" customHeight="false" outlineLevel="0" collapsed="false">
      <c r="K237" s="3" t="n">
        <v>46168.8735069444</v>
      </c>
      <c r="L237" s="1" t="s">
        <v>9</v>
      </c>
      <c r="M237" s="1" t="n">
        <v>2101</v>
      </c>
      <c r="N237" s="1" t="n">
        <v>74</v>
      </c>
    </row>
    <row r="238" customFormat="false" ht="13.8" hidden="false" customHeight="false" outlineLevel="0" collapsed="false">
      <c r="K238" s="3" t="n">
        <v>46168.8738541667</v>
      </c>
      <c r="L238" s="1" t="s">
        <v>9</v>
      </c>
      <c r="M238" s="1" t="n">
        <v>2101</v>
      </c>
      <c r="N238" s="1" t="n">
        <v>74</v>
      </c>
    </row>
    <row r="239" customFormat="false" ht="13.8" hidden="false" customHeight="false" outlineLevel="0" collapsed="false">
      <c r="K239" s="3" t="n">
        <v>46168.8742013889</v>
      </c>
      <c r="L239" s="1" t="s">
        <v>9</v>
      </c>
      <c r="M239" s="1" t="n">
        <v>2106</v>
      </c>
      <c r="N239" s="1" t="n">
        <v>73</v>
      </c>
    </row>
    <row r="240" customFormat="false" ht="13.8" hidden="false" customHeight="false" outlineLevel="0" collapsed="false">
      <c r="K240" s="3" t="n">
        <v>46168.8745486111</v>
      </c>
      <c r="L240" s="1" t="s">
        <v>9</v>
      </c>
      <c r="M240" s="1" t="n">
        <v>2107</v>
      </c>
      <c r="N240" s="1" t="n">
        <v>73</v>
      </c>
    </row>
    <row r="241" customFormat="false" ht="13.8" hidden="false" customHeight="false" outlineLevel="0" collapsed="false">
      <c r="K241" s="3" t="n">
        <v>46168.8749074074</v>
      </c>
      <c r="L241" s="1" t="s">
        <v>9</v>
      </c>
      <c r="M241" s="1" t="n">
        <v>2109</v>
      </c>
      <c r="N241" s="1" t="n">
        <v>73</v>
      </c>
    </row>
    <row r="242" customFormat="false" ht="13.8" hidden="false" customHeight="false" outlineLevel="0" collapsed="false">
      <c r="K242" s="3" t="n">
        <v>46168.8752662037</v>
      </c>
      <c r="L242" s="1" t="s">
        <v>9</v>
      </c>
      <c r="M242" s="1" t="n">
        <v>2113</v>
      </c>
      <c r="N242" s="1" t="n">
        <v>72</v>
      </c>
    </row>
    <row r="243" customFormat="false" ht="13.8" hidden="false" customHeight="false" outlineLevel="0" collapsed="false">
      <c r="K243" s="3" t="n">
        <v>46168.8756134259</v>
      </c>
      <c r="L243" s="1" t="s">
        <v>9</v>
      </c>
      <c r="M243" s="1" t="n">
        <v>2115</v>
      </c>
      <c r="N243" s="1" t="n">
        <v>72</v>
      </c>
    </row>
    <row r="244" customFormat="false" ht="13.8" hidden="false" customHeight="false" outlineLevel="0" collapsed="false">
      <c r="K244" s="3" t="n">
        <v>46168.8759606482</v>
      </c>
      <c r="L244" s="1" t="s">
        <v>9</v>
      </c>
      <c r="M244" s="1" t="n">
        <v>2112</v>
      </c>
      <c r="N244" s="1" t="n">
        <v>72</v>
      </c>
    </row>
    <row r="245" customFormat="false" ht="13.8" hidden="false" customHeight="false" outlineLevel="0" collapsed="false">
      <c r="K245" s="3" t="n">
        <v>46168.8763194445</v>
      </c>
      <c r="L245" s="1" t="s">
        <v>9</v>
      </c>
      <c r="M245" s="1" t="n">
        <v>2119</v>
      </c>
      <c r="N245" s="1" t="n">
        <v>71</v>
      </c>
    </row>
    <row r="246" customFormat="false" ht="13.8" hidden="false" customHeight="false" outlineLevel="0" collapsed="false">
      <c r="K246" s="3" t="n">
        <v>46168.8766782407</v>
      </c>
      <c r="L246" s="1" t="s">
        <v>9</v>
      </c>
      <c r="M246" s="1" t="n">
        <v>2112</v>
      </c>
      <c r="N246" s="1" t="n">
        <v>72</v>
      </c>
    </row>
    <row r="247" customFormat="false" ht="13.8" hidden="false" customHeight="false" outlineLevel="0" collapsed="false">
      <c r="K247" s="3" t="n">
        <v>46168.877037037</v>
      </c>
      <c r="L247" s="1" t="s">
        <v>9</v>
      </c>
      <c r="M247" s="1" t="n">
        <v>2117</v>
      </c>
      <c r="N247" s="1" t="n">
        <v>71</v>
      </c>
    </row>
    <row r="248" customFormat="false" ht="13.8" hidden="false" customHeight="false" outlineLevel="0" collapsed="false">
      <c r="K248" s="3" t="n">
        <v>46168.8773842593</v>
      </c>
      <c r="L248" s="1" t="s">
        <v>9</v>
      </c>
      <c r="M248" s="1" t="n">
        <v>2118</v>
      </c>
      <c r="N248" s="1" t="n">
        <v>71</v>
      </c>
    </row>
    <row r="249" customFormat="false" ht="13.8" hidden="false" customHeight="false" outlineLevel="0" collapsed="false">
      <c r="K249" s="3" t="n">
        <v>46168.8777430556</v>
      </c>
      <c r="L249" s="1" t="s">
        <v>9</v>
      </c>
      <c r="M249" s="1" t="n">
        <v>2119</v>
      </c>
      <c r="N249" s="1" t="n">
        <v>71</v>
      </c>
    </row>
    <row r="250" customFormat="false" ht="13.8" hidden="false" customHeight="false" outlineLevel="0" collapsed="false">
      <c r="K250" s="3" t="n">
        <v>46168.8780787037</v>
      </c>
      <c r="L250" s="1" t="s">
        <v>9</v>
      </c>
      <c r="M250" s="1" t="n">
        <v>2119</v>
      </c>
      <c r="N250" s="1" t="n">
        <v>71</v>
      </c>
    </row>
    <row r="251" customFormat="false" ht="13.8" hidden="false" customHeight="false" outlineLevel="0" collapsed="false">
      <c r="K251" s="3" t="n">
        <v>46168.8784375</v>
      </c>
      <c r="L251" s="1" t="s">
        <v>9</v>
      </c>
      <c r="M251" s="1" t="n">
        <v>2123</v>
      </c>
      <c r="N251" s="1" t="n">
        <v>70</v>
      </c>
    </row>
    <row r="252" customFormat="false" ht="13.8" hidden="false" customHeight="false" outlineLevel="0" collapsed="false">
      <c r="K252" s="3" t="n">
        <v>46168.8787847222</v>
      </c>
      <c r="L252" s="1" t="s">
        <v>9</v>
      </c>
      <c r="M252" s="1" t="n">
        <v>2119</v>
      </c>
      <c r="N252" s="1" t="n">
        <v>71</v>
      </c>
    </row>
    <row r="253" customFormat="false" ht="13.8" hidden="false" customHeight="false" outlineLevel="0" collapsed="false">
      <c r="K253" s="3" t="n">
        <v>46168.8791435185</v>
      </c>
      <c r="L253" s="1" t="s">
        <v>9</v>
      </c>
      <c r="M253" s="1" t="n">
        <v>2125</v>
      </c>
      <c r="N253" s="1" t="n">
        <v>70</v>
      </c>
    </row>
    <row r="254" customFormat="false" ht="13.8" hidden="false" customHeight="false" outlineLevel="0" collapsed="false">
      <c r="K254" s="3" t="n">
        <v>46168.8794907407</v>
      </c>
      <c r="L254" s="1" t="s">
        <v>9</v>
      </c>
      <c r="M254" s="1" t="n">
        <v>2117</v>
      </c>
      <c r="N254" s="1" t="n">
        <v>71</v>
      </c>
    </row>
    <row r="255" customFormat="false" ht="13.8" hidden="false" customHeight="false" outlineLevel="0" collapsed="false">
      <c r="K255" s="3" t="n">
        <v>46168.879837963</v>
      </c>
      <c r="L255" s="1" t="s">
        <v>9</v>
      </c>
      <c r="M255" s="1" t="n">
        <v>2128</v>
      </c>
      <c r="N255" s="1" t="n">
        <v>70</v>
      </c>
    </row>
    <row r="256" customFormat="false" ht="13.8" hidden="false" customHeight="false" outlineLevel="0" collapsed="false">
      <c r="K256" s="3" t="n">
        <v>46168.8801851852</v>
      </c>
      <c r="L256" s="1" t="s">
        <v>9</v>
      </c>
      <c r="M256" s="1" t="n">
        <v>2128</v>
      </c>
      <c r="N256" s="1" t="n">
        <v>70</v>
      </c>
    </row>
    <row r="257" customFormat="false" ht="13.8" hidden="false" customHeight="false" outlineLevel="0" collapsed="false">
      <c r="K257" s="3" t="n">
        <v>46168.8805324074</v>
      </c>
      <c r="L257" s="1" t="s">
        <v>9</v>
      </c>
      <c r="M257" s="1" t="n">
        <v>2129</v>
      </c>
      <c r="N257" s="1" t="n">
        <v>69</v>
      </c>
    </row>
    <row r="258" customFormat="false" ht="13.8" hidden="false" customHeight="false" outlineLevel="0" collapsed="false">
      <c r="K258" s="3" t="n">
        <v>46168.8808796296</v>
      </c>
      <c r="L258" s="1" t="s">
        <v>9</v>
      </c>
      <c r="M258" s="1" t="n">
        <v>2130</v>
      </c>
      <c r="N258" s="1" t="n">
        <v>69</v>
      </c>
    </row>
    <row r="259" customFormat="false" ht="13.8" hidden="false" customHeight="false" outlineLevel="0" collapsed="false">
      <c r="K259" s="3" t="n">
        <v>46168.8812268519</v>
      </c>
      <c r="L259" s="1" t="s">
        <v>9</v>
      </c>
      <c r="M259" s="1" t="n">
        <v>2128</v>
      </c>
      <c r="N259" s="1" t="n">
        <v>70</v>
      </c>
    </row>
    <row r="260" customFormat="false" ht="13.8" hidden="false" customHeight="false" outlineLevel="0" collapsed="false">
      <c r="K260" s="3" t="n">
        <v>46168.8640509259</v>
      </c>
      <c r="L260" s="1" t="s">
        <v>5</v>
      </c>
      <c r="M260" s="1"/>
      <c r="N260" s="1" t="n">
        <v>87.7</v>
      </c>
    </row>
    <row r="261" customFormat="false" ht="13.8" hidden="false" customHeight="false" outlineLevel="0" collapsed="false">
      <c r="K261" s="3" t="n">
        <v>46168.8644097222</v>
      </c>
      <c r="L261" s="1" t="s">
        <v>5</v>
      </c>
      <c r="M261" s="1"/>
      <c r="N261" s="1" t="n">
        <v>87.7</v>
      </c>
    </row>
    <row r="262" customFormat="false" ht="13.8" hidden="false" customHeight="false" outlineLevel="0" collapsed="false">
      <c r="K262" s="3" t="n">
        <v>46168.8647569444</v>
      </c>
      <c r="L262" s="1" t="s">
        <v>5</v>
      </c>
      <c r="M262" s="1"/>
      <c r="N262" s="1" t="n">
        <v>87.6</v>
      </c>
    </row>
    <row r="263" customFormat="false" ht="13.8" hidden="false" customHeight="false" outlineLevel="0" collapsed="false">
      <c r="K263" s="3" t="n">
        <v>46168.8651041667</v>
      </c>
      <c r="L263" s="1" t="s">
        <v>5</v>
      </c>
      <c r="M263" s="1"/>
      <c r="N263" s="1" t="n">
        <v>87.6</v>
      </c>
    </row>
    <row r="264" customFormat="false" ht="13.8" hidden="false" customHeight="false" outlineLevel="0" collapsed="false">
      <c r="K264" s="3" t="n">
        <v>46168.865462963</v>
      </c>
      <c r="L264" s="1" t="s">
        <v>5</v>
      </c>
      <c r="M264" s="1"/>
      <c r="N264" s="1" t="n">
        <v>87.6</v>
      </c>
    </row>
    <row r="265" customFormat="false" ht="13.8" hidden="false" customHeight="false" outlineLevel="0" collapsed="false">
      <c r="K265" s="3" t="n">
        <v>46168.8658101852</v>
      </c>
      <c r="L265" s="1" t="s">
        <v>5</v>
      </c>
      <c r="M265" s="1"/>
      <c r="N265" s="1" t="n">
        <v>87.6</v>
      </c>
    </row>
    <row r="266" customFormat="false" ht="13.8" hidden="false" customHeight="false" outlineLevel="0" collapsed="false">
      <c r="K266" s="3" t="n">
        <v>46168.8661574074</v>
      </c>
      <c r="L266" s="1" t="s">
        <v>5</v>
      </c>
      <c r="M266" s="1"/>
      <c r="N266" s="1" t="n">
        <v>87.6</v>
      </c>
    </row>
    <row r="267" customFormat="false" ht="13.8" hidden="false" customHeight="false" outlineLevel="0" collapsed="false">
      <c r="K267" s="3" t="n">
        <v>46168.8665046296</v>
      </c>
      <c r="L267" s="1" t="s">
        <v>5</v>
      </c>
      <c r="M267" s="1"/>
      <c r="N267" s="1" t="n">
        <v>87.6</v>
      </c>
    </row>
    <row r="268" customFormat="false" ht="13.8" hidden="false" customHeight="false" outlineLevel="0" collapsed="false">
      <c r="K268" s="3" t="n">
        <v>46168.8668518519</v>
      </c>
      <c r="L268" s="1" t="s">
        <v>5</v>
      </c>
      <c r="M268" s="1"/>
      <c r="N268" s="1" t="n">
        <v>87.4</v>
      </c>
    </row>
    <row r="269" customFormat="false" ht="13.8" hidden="false" customHeight="false" outlineLevel="0" collapsed="false">
      <c r="K269" s="3" t="n">
        <v>46168.8671990741</v>
      </c>
      <c r="L269" s="1" t="s">
        <v>5</v>
      </c>
      <c r="M269" s="1"/>
      <c r="N269" s="1" t="n">
        <v>87.6</v>
      </c>
    </row>
    <row r="270" customFormat="false" ht="13.8" hidden="false" customHeight="false" outlineLevel="0" collapsed="false">
      <c r="K270" s="3" t="n">
        <v>46168.8675694445</v>
      </c>
      <c r="L270" s="1" t="s">
        <v>5</v>
      </c>
      <c r="M270" s="1"/>
      <c r="N270" s="1" t="n">
        <v>87.6</v>
      </c>
    </row>
    <row r="271" customFormat="false" ht="13.8" hidden="false" customHeight="false" outlineLevel="0" collapsed="false">
      <c r="K271" s="3" t="n">
        <v>46168.8679166667</v>
      </c>
      <c r="L271" s="1" t="s">
        <v>5</v>
      </c>
      <c r="M271" s="1"/>
      <c r="N271" s="1" t="n">
        <v>87.6</v>
      </c>
    </row>
    <row r="272" customFormat="false" ht="13.8" hidden="false" customHeight="false" outlineLevel="0" collapsed="false">
      <c r="K272" s="3" t="n">
        <v>46168.8682638889</v>
      </c>
      <c r="L272" s="1" t="s">
        <v>5</v>
      </c>
      <c r="M272" s="1"/>
      <c r="N272" s="1" t="n">
        <v>87.6</v>
      </c>
    </row>
    <row r="273" customFormat="false" ht="13.8" hidden="false" customHeight="false" outlineLevel="0" collapsed="false">
      <c r="K273" s="3" t="n">
        <v>46168.8686111111</v>
      </c>
      <c r="L273" s="1" t="s">
        <v>5</v>
      </c>
      <c r="M273" s="1"/>
      <c r="N273" s="1" t="n">
        <v>87.6</v>
      </c>
    </row>
    <row r="274" customFormat="false" ht="13.8" hidden="false" customHeight="false" outlineLevel="0" collapsed="false">
      <c r="K274" s="3" t="n">
        <v>46168.8689583333</v>
      </c>
      <c r="L274" s="1" t="s">
        <v>5</v>
      </c>
      <c r="M274" s="1"/>
      <c r="N274" s="1" t="n">
        <v>87.6</v>
      </c>
    </row>
    <row r="275" customFormat="false" ht="13.8" hidden="false" customHeight="false" outlineLevel="0" collapsed="false">
      <c r="K275" s="3" t="n">
        <v>46168.8693055556</v>
      </c>
      <c r="L275" s="1" t="s">
        <v>5</v>
      </c>
      <c r="M275" s="1"/>
      <c r="N275" s="1" t="n">
        <v>87.4</v>
      </c>
    </row>
    <row r="276" customFormat="false" ht="13.8" hidden="false" customHeight="false" outlineLevel="0" collapsed="false">
      <c r="K276" s="3" t="n">
        <v>46168.8696643519</v>
      </c>
      <c r="L276" s="1" t="s">
        <v>5</v>
      </c>
      <c r="M276" s="1"/>
      <c r="N276" s="1" t="n">
        <v>87.6</v>
      </c>
    </row>
    <row r="277" customFormat="false" ht="13.8" hidden="false" customHeight="false" outlineLevel="0" collapsed="false">
      <c r="K277" s="3" t="n">
        <v>46168.8700115741</v>
      </c>
      <c r="L277" s="1" t="s">
        <v>5</v>
      </c>
      <c r="M277" s="1"/>
      <c r="N277" s="1" t="n">
        <v>87.4</v>
      </c>
    </row>
    <row r="278" customFormat="false" ht="13.8" hidden="false" customHeight="false" outlineLevel="0" collapsed="false">
      <c r="K278" s="3" t="n">
        <v>46168.8703587963</v>
      </c>
      <c r="L278" s="1" t="s">
        <v>5</v>
      </c>
      <c r="M278" s="1"/>
      <c r="N278" s="1" t="n">
        <v>87.6</v>
      </c>
    </row>
    <row r="279" customFormat="false" ht="13.8" hidden="false" customHeight="false" outlineLevel="0" collapsed="false">
      <c r="K279" s="3" t="n">
        <v>46168.8707060185</v>
      </c>
      <c r="L279" s="1" t="s">
        <v>5</v>
      </c>
      <c r="M279" s="1"/>
      <c r="N279" s="1" t="n">
        <v>87.6</v>
      </c>
    </row>
    <row r="280" customFormat="false" ht="13.8" hidden="false" customHeight="false" outlineLevel="0" collapsed="false">
      <c r="K280" s="3" t="n">
        <v>46168.8710532407</v>
      </c>
      <c r="L280" s="1" t="s">
        <v>5</v>
      </c>
      <c r="M280" s="1"/>
      <c r="N280" s="1" t="n">
        <v>87.4</v>
      </c>
    </row>
    <row r="281" customFormat="false" ht="13.8" hidden="false" customHeight="false" outlineLevel="0" collapsed="false">
      <c r="K281" s="3" t="n">
        <v>46168.871400463</v>
      </c>
      <c r="L281" s="1" t="s">
        <v>5</v>
      </c>
      <c r="M281" s="1"/>
      <c r="N281" s="1" t="n">
        <v>87.6</v>
      </c>
    </row>
    <row r="282" customFormat="false" ht="13.8" hidden="false" customHeight="false" outlineLevel="0" collapsed="false">
      <c r="K282" s="3" t="n">
        <v>46168.8717476852</v>
      </c>
      <c r="L282" s="1" t="s">
        <v>5</v>
      </c>
      <c r="M282" s="1"/>
      <c r="N282" s="1" t="n">
        <v>87.6</v>
      </c>
    </row>
    <row r="283" customFormat="false" ht="13.8" hidden="false" customHeight="false" outlineLevel="0" collapsed="false">
      <c r="K283" s="3" t="n">
        <v>46168.8720949074</v>
      </c>
      <c r="L283" s="1" t="s">
        <v>5</v>
      </c>
      <c r="M283" s="1"/>
      <c r="N283" s="1" t="n">
        <v>87.4</v>
      </c>
    </row>
    <row r="284" customFormat="false" ht="13.8" hidden="false" customHeight="false" outlineLevel="0" collapsed="false">
      <c r="K284" s="3" t="n">
        <v>46168.8724421296</v>
      </c>
      <c r="L284" s="1" t="s">
        <v>5</v>
      </c>
      <c r="M284" s="1"/>
      <c r="N284" s="1" t="n">
        <v>87.4</v>
      </c>
    </row>
    <row r="285" customFormat="false" ht="13.8" hidden="false" customHeight="false" outlineLevel="0" collapsed="false">
      <c r="K285" s="3" t="n">
        <v>46168.8727893519</v>
      </c>
      <c r="L285" s="1" t="s">
        <v>5</v>
      </c>
      <c r="M285" s="1"/>
      <c r="N285" s="1" t="n">
        <v>87.4</v>
      </c>
    </row>
    <row r="286" customFormat="false" ht="13.8" hidden="false" customHeight="false" outlineLevel="0" collapsed="false">
      <c r="K286" s="3" t="n">
        <v>46168.8731365741</v>
      </c>
      <c r="L286" s="1" t="s">
        <v>5</v>
      </c>
      <c r="M286" s="1"/>
      <c r="N286" s="1" t="n">
        <v>87.6</v>
      </c>
    </row>
    <row r="287" customFormat="false" ht="13.8" hidden="false" customHeight="false" outlineLevel="0" collapsed="false">
      <c r="K287" s="3" t="n">
        <v>46168.8734837963</v>
      </c>
      <c r="L287" s="1" t="s">
        <v>5</v>
      </c>
      <c r="M287" s="1"/>
      <c r="N287" s="1" t="n">
        <v>87.6</v>
      </c>
    </row>
    <row r="288" customFormat="false" ht="13.8" hidden="false" customHeight="false" outlineLevel="0" collapsed="false">
      <c r="K288" s="3" t="n">
        <v>46168.8738310185</v>
      </c>
      <c r="L288" s="1" t="s">
        <v>5</v>
      </c>
      <c r="M288" s="1"/>
      <c r="N288" s="1" t="n">
        <v>87.6</v>
      </c>
    </row>
    <row r="289" customFormat="false" ht="13.8" hidden="false" customHeight="false" outlineLevel="0" collapsed="false">
      <c r="K289" s="3" t="n">
        <v>46168.8741782407</v>
      </c>
      <c r="L289" s="1" t="s">
        <v>5</v>
      </c>
      <c r="M289" s="1"/>
      <c r="N289" s="1" t="n">
        <v>87.4</v>
      </c>
    </row>
    <row r="290" customFormat="false" ht="13.8" hidden="false" customHeight="false" outlineLevel="0" collapsed="false">
      <c r="K290" s="3" t="n">
        <v>46168.874525463</v>
      </c>
      <c r="L290" s="1" t="s">
        <v>5</v>
      </c>
      <c r="M290" s="1"/>
      <c r="N290" s="1" t="n">
        <v>87.6</v>
      </c>
    </row>
    <row r="291" customFormat="false" ht="13.8" hidden="false" customHeight="false" outlineLevel="0" collapsed="false">
      <c r="K291" s="3" t="n">
        <v>46168.8748842593</v>
      </c>
      <c r="L291" s="1" t="s">
        <v>5</v>
      </c>
      <c r="M291" s="1"/>
      <c r="N291" s="1" t="n">
        <v>87.6</v>
      </c>
    </row>
    <row r="292" customFormat="false" ht="13.8" hidden="false" customHeight="false" outlineLevel="0" collapsed="false">
      <c r="K292" s="3" t="n">
        <v>46168.8752430556</v>
      </c>
      <c r="L292" s="1" t="s">
        <v>5</v>
      </c>
      <c r="M292" s="1"/>
      <c r="N292" s="1" t="n">
        <v>87.4</v>
      </c>
    </row>
    <row r="293" customFormat="false" ht="13.8" hidden="false" customHeight="false" outlineLevel="0" collapsed="false">
      <c r="K293" s="3" t="n">
        <v>46168.8755902778</v>
      </c>
      <c r="L293" s="1" t="s">
        <v>5</v>
      </c>
      <c r="M293" s="1"/>
      <c r="N293" s="1" t="n">
        <v>87.4</v>
      </c>
    </row>
    <row r="294" customFormat="false" ht="13.8" hidden="false" customHeight="false" outlineLevel="0" collapsed="false">
      <c r="K294" s="3" t="n">
        <v>46168.8759375</v>
      </c>
      <c r="L294" s="1" t="s">
        <v>5</v>
      </c>
      <c r="M294" s="1"/>
      <c r="N294" s="1" t="n">
        <v>87.4</v>
      </c>
    </row>
    <row r="295" customFormat="false" ht="13.8" hidden="false" customHeight="false" outlineLevel="0" collapsed="false">
      <c r="K295" s="3" t="n">
        <v>46168.8762962963</v>
      </c>
      <c r="L295" s="1" t="s">
        <v>5</v>
      </c>
      <c r="M295" s="1"/>
      <c r="N295" s="1" t="n">
        <v>87.4</v>
      </c>
    </row>
    <row r="296" customFormat="false" ht="13.8" hidden="false" customHeight="false" outlineLevel="0" collapsed="false">
      <c r="K296" s="3" t="n">
        <v>46168.8766550926</v>
      </c>
      <c r="L296" s="1" t="s">
        <v>5</v>
      </c>
      <c r="M296" s="1"/>
      <c r="N296" s="1" t="n">
        <v>87.6</v>
      </c>
    </row>
    <row r="297" customFormat="false" ht="13.8" hidden="false" customHeight="false" outlineLevel="0" collapsed="false">
      <c r="K297" s="3" t="n">
        <v>46168.8770023148</v>
      </c>
      <c r="L297" s="1" t="s">
        <v>5</v>
      </c>
      <c r="M297" s="1"/>
      <c r="N297" s="1" t="n">
        <v>87.6</v>
      </c>
    </row>
    <row r="298" customFormat="false" ht="13.8" hidden="false" customHeight="false" outlineLevel="0" collapsed="false">
      <c r="K298" s="3" t="n">
        <v>46168.8773611111</v>
      </c>
      <c r="L298" s="1" t="s">
        <v>5</v>
      </c>
      <c r="M298" s="1"/>
      <c r="N298" s="1" t="n">
        <v>87.6</v>
      </c>
    </row>
    <row r="299" customFormat="false" ht="13.8" hidden="false" customHeight="false" outlineLevel="0" collapsed="false">
      <c r="K299" s="3" t="n">
        <v>46168.8777199074</v>
      </c>
      <c r="L299" s="1" t="s">
        <v>5</v>
      </c>
      <c r="M299" s="1"/>
      <c r="N299" s="1" t="n">
        <v>87.6</v>
      </c>
    </row>
    <row r="300" customFormat="false" ht="13.8" hidden="false" customHeight="false" outlineLevel="0" collapsed="false">
      <c r="K300" s="3" t="n">
        <v>46168.8780671296</v>
      </c>
      <c r="L300" s="1" t="s">
        <v>5</v>
      </c>
      <c r="M300" s="1"/>
      <c r="N300" s="1" t="n">
        <v>87.6</v>
      </c>
    </row>
    <row r="301" customFormat="false" ht="13.8" hidden="false" customHeight="false" outlineLevel="0" collapsed="false">
      <c r="K301" s="3" t="n">
        <v>46168.8784143519</v>
      </c>
      <c r="L301" s="1" t="s">
        <v>5</v>
      </c>
      <c r="M301" s="1"/>
      <c r="N301" s="1" t="n">
        <v>87.4</v>
      </c>
    </row>
    <row r="302" customFormat="false" ht="13.8" hidden="false" customHeight="false" outlineLevel="0" collapsed="false">
      <c r="K302" s="3" t="n">
        <v>46168.8787615741</v>
      </c>
      <c r="L302" s="1" t="s">
        <v>5</v>
      </c>
      <c r="M302" s="1"/>
      <c r="N302" s="1" t="n">
        <v>87.6</v>
      </c>
    </row>
    <row r="303" customFormat="false" ht="13.8" hidden="false" customHeight="false" outlineLevel="0" collapsed="false">
      <c r="K303" s="3" t="n">
        <v>46168.8791203704</v>
      </c>
      <c r="L303" s="1" t="s">
        <v>5</v>
      </c>
      <c r="M303" s="1"/>
      <c r="N303" s="1" t="n">
        <v>87.4</v>
      </c>
    </row>
    <row r="304" customFormat="false" ht="13.8" hidden="false" customHeight="false" outlineLevel="0" collapsed="false">
      <c r="K304" s="3" t="n">
        <v>46168.8794791667</v>
      </c>
      <c r="L304" s="1" t="s">
        <v>5</v>
      </c>
      <c r="M304" s="1"/>
      <c r="N304" s="1" t="n">
        <v>87.6</v>
      </c>
    </row>
    <row r="305" customFormat="false" ht="13.8" hidden="false" customHeight="false" outlineLevel="0" collapsed="false">
      <c r="K305" s="3" t="n">
        <v>46168.8798263889</v>
      </c>
      <c r="L305" s="1" t="s">
        <v>5</v>
      </c>
      <c r="M305" s="1"/>
      <c r="N305" s="1" t="n">
        <v>87.4</v>
      </c>
    </row>
    <row r="306" customFormat="false" ht="13.8" hidden="false" customHeight="false" outlineLevel="0" collapsed="false">
      <c r="K306" s="3" t="n">
        <v>46168.8801736111</v>
      </c>
      <c r="L306" s="1" t="s">
        <v>5</v>
      </c>
      <c r="M306" s="1"/>
      <c r="N306" s="1" t="n">
        <v>87.4</v>
      </c>
    </row>
    <row r="307" customFormat="false" ht="13.8" hidden="false" customHeight="false" outlineLevel="0" collapsed="false">
      <c r="K307" s="3" t="n">
        <v>46168.8805208333</v>
      </c>
      <c r="L307" s="1" t="s">
        <v>5</v>
      </c>
      <c r="M307" s="1"/>
      <c r="N307" s="1" t="n">
        <v>87.6</v>
      </c>
    </row>
    <row r="308" customFormat="false" ht="13.8" hidden="false" customHeight="false" outlineLevel="0" collapsed="false">
      <c r="K308" s="3" t="n">
        <v>46168.8808680556</v>
      </c>
      <c r="L308" s="1" t="s">
        <v>5</v>
      </c>
      <c r="M308" s="1"/>
      <c r="N308" s="1" t="n">
        <v>87.6</v>
      </c>
    </row>
    <row r="309" customFormat="false" ht="13.8" hidden="false" customHeight="false" outlineLevel="0" collapsed="false">
      <c r="K309" s="3" t="n">
        <v>46168.8812152778</v>
      </c>
      <c r="L309" s="1" t="s">
        <v>5</v>
      </c>
      <c r="M309" s="1"/>
      <c r="N309" s="1" t="n">
        <v>87.4</v>
      </c>
    </row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</sheetData>
  <autoFilter ref="K1:N30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0"/>
  <sheetViews>
    <sheetView showFormulas="false" showGridLines="true" showRowColHeaders="true" showZeros="true" rightToLeft="false" tabSelected="true" showOutlineSymbols="true" defaultGridColor="true" view="normal" topLeftCell="Q1" colorId="64" zoomScale="55" zoomScaleNormal="55" zoomScalePageLayoutView="100" workbookViewId="0">
      <selection pane="topLeft" activeCell="AT10" activeCellId="0" sqref="AT10"/>
    </sheetView>
  </sheetViews>
  <sheetFormatPr defaultColWidth="11.53515625" defaultRowHeight="12.8" zeroHeight="false" outlineLevelRow="0" outlineLevelCol="0"/>
  <cols>
    <col collapsed="false" customWidth="false" hidden="false" outlineLevel="0" max="6" min="2" style="53" width="11.53"/>
    <col collapsed="false" customWidth="false" hidden="false" outlineLevel="0" max="11" min="7" style="54" width="11.53"/>
    <col collapsed="false" customWidth="false" hidden="false" outlineLevel="0" max="16" min="12" style="53" width="11.53"/>
  </cols>
  <sheetData>
    <row r="1" customFormat="false" ht="13.8" hidden="false" customHeight="false" outlineLevel="0" collapsed="false">
      <c r="A1" s="51" t="s">
        <v>984</v>
      </c>
      <c r="B1" s="55" t="s">
        <v>985</v>
      </c>
      <c r="C1" s="55"/>
      <c r="D1" s="55"/>
      <c r="E1" s="55"/>
      <c r="F1" s="55"/>
      <c r="G1" s="56" t="s">
        <v>986</v>
      </c>
      <c r="H1" s="56"/>
      <c r="I1" s="56"/>
      <c r="J1" s="56"/>
      <c r="K1" s="56"/>
      <c r="L1" s="55" t="s">
        <v>987</v>
      </c>
      <c r="M1" s="55"/>
      <c r="N1" s="55"/>
      <c r="O1" s="55"/>
      <c r="P1" s="55"/>
    </row>
    <row r="2" customFormat="false" ht="13.8" hidden="false" customHeight="false" outlineLevel="0" collapsed="false">
      <c r="A2" s="51" t="s">
        <v>5</v>
      </c>
      <c r="B2" s="57" t="s">
        <v>4</v>
      </c>
      <c r="C2" s="57" t="s">
        <v>6</v>
      </c>
      <c r="D2" s="57" t="s">
        <v>7</v>
      </c>
      <c r="E2" s="57" t="s">
        <v>8</v>
      </c>
      <c r="F2" s="57" t="s">
        <v>9</v>
      </c>
      <c r="G2" s="58" t="s">
        <v>4</v>
      </c>
      <c r="H2" s="58" t="s">
        <v>6</v>
      </c>
      <c r="I2" s="58" t="s">
        <v>7</v>
      </c>
      <c r="J2" s="58" t="s">
        <v>8</v>
      </c>
      <c r="K2" s="58" t="s">
        <v>9</v>
      </c>
      <c r="L2" s="57" t="s">
        <v>4</v>
      </c>
      <c r="M2" s="57" t="s">
        <v>6</v>
      </c>
      <c r="N2" s="57" t="s">
        <v>7</v>
      </c>
      <c r="O2" s="57" t="s">
        <v>8</v>
      </c>
      <c r="P2" s="57" t="s">
        <v>9</v>
      </c>
    </row>
    <row r="3" customFormat="false" ht="13.8" hidden="false" customHeight="false" outlineLevel="0" collapsed="false">
      <c r="A3" s="1" t="n">
        <v>87.6</v>
      </c>
      <c r="B3" s="59" t="n">
        <v>1297</v>
      </c>
      <c r="C3" s="59" t="n">
        <v>1200</v>
      </c>
      <c r="D3" s="59" t="n">
        <v>1891</v>
      </c>
      <c r="E3" s="59" t="n">
        <v>2063</v>
      </c>
      <c r="F3" s="59"/>
      <c r="G3" s="54" t="n">
        <f aca="false">B3*B3*$R$3+B3*$S$3+$T$3</f>
        <v>84.70992536</v>
      </c>
      <c r="H3" s="54" t="n">
        <f aca="false">C3*C3*$R$5+C3*$S$5+$T$5</f>
        <v>86.416</v>
      </c>
      <c r="I3" s="54" t="n">
        <f aca="false">D3*D3*$R$6+D3*$S$6+$T$6</f>
        <v>119.57770526</v>
      </c>
      <c r="J3" s="54" t="n">
        <f aca="false">E3*E3*$R$4+E3*$S$4+$T$4</f>
        <v>94.13249</v>
      </c>
      <c r="L3" s="53" t="n">
        <f aca="false">ABS((G3-$A3)/$A3)</f>
        <v>0.0329917196347035</v>
      </c>
      <c r="M3" s="53" t="n">
        <f aca="false">ABS((H3-$A3)/$A3)</f>
        <v>0.0135159817351598</v>
      </c>
      <c r="N3" s="53" t="n">
        <f aca="false">ABS((I3-$A3)/$A3)</f>
        <v>0.365042297488583</v>
      </c>
      <c r="O3" s="53" t="n">
        <f aca="false">ABS((J3-$A3)/$A3)</f>
        <v>0.0745718036529677</v>
      </c>
      <c r="P3" s="53" t="n">
        <f aca="false">ABS((K3-$A3)/$A3)</f>
        <v>1</v>
      </c>
      <c r="Q3" s="60" t="s">
        <v>4</v>
      </c>
      <c r="R3" s="0" t="n">
        <v>3.304E-005</v>
      </c>
      <c r="S3" s="0" t="n">
        <v>-0.19608</v>
      </c>
      <c r="T3" s="0" t="n">
        <v>283.4455</v>
      </c>
    </row>
    <row r="4" customFormat="false" ht="13.8" hidden="false" customHeight="false" outlineLevel="0" collapsed="false">
      <c r="A4" s="1" t="n">
        <v>87.6</v>
      </c>
      <c r="B4" s="59" t="n">
        <v>1270</v>
      </c>
      <c r="C4" s="59" t="n">
        <v>1253</v>
      </c>
      <c r="D4" s="59" t="n">
        <v>2000</v>
      </c>
      <c r="E4" s="59" t="n">
        <v>2125</v>
      </c>
      <c r="F4" s="59"/>
      <c r="G4" s="54" t="n">
        <f aca="false">B4*B4*$R$3+B4*$S$3+$T$3</f>
        <v>87.714116</v>
      </c>
      <c r="H4" s="54" t="n">
        <f aca="false">C4*C4*$R$5+C4*$S$5+$T$5</f>
        <v>77.1866224</v>
      </c>
      <c r="I4" s="54" t="n">
        <f aca="false">D4*D4*$R$6+D4*$S$6+$T$6</f>
        <v>91.9560000000001</v>
      </c>
      <c r="J4" s="54" t="n">
        <f aca="false">E4*E4*$R$4+E4*$S$4+$T$4</f>
        <v>69.1142499999996</v>
      </c>
      <c r="L4" s="53" t="n">
        <f aca="false">ABS((G4-$A4)/$A4)</f>
        <v>0.00130269406392689</v>
      </c>
      <c r="M4" s="53" t="n">
        <f aca="false">ABS((H4-$A4)/$A4)</f>
        <v>0.118874173515981</v>
      </c>
      <c r="N4" s="53" t="n">
        <f aca="false">ABS((I4-$A4)/$A4)</f>
        <v>0.0497260273972618</v>
      </c>
      <c r="O4" s="53" t="n">
        <f aca="false">ABS((J4-$A4)/$A4)</f>
        <v>0.211024543379</v>
      </c>
      <c r="P4" s="53" t="n">
        <f aca="false">ABS((K4-$A4)/$A4)</f>
        <v>1</v>
      </c>
      <c r="Q4" s="60" t="s">
        <v>8</v>
      </c>
      <c r="R4" s="0" t="n">
        <v>0.00061</v>
      </c>
      <c r="S4" s="0" t="n">
        <v>-2.9582</v>
      </c>
      <c r="T4" s="0" t="n">
        <v>3600.758</v>
      </c>
    </row>
    <row r="5" customFormat="false" ht="13.8" hidden="false" customHeight="false" outlineLevel="0" collapsed="false">
      <c r="A5" s="1" t="n">
        <v>87.6</v>
      </c>
      <c r="B5" s="59" t="n">
        <v>1261</v>
      </c>
      <c r="C5" s="59" t="n">
        <v>1231</v>
      </c>
      <c r="D5" s="59" t="n">
        <v>2011</v>
      </c>
      <c r="E5" s="59" t="n">
        <v>2128</v>
      </c>
      <c r="F5" s="59"/>
      <c r="G5" s="54" t="n">
        <f aca="false">B5*B5*$R$3+B5*$S$3+$T$3</f>
        <v>88.72621784</v>
      </c>
      <c r="H5" s="54" t="n">
        <f aca="false">C5*C5*$R$5+C5*$S$5+$T$5</f>
        <v>80.9402096</v>
      </c>
      <c r="I5" s="54" t="n">
        <f aca="false">D5*D5*$R$6+D5*$S$6+$T$6</f>
        <v>89.34993566</v>
      </c>
      <c r="J5" s="54" t="n">
        <f aca="false">E5*E5*$R$4+E5*$S$4+$T$4</f>
        <v>68.0226399999992</v>
      </c>
      <c r="L5" s="53" t="n">
        <f aca="false">ABS((G5-$A5)/$A5)</f>
        <v>0.0128563680365298</v>
      </c>
      <c r="M5" s="53" t="n">
        <f aca="false">ABS((H5-$A5)/$A5)</f>
        <v>0.07602500456621</v>
      </c>
      <c r="N5" s="53" t="n">
        <f aca="false">ABS((I5-$A5)/$A5)</f>
        <v>0.0199764344748862</v>
      </c>
      <c r="O5" s="53" t="n">
        <f aca="false">ABS((J5-$A5)/$A5)</f>
        <v>0.223485844748867</v>
      </c>
      <c r="P5" s="53" t="n">
        <f aca="false">ABS((K5-$A5)/$A5)</f>
        <v>1</v>
      </c>
      <c r="Q5" s="60" t="s">
        <v>6</v>
      </c>
      <c r="R5" s="0" t="n">
        <v>0.0001136</v>
      </c>
      <c r="S5" s="0" t="n">
        <v>-0.4528</v>
      </c>
      <c r="T5" s="0" t="n">
        <v>466.192</v>
      </c>
    </row>
    <row r="6" customFormat="false" ht="13.8" hidden="false" customHeight="false" outlineLevel="0" collapsed="false">
      <c r="A6" s="1" t="n">
        <v>87.6</v>
      </c>
      <c r="B6" s="59" t="n">
        <v>1296</v>
      </c>
      <c r="C6" s="59" t="n">
        <v>1197</v>
      </c>
      <c r="D6" s="59" t="n">
        <v>2014</v>
      </c>
      <c r="E6" s="59" t="n">
        <v>2133</v>
      </c>
      <c r="F6" s="59" t="n">
        <v>2059</v>
      </c>
      <c r="G6" s="54" t="n">
        <f aca="false">B6*B6*$R$3+B6*$S$3+$T$3</f>
        <v>84.82033264</v>
      </c>
      <c r="H6" s="54" t="n">
        <f aca="false">C6*C6*$R$5+C6*$S$5+$T$5</f>
        <v>86.9575024000001</v>
      </c>
      <c r="I6" s="54" t="n">
        <f aca="false">D6*D6*$R$6+D6*$S$6+$T$6</f>
        <v>88.64496416</v>
      </c>
      <c r="J6" s="54" t="n">
        <f aca="false">E6*E6*$R$4+E6*$S$4+$T$4</f>
        <v>66.2276899999993</v>
      </c>
      <c r="K6" s="54" t="n">
        <f aca="false">F6*F6*$R$7+F6*$S$7+$T$7</f>
        <v>96.2094802499992</v>
      </c>
      <c r="L6" s="53" t="n">
        <f aca="false">ABS((G6-$A6)/$A6)</f>
        <v>0.0317313625570778</v>
      </c>
      <c r="M6" s="53" t="n">
        <f aca="false">ABS((H6-$A6)/$A6)</f>
        <v>0.00733444748858365</v>
      </c>
      <c r="N6" s="53" t="n">
        <f aca="false">ABS((I6-$A6)/$A6)</f>
        <v>0.0119288146118719</v>
      </c>
      <c r="O6" s="53" t="n">
        <f aca="false">ABS((J6-$A6)/$A6)</f>
        <v>0.24397614155252</v>
      </c>
      <c r="P6" s="53" t="n">
        <f aca="false">ABS((K6-$A6)/$A6)</f>
        <v>0.0982817380136891</v>
      </c>
      <c r="Q6" s="60" t="s">
        <v>7</v>
      </c>
      <c r="R6" s="0" t="n">
        <v>0.00013746</v>
      </c>
      <c r="S6" s="0" t="n">
        <v>-0.788267</v>
      </c>
      <c r="T6" s="0" t="n">
        <v>1118.65</v>
      </c>
    </row>
    <row r="7" customFormat="false" ht="13.8" hidden="false" customHeight="false" outlineLevel="0" collapsed="false">
      <c r="A7" s="1" t="n">
        <v>87.6</v>
      </c>
      <c r="B7" s="59" t="n">
        <v>1264</v>
      </c>
      <c r="C7" s="59" t="n">
        <v>1197</v>
      </c>
      <c r="D7" s="59" t="n">
        <v>2015</v>
      </c>
      <c r="E7" s="59" t="n">
        <v>2128</v>
      </c>
      <c r="F7" s="59"/>
      <c r="G7" s="54" t="n">
        <f aca="false">B7*B7*$R$3+B7*$S$3+$T$3</f>
        <v>88.38825584</v>
      </c>
      <c r="H7" s="54" t="n">
        <f aca="false">C7*C7*$R$5+C7*$S$5+$T$5</f>
        <v>86.9575024000001</v>
      </c>
      <c r="I7" s="54" t="n">
        <f aca="false">D7*D7*$R$6+D7*$S$6+$T$6</f>
        <v>88.4105235000002</v>
      </c>
      <c r="J7" s="54" t="n">
        <f aca="false">E7*E7*$R$4+E7*$S$4+$T$4</f>
        <v>68.0226399999992</v>
      </c>
      <c r="L7" s="53" t="n">
        <f aca="false">ABS((G7-$A7)/$A7)</f>
        <v>0.00899835433789928</v>
      </c>
      <c r="M7" s="53" t="n">
        <f aca="false">ABS((H7-$A7)/$A7)</f>
        <v>0.00733444748858365</v>
      </c>
      <c r="N7" s="53" t="n">
        <f aca="false">ABS((I7-$A7)/$A7)</f>
        <v>0.00925255136986515</v>
      </c>
      <c r="O7" s="53" t="n">
        <f aca="false">ABS((J7-$A7)/$A7)</f>
        <v>0.223485844748867</v>
      </c>
      <c r="P7" s="53" t="n">
        <f aca="false">ABS((K7-$A7)/$A7)</f>
        <v>1</v>
      </c>
      <c r="Q7" s="60" t="s">
        <v>9</v>
      </c>
      <c r="R7" s="0" t="n">
        <v>0.00061025</v>
      </c>
      <c r="S7" s="0" t="n">
        <v>-2.9582</v>
      </c>
      <c r="T7" s="0" t="n">
        <v>3600</v>
      </c>
    </row>
    <row r="8" customFormat="false" ht="13.8" hidden="false" customHeight="false" outlineLevel="0" collapsed="false">
      <c r="A8" s="1" t="n">
        <v>87.6</v>
      </c>
      <c r="B8" s="59" t="n">
        <v>1262</v>
      </c>
      <c r="C8" s="59" t="n">
        <v>1161</v>
      </c>
      <c r="D8" s="59" t="n">
        <v>2022</v>
      </c>
      <c r="E8" s="59" t="n">
        <v>2138</v>
      </c>
      <c r="F8" s="59" t="n">
        <v>2063</v>
      </c>
      <c r="G8" s="54" t="n">
        <f aca="false">B8*B8*$R$3+B8*$S$3+$T$3</f>
        <v>88.61349776</v>
      </c>
      <c r="H8" s="54" t="n">
        <f aca="false">C8*C8*$R$5+C8*$S$5+$T$5</f>
        <v>93.6150256000001</v>
      </c>
      <c r="I8" s="54" t="n">
        <f aca="false">D8*D8*$R$6+D8*$S$6+$T$6</f>
        <v>86.77713664</v>
      </c>
      <c r="J8" s="54" t="n">
        <f aca="false">E8*E8*$R$4+E8*$S$4+$T$4</f>
        <v>64.4632399999991</v>
      </c>
      <c r="K8" s="54" t="n">
        <f aca="false">F8*F8*$R$7+F8*$S$7+$T$7</f>
        <v>94.4384822500001</v>
      </c>
      <c r="L8" s="53" t="n">
        <f aca="false">ABS((G8-$A8)/$A8)</f>
        <v>0.0115696091324198</v>
      </c>
      <c r="M8" s="53" t="n">
        <f aca="false">ABS((H8-$A8)/$A8)</f>
        <v>0.0686646757990878</v>
      </c>
      <c r="N8" s="53" t="n">
        <f aca="false">ABS((I8-$A8)/$A8)</f>
        <v>0.00939341735159833</v>
      </c>
      <c r="O8" s="53" t="n">
        <f aca="false">ABS((J8-$A8)/$A8)</f>
        <v>0.264118264840193</v>
      </c>
      <c r="P8" s="53" t="n">
        <f aca="false">ABS((K8-$A8)/$A8)</f>
        <v>0.0780648658675812</v>
      </c>
    </row>
    <row r="9" customFormat="false" ht="13.8" hidden="false" customHeight="false" outlineLevel="0" collapsed="false">
      <c r="A9" s="1" t="n">
        <v>87.6</v>
      </c>
      <c r="B9" s="59" t="n">
        <v>1275</v>
      </c>
      <c r="C9" s="59" t="n">
        <v>1200</v>
      </c>
      <c r="D9" s="59" t="n">
        <v>2027</v>
      </c>
      <c r="E9" s="59" t="n">
        <v>2143</v>
      </c>
      <c r="F9" s="59" t="n">
        <v>2067</v>
      </c>
      <c r="G9" s="54" t="n">
        <f aca="false">B9*B9*$R$3+B9*$S$3+$T$3</f>
        <v>87.15415</v>
      </c>
      <c r="H9" s="54" t="n">
        <f aca="false">C9*C9*$R$5+C9*$S$5+$T$5</f>
        <v>86.416</v>
      </c>
      <c r="I9" s="54" t="n">
        <f aca="false">D9*D9*$R$6+D9*$S$6+$T$6</f>
        <v>85.6186793400002</v>
      </c>
      <c r="J9" s="54" t="n">
        <f aca="false">E9*E9*$R$4+E9*$S$4+$T$4</f>
        <v>62.7292899999989</v>
      </c>
      <c r="K9" s="54" t="n">
        <f aca="false">F9*F9*$R$7+F9*$S$7+$T$7</f>
        <v>92.68701225</v>
      </c>
      <c r="L9" s="53" t="n">
        <f aca="false">ABS((G9-$A9)/$A9)</f>
        <v>0.00508961187214653</v>
      </c>
      <c r="M9" s="53" t="n">
        <f aca="false">ABS((H9-$A9)/$A9)</f>
        <v>0.0135159817351598</v>
      </c>
      <c r="N9" s="53" t="n">
        <f aca="false">ABS((I9-$A9)/$A9)</f>
        <v>0.0226178157534223</v>
      </c>
      <c r="O9" s="53" t="n">
        <f aca="false">ABS((J9-$A9)/$A9)</f>
        <v>0.283912214611885</v>
      </c>
      <c r="P9" s="53" t="n">
        <f aca="false">ABS((K9-$A9)/$A9)</f>
        <v>0.0580709160958899</v>
      </c>
    </row>
    <row r="10" customFormat="false" ht="13.8" hidden="false" customHeight="false" outlineLevel="0" collapsed="false">
      <c r="A10" s="1" t="n">
        <v>58.4</v>
      </c>
      <c r="B10" s="59" t="n">
        <v>1557</v>
      </c>
      <c r="C10" s="59" t="n">
        <v>1372</v>
      </c>
      <c r="D10" s="59" t="n">
        <v>2027</v>
      </c>
      <c r="E10" s="59" t="n">
        <v>2174</v>
      </c>
      <c r="F10" s="59"/>
      <c r="G10" s="54" t="n">
        <f aca="false">B10*B10*$R$3+B10*$S$3+$T$3</f>
        <v>58.24612696</v>
      </c>
      <c r="H10" s="54" t="n">
        <f aca="false">C10*C10*$R$5+C10*$S$5+$T$5</f>
        <v>58.7892224000001</v>
      </c>
      <c r="I10" s="54" t="n">
        <f aca="false">D10*D10*$R$6+D10*$S$6+$T$6</f>
        <v>85.6186793400002</v>
      </c>
      <c r="J10" s="54" t="n">
        <f aca="false">E10*E10*$R$4+E10*$S$4+$T$4</f>
        <v>52.6595599999996</v>
      </c>
      <c r="L10" s="53" t="n">
        <f aca="false">ABS((G10-$A10)/$A10)</f>
        <v>0.00263481232876762</v>
      </c>
      <c r="M10" s="53" t="n">
        <f aca="false">ABS((H10-$A10)/$A10)</f>
        <v>0.00666476712328915</v>
      </c>
      <c r="N10" s="53" t="n">
        <f aca="false">ABS((I10-$A10)/$A10)</f>
        <v>0.466073276369866</v>
      </c>
      <c r="O10" s="53" t="n">
        <f aca="false">ABS((J10-$A10)/$A10)</f>
        <v>0.0982952054794589</v>
      </c>
      <c r="P10" s="53" t="n">
        <f aca="false">ABS((K10-$A10)/$A10)</f>
        <v>1</v>
      </c>
    </row>
    <row r="11" customFormat="false" ht="13.8" hidden="false" customHeight="false" outlineLevel="0" collapsed="false">
      <c r="A11" s="1" t="n">
        <v>87.4</v>
      </c>
      <c r="B11" s="59" t="n">
        <v>1291</v>
      </c>
      <c r="C11" s="59" t="n">
        <v>1197</v>
      </c>
      <c r="D11" s="59" t="n">
        <v>2032</v>
      </c>
      <c r="E11" s="59" t="n">
        <v>2142</v>
      </c>
      <c r="F11" s="59" t="n">
        <v>2073</v>
      </c>
      <c r="G11" s="54" t="n">
        <f aca="false">B11*B11*$R$3+B11*$S$3+$T$3</f>
        <v>85.37336024</v>
      </c>
      <c r="H11" s="54" t="n">
        <f aca="false">C11*C11*$R$5+C11*$S$5+$T$5</f>
        <v>86.9575024000001</v>
      </c>
      <c r="I11" s="54" t="n">
        <f aca="false">D11*D11*$R$6+D11*$S$6+$T$6</f>
        <v>84.46709504</v>
      </c>
      <c r="J11" s="54" t="n">
        <f aca="false">E11*E11*$R$4+E11*$S$4+$T$4</f>
        <v>63.0736399999992</v>
      </c>
      <c r="K11" s="54" t="n">
        <f aca="false">F11*F11*$R$7+F11*$S$7+$T$7</f>
        <v>90.0964222499997</v>
      </c>
      <c r="L11" s="53" t="n">
        <f aca="false">ABS((G11-$A11)/$A11)</f>
        <v>0.023188097940504</v>
      </c>
      <c r="M11" s="53" t="n">
        <f aca="false">ABS((H11-$A11)/$A11)</f>
        <v>0.00506290160182997</v>
      </c>
      <c r="N11" s="53" t="n">
        <f aca="false">ABS((I11-$A11)/$A11)</f>
        <v>0.0335572649885584</v>
      </c>
      <c r="O11" s="53" t="n">
        <f aca="false">ABS((J11-$A11)/$A11)</f>
        <v>0.278333638443946</v>
      </c>
      <c r="P11" s="53" t="n">
        <f aca="false">ABS((K11-$A11)/$A11)</f>
        <v>0.0308515131578913</v>
      </c>
    </row>
    <row r="12" customFormat="false" ht="13.8" hidden="false" customHeight="false" outlineLevel="0" collapsed="false">
      <c r="A12" s="1" t="n">
        <v>87.6</v>
      </c>
      <c r="B12" s="59" t="n">
        <v>1278</v>
      </c>
      <c r="C12" s="59" t="n">
        <v>1200</v>
      </c>
      <c r="D12" s="59" t="n">
        <v>2033</v>
      </c>
      <c r="E12" s="59" t="n">
        <v>2143</v>
      </c>
      <c r="F12" s="59" t="n">
        <v>2077</v>
      </c>
      <c r="G12" s="54" t="n">
        <f aca="false">B12*B12*$R$3+B12*$S$3+$T$3</f>
        <v>86.81896336</v>
      </c>
      <c r="H12" s="54" t="n">
        <f aca="false">C12*C12*$R$5+C12*$S$5+$T$5</f>
        <v>86.416</v>
      </c>
      <c r="I12" s="54" t="n">
        <f aca="false">D12*D12*$R$6+D12*$S$6+$T$6</f>
        <v>84.23760294</v>
      </c>
      <c r="J12" s="54" t="n">
        <f aca="false">E12*E12*$R$4+E12*$S$4+$T$4</f>
        <v>62.7292899999989</v>
      </c>
      <c r="K12" s="54" t="n">
        <f aca="false">F12*F12*$R$7+F12*$S$7+$T$7</f>
        <v>88.3937722499995</v>
      </c>
      <c r="L12" s="53" t="n">
        <f aca="false">ABS((G12-$A12)/$A12)</f>
        <v>0.00891594337899539</v>
      </c>
      <c r="M12" s="53" t="n">
        <f aca="false">ABS((H12-$A12)/$A12)</f>
        <v>0.0135159817351598</v>
      </c>
      <c r="N12" s="53" t="n">
        <f aca="false">ABS((I12-$A12)/$A12)</f>
        <v>0.0383835280821919</v>
      </c>
      <c r="O12" s="53" t="n">
        <f aca="false">ABS((J12-$A12)/$A12)</f>
        <v>0.283912214611885</v>
      </c>
      <c r="P12" s="53" t="n">
        <f aca="false">ABS((K12-$A12)/$A12)</f>
        <v>0.00906132705478921</v>
      </c>
    </row>
    <row r="13" customFormat="false" ht="13.8" hidden="false" customHeight="false" outlineLevel="0" collapsed="false">
      <c r="A13" s="1" t="n">
        <v>87.4</v>
      </c>
      <c r="B13" s="59" t="n">
        <v>1285</v>
      </c>
      <c r="C13" s="59" t="n">
        <v>1200</v>
      </c>
      <c r="D13" s="59" t="n">
        <v>2037</v>
      </c>
      <c r="E13" s="59" t="n">
        <v>2143</v>
      </c>
      <c r="F13" s="59" t="n">
        <v>2078</v>
      </c>
      <c r="G13" s="54" t="n">
        <f aca="false">B13*B13*$R$3+B13*$S$3+$T$3</f>
        <v>86.039174</v>
      </c>
      <c r="H13" s="54" t="n">
        <f aca="false">C13*C13*$R$5+C13*$S$5+$T$5</f>
        <v>86.416</v>
      </c>
      <c r="I13" s="54" t="n">
        <f aca="false">D13*D13*$R$6+D13*$S$6+$T$6</f>
        <v>83.3223837400001</v>
      </c>
      <c r="J13" s="54" t="n">
        <f aca="false">E13*E13*$R$4+E13*$S$4+$T$4</f>
        <v>62.7292899999989</v>
      </c>
      <c r="K13" s="54" t="n">
        <f aca="false">F13*F13*$R$7+F13*$S$7+$T$7</f>
        <v>87.9711609999995</v>
      </c>
      <c r="L13" s="53" t="n">
        <f aca="false">ABS((G13-$A13)/$A13)</f>
        <v>0.0155700915331811</v>
      </c>
      <c r="M13" s="53" t="n">
        <f aca="false">ABS((H13-$A13)/$A13)</f>
        <v>0.011258581235698</v>
      </c>
      <c r="N13" s="53" t="n">
        <f aca="false">ABS((I13-$A13)/$A13)</f>
        <v>0.046654648283752</v>
      </c>
      <c r="O13" s="53" t="n">
        <f aca="false">ABS((J13-$A13)/$A13)</f>
        <v>0.282273569794064</v>
      </c>
      <c r="P13" s="53" t="n">
        <f aca="false">ABS((K13-$A13)/$A13)</f>
        <v>0.00653502288328922</v>
      </c>
    </row>
    <row r="14" customFormat="false" ht="13.8" hidden="false" customHeight="false" outlineLevel="0" collapsed="false">
      <c r="A14" s="1" t="n">
        <v>58.6</v>
      </c>
      <c r="B14" s="59" t="n">
        <v>1567</v>
      </c>
      <c r="C14" s="59" t="n">
        <v>1367</v>
      </c>
      <c r="D14" s="59" t="n">
        <v>2037</v>
      </c>
      <c r="E14" s="59" t="n">
        <v>2179</v>
      </c>
      <c r="F14" s="59"/>
      <c r="G14" s="54" t="n">
        <f aca="false">B14*B14*$R$3+B14*$S$3+$T$3</f>
        <v>57.31749656</v>
      </c>
      <c r="H14" s="54" t="n">
        <f aca="false">C14*C14*$R$5+C14*$S$5+$T$5</f>
        <v>59.4974704000001</v>
      </c>
      <c r="I14" s="54" t="n">
        <f aca="false">D14*D14*$R$6+D14*$S$6+$T$6</f>
        <v>83.3223837400001</v>
      </c>
      <c r="J14" s="54" t="n">
        <f aca="false">E14*E14*$R$4+E14*$S$4+$T$4</f>
        <v>51.1452099999997</v>
      </c>
      <c r="L14" s="53" t="n">
        <f aca="false">ABS((G14-$A14)/$A14)</f>
        <v>0.021885724232082</v>
      </c>
      <c r="M14" s="53" t="n">
        <f aca="false">ABS((H14-$A14)/$A14)</f>
        <v>0.01531519453925</v>
      </c>
      <c r="N14" s="53" t="n">
        <f aca="false">ABS((I14-$A14)/$A14)</f>
        <v>0.421883681569967</v>
      </c>
      <c r="O14" s="53" t="n">
        <f aca="false">ABS((J14-$A14)/$A14)</f>
        <v>0.127214846416388</v>
      </c>
      <c r="P14" s="53" t="n">
        <f aca="false">ABS((K14-$A14)/$A14)</f>
        <v>1</v>
      </c>
    </row>
    <row r="15" customFormat="false" ht="13.8" hidden="false" customHeight="false" outlineLevel="0" collapsed="false">
      <c r="A15" s="1" t="n">
        <v>87.6</v>
      </c>
      <c r="B15" s="59" t="n">
        <v>1281</v>
      </c>
      <c r="C15" s="59" t="n">
        <v>1197</v>
      </c>
      <c r="D15" s="59" t="n">
        <v>2042</v>
      </c>
      <c r="E15" s="59" t="n">
        <v>2145</v>
      </c>
      <c r="F15" s="59" t="n">
        <v>2079</v>
      </c>
      <c r="G15" s="54" t="n">
        <f aca="false">B15*B15*$R$3+B15*$S$3+$T$3</f>
        <v>86.48437144</v>
      </c>
      <c r="H15" s="54" t="n">
        <f aca="false">C15*C15*$R$5+C15*$S$5+$T$5</f>
        <v>86.9575024000001</v>
      </c>
      <c r="I15" s="54" t="n">
        <f aca="false">D15*D15*$R$6+D15*$S$6+$T$6</f>
        <v>82.18454544</v>
      </c>
      <c r="J15" s="54" t="n">
        <f aca="false">E15*E15*$R$4+E15*$S$4+$T$4</f>
        <v>62.0442499999999</v>
      </c>
      <c r="K15" s="54" t="n">
        <f aca="false">F15*F15*$R$7+F15*$S$7+$T$7</f>
        <v>87.5497702499997</v>
      </c>
      <c r="L15" s="53" t="n">
        <f aca="false">ABS((G15-$A15)/$A15)</f>
        <v>0.0127354858447492</v>
      </c>
      <c r="M15" s="53" t="n">
        <f aca="false">ABS((H15-$A15)/$A15)</f>
        <v>0.00733444748858365</v>
      </c>
      <c r="N15" s="53" t="n">
        <f aca="false">ABS((I15-$A15)/$A15)</f>
        <v>0.0618202575342469</v>
      </c>
      <c r="O15" s="53" t="n">
        <f aca="false">ABS((J15-$A15)/$A15)</f>
        <v>0.291732305936074</v>
      </c>
      <c r="P15" s="53" t="n">
        <f aca="false">ABS((K15-$A15)/$A15)</f>
        <v>0.000573398972605981</v>
      </c>
    </row>
    <row r="16" customFormat="false" ht="13.8" hidden="false" customHeight="false" outlineLevel="0" collapsed="false">
      <c r="A16" s="1" t="n">
        <v>87.6</v>
      </c>
      <c r="B16" s="59" t="n">
        <v>1281</v>
      </c>
      <c r="C16" s="59" t="n">
        <v>1153</v>
      </c>
      <c r="D16" s="59" t="n">
        <v>2045</v>
      </c>
      <c r="E16" s="59" t="n">
        <v>2147</v>
      </c>
      <c r="F16" s="59" t="n">
        <v>2083</v>
      </c>
      <c r="G16" s="54" t="n">
        <f aca="false">B16*B16*$R$3+B16*$S$3+$T$3</f>
        <v>86.48437144</v>
      </c>
      <c r="H16" s="54" t="n">
        <f aca="false">C16*C16*$R$5+C16*$S$5+$T$5</f>
        <v>95.1344624</v>
      </c>
      <c r="I16" s="54" t="n">
        <f aca="false">D16*D16*$R$6+D16*$S$6+$T$6</f>
        <v>81.5051414999998</v>
      </c>
      <c r="J16" s="54" t="n">
        <f aca="false">E16*E16*$R$4+E16*$S$4+$T$4</f>
        <v>61.3640899999996</v>
      </c>
      <c r="K16" s="54" t="n">
        <f aca="false">F16*F16*$R$7+F16*$S$7+$T$7</f>
        <v>85.8764122499993</v>
      </c>
      <c r="L16" s="53" t="n">
        <f aca="false">ABS((G16-$A16)/$A16)</f>
        <v>0.0127354858447492</v>
      </c>
      <c r="M16" s="53" t="n">
        <f aca="false">ABS((H16-$A16)/$A16)</f>
        <v>0.0860098447488587</v>
      </c>
      <c r="N16" s="53" t="n">
        <f aca="false">ABS((I16-$A16)/$A16)</f>
        <v>0.0695760102739747</v>
      </c>
      <c r="O16" s="53" t="n">
        <f aca="false">ABS((J16-$A16)/$A16)</f>
        <v>0.299496689497722</v>
      </c>
      <c r="P16" s="53" t="n">
        <f aca="false">ABS((K16-$A16)/$A16)</f>
        <v>0.0196756592465839</v>
      </c>
    </row>
    <row r="17" customFormat="false" ht="13.8" hidden="false" customHeight="false" outlineLevel="0" collapsed="false">
      <c r="A17" s="1" t="n">
        <v>87.4</v>
      </c>
      <c r="B17" s="59" t="n">
        <v>1287</v>
      </c>
      <c r="C17" s="59" t="n">
        <v>1198</v>
      </c>
      <c r="D17" s="59" t="n">
        <v>2047</v>
      </c>
      <c r="E17" s="59" t="n">
        <v>2154</v>
      </c>
      <c r="F17" s="59" t="n">
        <v>2085</v>
      </c>
      <c r="G17" s="54" t="n">
        <f aca="false">B17*B17*$R$3+B17*$S$3+$T$3</f>
        <v>85.81697176</v>
      </c>
      <c r="H17" s="54" t="n">
        <f aca="false">C17*C17*$R$5+C17*$S$5+$T$5</f>
        <v>86.7767744</v>
      </c>
      <c r="I17" s="54" t="n">
        <f aca="false">D17*D17*$R$6+D17*$S$6+$T$6</f>
        <v>81.0535801399999</v>
      </c>
      <c r="J17" s="54" t="n">
        <f aca="false">E17*E17*$R$4+E17*$S$4+$T$4</f>
        <v>59.0219599999996</v>
      </c>
      <c r="K17" s="54" t="n">
        <f aca="false">F17*F17*$R$7+F17*$S$7+$T$7</f>
        <v>85.0470562499995</v>
      </c>
      <c r="L17" s="53" t="n">
        <f aca="false">ABS((G17-$A17)/$A17)</f>
        <v>0.0181124512585816</v>
      </c>
      <c r="M17" s="53" t="n">
        <f aca="false">ABS((H17-$A17)/$A17)</f>
        <v>0.007130727688787</v>
      </c>
      <c r="N17" s="53" t="n">
        <f aca="false">ABS((I17-$A17)/$A17)</f>
        <v>0.0726134995423354</v>
      </c>
      <c r="O17" s="53" t="n">
        <f aca="false">ABS((J17-$A17)/$A17)</f>
        <v>0.324691533180783</v>
      </c>
      <c r="P17" s="53" t="n">
        <f aca="false">ABS((K17-$A17)/$A17)</f>
        <v>0.026921553203667</v>
      </c>
    </row>
    <row r="18" customFormat="false" ht="13.8" hidden="false" customHeight="false" outlineLevel="0" collapsed="false">
      <c r="A18" s="1" t="n">
        <v>58.4</v>
      </c>
      <c r="B18" s="59" t="n">
        <v>1534</v>
      </c>
      <c r="C18" s="59" t="n">
        <v>1355</v>
      </c>
      <c r="D18" s="59" t="n">
        <v>2054</v>
      </c>
      <c r="E18" s="59" t="n">
        <v>2187</v>
      </c>
      <c r="F18" s="59"/>
      <c r="G18" s="54" t="n">
        <f aca="false">B18*B18*$R$3+B18*$S$3+$T$3</f>
        <v>60.40705424</v>
      </c>
      <c r="H18" s="54" t="n">
        <f aca="false">C18*C18*$R$5+C18*$S$5+$T$5</f>
        <v>61.2204400000001</v>
      </c>
      <c r="I18" s="54" t="n">
        <f aca="false">D18*D18*$R$6+D18*$S$6+$T$6</f>
        <v>79.48177536</v>
      </c>
      <c r="J18" s="54" t="n">
        <f aca="false">E18*E18*$R$4+E18*$S$4+$T$4</f>
        <v>48.7856899999993</v>
      </c>
      <c r="L18" s="53" t="n">
        <f aca="false">ABS((G18-$A18)/$A18)</f>
        <v>0.0343673671232873</v>
      </c>
      <c r="M18" s="53" t="n">
        <f aca="false">ABS((H18-$A18)/$A18)</f>
        <v>0.048295205479453</v>
      </c>
      <c r="N18" s="53" t="n">
        <f aca="false">ABS((I18-$A18)/$A18)</f>
        <v>0.36098930410959</v>
      </c>
      <c r="O18" s="53" t="n">
        <f aca="false">ABS((J18-$A18)/$A18)</f>
        <v>0.164628595890424</v>
      </c>
      <c r="P18" s="53" t="n">
        <f aca="false">ABS((K18-$A18)/$A18)</f>
        <v>1</v>
      </c>
    </row>
    <row r="19" customFormat="false" ht="13.8" hidden="false" customHeight="false" outlineLevel="0" collapsed="false">
      <c r="A19" s="1" t="n">
        <v>87.6</v>
      </c>
      <c r="B19" s="59" t="n">
        <v>1264</v>
      </c>
      <c r="C19" s="59" t="n">
        <v>1190</v>
      </c>
      <c r="D19" s="59" t="n">
        <v>2055</v>
      </c>
      <c r="E19" s="59" t="n">
        <v>2153</v>
      </c>
      <c r="F19" s="59" t="n">
        <v>2089</v>
      </c>
      <c r="G19" s="54" t="n">
        <f aca="false">B19*B19*$R$3+B19*$S$3+$T$3</f>
        <v>88.38825584</v>
      </c>
      <c r="H19" s="54" t="n">
        <f aca="false">C19*C19*$R$5+C19*$S$5+$T$5</f>
        <v>88.22896</v>
      </c>
      <c r="I19" s="54" t="n">
        <f aca="false">D19*D19*$R$6+D19*$S$6+$T$6</f>
        <v>79.2583314999999</v>
      </c>
      <c r="J19" s="54" t="n">
        <f aca="false">E19*E19*$R$4+E19*$S$4+$T$4</f>
        <v>59.3528899999997</v>
      </c>
      <c r="K19" s="54" t="n">
        <f aca="false">F19*F19*$R$7+F19*$S$7+$T$7</f>
        <v>83.4029902500001</v>
      </c>
      <c r="L19" s="53" t="n">
        <f aca="false">ABS((G19-$A19)/$A19)</f>
        <v>0.00899835433789928</v>
      </c>
      <c r="M19" s="53" t="n">
        <f aca="false">ABS((H19-$A19)/$A19)</f>
        <v>0.00717990867579948</v>
      </c>
      <c r="N19" s="53" t="n">
        <f aca="false">ABS((I19-$A19)/$A19)</f>
        <v>0.0952245262557084</v>
      </c>
      <c r="O19" s="53" t="n">
        <f aca="false">ABS((J19-$A19)/$A19)</f>
        <v>0.32245559360731</v>
      </c>
      <c r="P19" s="53" t="n">
        <f aca="false">ABS((K19-$A19)/$A19)</f>
        <v>0.0479110702054779</v>
      </c>
    </row>
    <row r="20" customFormat="false" ht="13.8" hidden="false" customHeight="false" outlineLevel="0" collapsed="false">
      <c r="A20" s="1" t="n">
        <v>87.6</v>
      </c>
      <c r="B20" s="59" t="n">
        <v>1284</v>
      </c>
      <c r="C20" s="59" t="n">
        <v>1201</v>
      </c>
      <c r="D20" s="59" t="n">
        <v>2057</v>
      </c>
      <c r="E20" s="59" t="n">
        <v>2155</v>
      </c>
      <c r="F20" s="59" t="n">
        <v>2096</v>
      </c>
      <c r="G20" s="54" t="n">
        <f aca="false">B20*B20*$R$3+B20*$S$3+$T$3</f>
        <v>86.15037424</v>
      </c>
      <c r="H20" s="54" t="n">
        <f aca="false">C20*C20*$R$5+C20*$S$5+$T$5</f>
        <v>86.2359536000001</v>
      </c>
      <c r="I20" s="54" t="n">
        <f aca="false">D20*D20*$R$6+D20*$S$6+$T$6</f>
        <v>78.8122685399999</v>
      </c>
      <c r="J20" s="54" t="n">
        <f aca="false">E20*E20*$R$4+E20*$S$4+$T$4</f>
        <v>58.6922499999996</v>
      </c>
      <c r="K20" s="54" t="n">
        <f aca="false">F20*F20*$R$7+F20*$S$7+$T$7</f>
        <v>80.5728639999998</v>
      </c>
      <c r="L20" s="53" t="n">
        <f aca="false">ABS((G20-$A20)/$A20)</f>
        <v>0.0165482392694064</v>
      </c>
      <c r="M20" s="53" t="n">
        <f aca="false">ABS((H20-$A20)/$A20)</f>
        <v>0.0155713059360722</v>
      </c>
      <c r="N20" s="53" t="n">
        <f aca="false">ABS((I20-$A20)/$A20)</f>
        <v>0.100316569178084</v>
      </c>
      <c r="O20" s="53" t="n">
        <f aca="false">ABS((J20-$A20)/$A20)</f>
        <v>0.329997146118726</v>
      </c>
      <c r="P20" s="53" t="n">
        <f aca="false">ABS((K20-$A20)/$A20)</f>
        <v>0.0802184474885872</v>
      </c>
    </row>
    <row r="21" customFormat="false" ht="13.8" hidden="false" customHeight="false" outlineLevel="0" collapsed="false">
      <c r="A21" s="1" t="n">
        <v>87.4</v>
      </c>
      <c r="B21" s="59" t="n">
        <v>1264</v>
      </c>
      <c r="C21" s="59" t="n">
        <v>1189</v>
      </c>
      <c r="D21" s="59" t="n">
        <v>2064</v>
      </c>
      <c r="E21" s="59" t="n">
        <v>2154</v>
      </c>
      <c r="F21" s="59" t="n">
        <v>2095</v>
      </c>
      <c r="G21" s="54" t="n">
        <f aca="false">B21*B21*$R$3+B21*$S$3+$T$3</f>
        <v>88.38825584</v>
      </c>
      <c r="H21" s="54" t="n">
        <f aca="false">C21*C21*$R$5+C21*$S$5+$T$5</f>
        <v>88.4115056000001</v>
      </c>
      <c r="I21" s="54" t="n">
        <f aca="false">D21*D21*$R$6+D21*$S$6+$T$6</f>
        <v>77.25970816</v>
      </c>
      <c r="J21" s="54" t="n">
        <f aca="false">E21*E21*$R$4+E21*$S$4+$T$4</f>
        <v>59.0219599999996</v>
      </c>
      <c r="K21" s="54" t="n">
        <f aca="false">F21*F21*$R$7+F21*$S$7+$T$7</f>
        <v>80.9735062499999</v>
      </c>
      <c r="L21" s="53" t="n">
        <f aca="false">ABS((G21-$A21)/$A21)</f>
        <v>0.0113072750572078</v>
      </c>
      <c r="M21" s="53" t="n">
        <f aca="false">ABS((H21-$A21)/$A21)</f>
        <v>0.0115732906178495</v>
      </c>
      <c r="N21" s="53" t="n">
        <f aca="false">ABS((I21-$A21)/$A21)</f>
        <v>0.116021645766591</v>
      </c>
      <c r="O21" s="53" t="n">
        <f aca="false">ABS((J21-$A21)/$A21)</f>
        <v>0.324691533180783</v>
      </c>
      <c r="P21" s="53" t="n">
        <f aca="false">ABS((K21-$A21)/$A21)</f>
        <v>0.0735296767734566</v>
      </c>
    </row>
    <row r="22" customFormat="false" ht="13.8" hidden="false" customHeight="false" outlineLevel="0" collapsed="false">
      <c r="A22" s="1" t="n">
        <v>58.4</v>
      </c>
      <c r="B22" s="59" t="n">
        <v>1535</v>
      </c>
      <c r="C22" s="59" t="n">
        <v>1367</v>
      </c>
      <c r="D22" s="59" t="n">
        <v>2064</v>
      </c>
      <c r="E22" s="59" t="n">
        <v>2189</v>
      </c>
      <c r="F22" s="59"/>
      <c r="G22" s="54" t="n">
        <f aca="false">B22*B22*$R$3+B22*$S$3+$T$3</f>
        <v>60.312374</v>
      </c>
      <c r="H22" s="54" t="n">
        <f aca="false">C22*C22*$R$5+C22*$S$5+$T$5</f>
        <v>59.4974704000001</v>
      </c>
      <c r="I22" s="54" t="n">
        <f aca="false">D22*D22*$R$6+D22*$S$6+$T$6</f>
        <v>77.25970816</v>
      </c>
      <c r="J22" s="54" t="n">
        <f aca="false">E22*E22*$R$4+E22*$S$4+$T$4</f>
        <v>48.2080099999994</v>
      </c>
      <c r="L22" s="53" t="n">
        <f aca="false">ABS((G22-$A22)/$A22)</f>
        <v>0.0327461301369859</v>
      </c>
      <c r="M22" s="53" t="n">
        <f aca="false">ABS((H22-$A22)/$A22)</f>
        <v>0.018792301369864</v>
      </c>
      <c r="N22" s="53" t="n">
        <f aca="false">ABS((I22-$A22)/$A22)</f>
        <v>0.322940208219177</v>
      </c>
      <c r="O22" s="53" t="n">
        <f aca="false">ABS((J22-$A22)/$A22)</f>
        <v>0.174520376712339</v>
      </c>
      <c r="P22" s="53" t="n">
        <f aca="false">ABS((K22-$A22)/$A22)</f>
        <v>1</v>
      </c>
    </row>
    <row r="23" customFormat="false" ht="13.8" hidden="false" customHeight="false" outlineLevel="0" collapsed="false">
      <c r="A23" s="1" t="n">
        <v>87.6</v>
      </c>
      <c r="B23" s="59" t="n">
        <v>1264</v>
      </c>
      <c r="C23" s="59" t="n">
        <v>1182</v>
      </c>
      <c r="D23" s="59" t="n">
        <v>2065</v>
      </c>
      <c r="E23" s="59" t="n">
        <v>2157</v>
      </c>
      <c r="F23" s="59" t="n">
        <v>2103</v>
      </c>
      <c r="G23" s="54" t="n">
        <f aca="false">B23*B23*$R$3+B23*$S$3+$T$3</f>
        <v>88.38825584</v>
      </c>
      <c r="H23" s="54" t="n">
        <f aca="false">C23*C23*$R$5+C23*$S$5+$T$5</f>
        <v>89.6956864</v>
      </c>
      <c r="I23" s="54" t="n">
        <f aca="false">D23*D23*$R$6+D23*$S$6+$T$6</f>
        <v>77.0390135</v>
      </c>
      <c r="J23" s="54" t="n">
        <f aca="false">E23*E23*$R$4+E23*$S$4+$T$4</f>
        <v>58.0364899999995</v>
      </c>
      <c r="K23" s="54" t="n">
        <f aca="false">F23*F23*$R$7+F23*$S$7+$T$7</f>
        <v>77.8025422499995</v>
      </c>
      <c r="L23" s="53" t="n">
        <f aca="false">ABS((G23-$A23)/$A23)</f>
        <v>0.00899835433789928</v>
      </c>
      <c r="M23" s="53" t="n">
        <f aca="false">ABS((H23-$A23)/$A23)</f>
        <v>0.0239233607305937</v>
      </c>
      <c r="N23" s="53" t="n">
        <f aca="false">ABS((I23-$A23)/$A23)</f>
        <v>0.120559206621004</v>
      </c>
      <c r="O23" s="53" t="n">
        <f aca="false">ABS((J23-$A23)/$A23)</f>
        <v>0.337482990867586</v>
      </c>
      <c r="P23" s="53" t="n">
        <f aca="false">ABS((K23-$A23)/$A23)</f>
        <v>0.111843125000005</v>
      </c>
    </row>
    <row r="24" customFormat="false" ht="13.8" hidden="false" customHeight="false" outlineLevel="0" collapsed="false">
      <c r="A24" s="1" t="n">
        <v>87.4</v>
      </c>
      <c r="B24" s="59" t="n">
        <v>1281</v>
      </c>
      <c r="C24" s="59" t="n">
        <v>1174</v>
      </c>
      <c r="D24" s="59" t="n">
        <v>2066</v>
      </c>
      <c r="E24" s="59" t="n">
        <v>2153</v>
      </c>
      <c r="F24" s="59" t="n">
        <v>2096</v>
      </c>
      <c r="G24" s="54" t="n">
        <f aca="false">B24*B24*$R$3+B24*$S$3+$T$3</f>
        <v>86.48437144</v>
      </c>
      <c r="H24" s="54" t="n">
        <f aca="false">C24*C24*$R$5+C24*$S$5+$T$5</f>
        <v>91.1769536000001</v>
      </c>
      <c r="I24" s="54" t="n">
        <f aca="false">D24*D24*$R$6+D24*$S$6+$T$6</f>
        <v>76.8185937599999</v>
      </c>
      <c r="J24" s="54" t="n">
        <f aca="false">E24*E24*$R$4+E24*$S$4+$T$4</f>
        <v>59.3528899999997</v>
      </c>
      <c r="K24" s="54" t="n">
        <f aca="false">F24*F24*$R$7+F24*$S$7+$T$7</f>
        <v>80.5728639999998</v>
      </c>
      <c r="L24" s="53" t="n">
        <f aca="false">ABS((G24-$A24)/$A24)</f>
        <v>0.0104762993135017</v>
      </c>
      <c r="M24" s="53" t="n">
        <f aca="false">ABS((H24-$A24)/$A24)</f>
        <v>0.0432145720823803</v>
      </c>
      <c r="N24" s="53" t="n">
        <f aca="false">ABS((I24-$A24)/$A24)</f>
        <v>0.121068721281466</v>
      </c>
      <c r="O24" s="53" t="n">
        <f aca="false">ABS((J24-$A24)/$A24)</f>
        <v>0.320905148741423</v>
      </c>
      <c r="P24" s="53" t="n">
        <f aca="false">ABS((K24-$A24)/$A24)</f>
        <v>0.0781136842105292</v>
      </c>
    </row>
    <row r="25" customFormat="false" ht="13.8" hidden="false" customHeight="false" outlineLevel="0" collapsed="false">
      <c r="A25" s="1" t="n">
        <v>87.6</v>
      </c>
      <c r="B25" s="59" t="n">
        <v>1280</v>
      </c>
      <c r="C25" s="59" t="n">
        <v>1179</v>
      </c>
      <c r="D25" s="59" t="n">
        <v>2066</v>
      </c>
      <c r="E25" s="59" t="n">
        <v>2159</v>
      </c>
      <c r="F25" s="59" t="n">
        <v>2101</v>
      </c>
      <c r="G25" s="54" t="n">
        <f aca="false">B25*B25*$R$3+B25*$S$3+$T$3</f>
        <v>86.595836</v>
      </c>
      <c r="H25" s="54" t="n">
        <f aca="false">C25*C25*$R$5+C25*$S$5+$T$5</f>
        <v>90.2494576</v>
      </c>
      <c r="I25" s="54" t="n">
        <f aca="false">D25*D25*$R$6+D25*$S$6+$T$6</f>
        <v>76.8185937599999</v>
      </c>
      <c r="J25" s="54" t="n">
        <f aca="false">E25*E25*$R$4+E25*$S$4+$T$4</f>
        <v>57.3856099999994</v>
      </c>
      <c r="K25" s="54" t="n">
        <f aca="false">F25*F25*$R$7+F25*$S$7+$T$7</f>
        <v>78.5879602499999</v>
      </c>
      <c r="L25" s="53" t="n">
        <f aca="false">ABS((G25-$A25)/$A25)</f>
        <v>0.011463059360731</v>
      </c>
      <c r="M25" s="53" t="n">
        <f aca="false">ABS((H25-$A25)/$A25)</f>
        <v>0.0302449497716899</v>
      </c>
      <c r="N25" s="53" t="n">
        <f aca="false">ABS((I25-$A25)/$A25)</f>
        <v>0.123075413698631</v>
      </c>
      <c r="O25" s="53" t="n">
        <f aca="false">ABS((J25-$A25)/$A25)</f>
        <v>0.344913127853889</v>
      </c>
      <c r="P25" s="53" t="n">
        <f aca="false">ABS((K25-$A25)/$A25)</f>
        <v>0.102877166095891</v>
      </c>
    </row>
    <row r="26" customFormat="false" ht="13.8" hidden="false" customHeight="false" outlineLevel="0" collapsed="false">
      <c r="A26" s="1" t="n">
        <v>87.4</v>
      </c>
      <c r="B26" s="59" t="n">
        <v>1275</v>
      </c>
      <c r="C26" s="59" t="n">
        <v>1198</v>
      </c>
      <c r="D26" s="59" t="n">
        <v>2066</v>
      </c>
      <c r="E26" s="59" t="n">
        <v>2157</v>
      </c>
      <c r="F26" s="59" t="n">
        <v>2097</v>
      </c>
      <c r="G26" s="54" t="n">
        <f aca="false">B26*B26*$R$3+B26*$S$3+$T$3</f>
        <v>87.15415</v>
      </c>
      <c r="H26" s="54" t="n">
        <f aca="false">C26*C26*$R$5+C26*$S$5+$T$5</f>
        <v>86.7767744</v>
      </c>
      <c r="I26" s="54" t="n">
        <f aca="false">D26*D26*$R$6+D26*$S$6+$T$6</f>
        <v>76.8185937599999</v>
      </c>
      <c r="J26" s="54" t="n">
        <f aca="false">E26*E26*$R$4+E26*$S$4+$T$4</f>
        <v>58.0364899999995</v>
      </c>
      <c r="K26" s="54" t="n">
        <f aca="false">F26*F26*$R$7+F26*$S$7+$T$7</f>
        <v>80.1734422499999</v>
      </c>
      <c r="L26" s="53" t="n">
        <f aca="false">ABS((G26-$A26)/$A26)</f>
        <v>0.00281292906178543</v>
      </c>
      <c r="M26" s="53" t="n">
        <f aca="false">ABS((H26-$A26)/$A26)</f>
        <v>0.007130727688787</v>
      </c>
      <c r="N26" s="53" t="n">
        <f aca="false">ABS((I26-$A26)/$A26)</f>
        <v>0.121068721281466</v>
      </c>
      <c r="O26" s="53" t="n">
        <f aca="false">ABS((J26-$A26)/$A26)</f>
        <v>0.33596693363845</v>
      </c>
      <c r="P26" s="53" t="n">
        <f aca="false">ABS((K26-$A26)/$A26)</f>
        <v>0.0826837271167062</v>
      </c>
    </row>
    <row r="27" customFormat="false" ht="13.8" hidden="false" customHeight="false" outlineLevel="0" collapsed="false">
      <c r="A27" s="1" t="n">
        <v>87.6</v>
      </c>
      <c r="B27" s="59" t="n">
        <v>1238</v>
      </c>
      <c r="C27" s="59" t="n">
        <v>1273</v>
      </c>
      <c r="D27" s="59" t="n">
        <v>2066</v>
      </c>
      <c r="E27" s="59" t="n">
        <v>2159</v>
      </c>
      <c r="F27" s="59" t="n">
        <v>2101</v>
      </c>
      <c r="G27" s="54" t="n">
        <f aca="false">B27*B27*$R$3+B27*$S$3+$T$3</f>
        <v>91.33701776</v>
      </c>
      <c r="H27" s="54" t="n">
        <f aca="false">C27*C27*$R$5+C27*$S$5+$T$5</f>
        <v>73.8696944</v>
      </c>
      <c r="I27" s="54" t="n">
        <f aca="false">D27*D27*$R$6+D27*$S$6+$T$6</f>
        <v>76.8185937599999</v>
      </c>
      <c r="J27" s="54" t="n">
        <f aca="false">E27*E27*$R$4+E27*$S$4+$T$4</f>
        <v>57.3856099999994</v>
      </c>
      <c r="K27" s="54" t="n">
        <f aca="false">F27*F27*$R$7+F27*$S$7+$T$7</f>
        <v>78.5879602499999</v>
      </c>
      <c r="L27" s="53" t="n">
        <f aca="false">ABS((G27-$A27)/$A27)</f>
        <v>0.042660020091324</v>
      </c>
      <c r="M27" s="53" t="n">
        <f aca="false">ABS((H27-$A27)/$A27)</f>
        <v>0.156738648401826</v>
      </c>
      <c r="N27" s="53" t="n">
        <f aca="false">ABS((I27-$A27)/$A27)</f>
        <v>0.123075413698631</v>
      </c>
      <c r="O27" s="53" t="n">
        <f aca="false">ABS((J27-$A27)/$A27)</f>
        <v>0.344913127853889</v>
      </c>
      <c r="P27" s="53" t="n">
        <f aca="false">ABS((K27-$A27)/$A27)</f>
        <v>0.102877166095891</v>
      </c>
    </row>
    <row r="28" customFormat="false" ht="13.8" hidden="false" customHeight="false" outlineLevel="0" collapsed="false">
      <c r="A28" s="1" t="n">
        <v>58.4</v>
      </c>
      <c r="B28" s="59" t="n">
        <v>1584</v>
      </c>
      <c r="C28" s="59" t="n">
        <v>1346</v>
      </c>
      <c r="D28" s="59" t="n">
        <v>2067</v>
      </c>
      <c r="E28" s="59" t="n">
        <v>2189</v>
      </c>
      <c r="F28" s="59"/>
      <c r="G28" s="54" t="n">
        <f aca="false">B28*B28*$R$3+B28*$S$3+$T$3</f>
        <v>55.75399024</v>
      </c>
      <c r="H28" s="54" t="n">
        <f aca="false">C28*C28*$R$5+C28*$S$5+$T$5</f>
        <v>62.5341376</v>
      </c>
      <c r="I28" s="54" t="n">
        <f aca="false">D28*D28*$R$6+D28*$S$6+$T$6</f>
        <v>76.59844894</v>
      </c>
      <c r="J28" s="54" t="n">
        <f aca="false">E28*E28*$R$4+E28*$S$4+$T$4</f>
        <v>48.2080099999994</v>
      </c>
      <c r="L28" s="53" t="n">
        <f aca="false">ABS((G28-$A28)/$A28)</f>
        <v>0.0453083863013707</v>
      </c>
      <c r="M28" s="53" t="n">
        <f aca="false">ABS((H28-$A28)/$A28)</f>
        <v>0.0707900273972604</v>
      </c>
      <c r="N28" s="53" t="n">
        <f aca="false">ABS((I28-$A28)/$A28)</f>
        <v>0.311617276369863</v>
      </c>
      <c r="O28" s="53" t="n">
        <f aca="false">ABS((J28-$A28)/$A28)</f>
        <v>0.174520376712339</v>
      </c>
      <c r="P28" s="53" t="n">
        <f aca="false">ABS((K28-$A28)/$A28)</f>
        <v>1</v>
      </c>
    </row>
    <row r="29" customFormat="false" ht="13.8" hidden="false" customHeight="false" outlineLevel="0" collapsed="false">
      <c r="A29" s="1" t="n">
        <v>87.4</v>
      </c>
      <c r="B29" s="59" t="n">
        <v>1250</v>
      </c>
      <c r="C29" s="59" t="n">
        <v>1198</v>
      </c>
      <c r="D29" s="59" t="n">
        <v>2070</v>
      </c>
      <c r="E29" s="59" t="n">
        <v>2160</v>
      </c>
      <c r="F29" s="59" t="n">
        <v>2106</v>
      </c>
      <c r="G29" s="54" t="n">
        <f aca="false">B29*B29*$R$3+B29*$S$3+$T$3</f>
        <v>89.9705</v>
      </c>
      <c r="H29" s="54" t="n">
        <f aca="false">C29*C29*$R$5+C29*$S$5+$T$5</f>
        <v>86.7767744</v>
      </c>
      <c r="I29" s="54" t="n">
        <f aca="false">D29*D29*$R$6+D29*$S$6+$T$6</f>
        <v>75.939664</v>
      </c>
      <c r="J29" s="54" t="n">
        <f aca="false">E29*E29*$R$4+E29*$S$4+$T$4</f>
        <v>57.0619999999994</v>
      </c>
      <c r="K29" s="54" t="n">
        <f aca="false">F29*F29*$R$7+F29*$S$7+$T$7</f>
        <v>76.6335689999996</v>
      </c>
      <c r="L29" s="53" t="n">
        <f aca="false">ABS((G29-$A29)/$A29)</f>
        <v>0.0294107551487412</v>
      </c>
      <c r="M29" s="53" t="n">
        <f aca="false">ABS((H29-$A29)/$A29)</f>
        <v>0.007130727688787</v>
      </c>
      <c r="N29" s="53" t="n">
        <f aca="false">ABS((I29-$A29)/$A29)</f>
        <v>0.131125125858124</v>
      </c>
      <c r="O29" s="53" t="n">
        <f aca="false">ABS((J29-$A29)/$A29)</f>
        <v>0.347116704805498</v>
      </c>
      <c r="P29" s="53" t="n">
        <f aca="false">ABS((K29-$A29)/$A29)</f>
        <v>0.123185709382155</v>
      </c>
    </row>
    <row r="30" customFormat="false" ht="13.8" hidden="false" customHeight="false" outlineLevel="0" collapsed="false">
      <c r="A30" s="1" t="n">
        <v>87.4</v>
      </c>
      <c r="B30" s="59" t="n">
        <v>1291</v>
      </c>
      <c r="C30" s="59" t="n">
        <v>1233</v>
      </c>
      <c r="D30" s="59" t="n">
        <v>2071</v>
      </c>
      <c r="E30" s="59" t="n">
        <v>2175</v>
      </c>
      <c r="F30" s="59" t="n">
        <v>2128</v>
      </c>
      <c r="G30" s="54" t="n">
        <f aca="false">B30*B30*$R$3+B30*$S$3+$T$3</f>
        <v>85.37336024</v>
      </c>
      <c r="H30" s="54" t="n">
        <f aca="false">C30*C30*$R$5+C30*$S$5+$T$5</f>
        <v>80.5944304000001</v>
      </c>
      <c r="I30" s="54" t="n">
        <f aca="false">D30*D30*$R$6+D30*$S$6+$T$6</f>
        <v>75.7206188599998</v>
      </c>
      <c r="J30" s="54" t="n">
        <f aca="false">E30*E30*$R$4+E30*$S$4+$T$4</f>
        <v>52.3542499999999</v>
      </c>
      <c r="K30" s="54" t="n">
        <f aca="false">F30*F30*$R$7+F30*$S$7+$T$7</f>
        <v>68.3967359999997</v>
      </c>
      <c r="L30" s="53" t="n">
        <f aca="false">ABS((G30-$A30)/$A30)</f>
        <v>0.023188097940504</v>
      </c>
      <c r="M30" s="53" t="n">
        <f aca="false">ABS((H30-$A30)/$A30)</f>
        <v>0.0778669290617841</v>
      </c>
      <c r="N30" s="53" t="n">
        <f aca="false">ABS((I30-$A30)/$A30)</f>
        <v>0.133631363157897</v>
      </c>
      <c r="O30" s="53" t="n">
        <f aca="false">ABS((J30-$A30)/$A30)</f>
        <v>0.400981121281466</v>
      </c>
      <c r="P30" s="53" t="n">
        <f aca="false">ABS((K30-$A30)/$A30)</f>
        <v>0.217428649885587</v>
      </c>
    </row>
    <row r="31" customFormat="false" ht="13.8" hidden="false" customHeight="false" outlineLevel="0" collapsed="false">
      <c r="A31" s="1" t="n">
        <v>87.6</v>
      </c>
      <c r="B31" s="59" t="n">
        <v>1257</v>
      </c>
      <c r="C31" s="59" t="n">
        <v>1204</v>
      </c>
      <c r="D31" s="59" t="n">
        <v>2072</v>
      </c>
      <c r="E31" s="59" t="n">
        <v>2160</v>
      </c>
      <c r="F31" s="59" t="n">
        <v>2107</v>
      </c>
      <c r="G31" s="54" t="n">
        <f aca="false">B31*B31*$R$3+B31*$S$3+$T$3</f>
        <v>89.17775896</v>
      </c>
      <c r="H31" s="54" t="n">
        <f aca="false">C31*C31*$R$5+C31*$S$5+$T$5</f>
        <v>85.6971776</v>
      </c>
      <c r="I31" s="54" t="n">
        <f aca="false">D31*D31*$R$6+D31*$S$6+$T$6</f>
        <v>75.5018486399999</v>
      </c>
      <c r="J31" s="54" t="n">
        <f aca="false">E31*E31*$R$4+E31*$S$4+$T$4</f>
        <v>57.0619999999994</v>
      </c>
      <c r="K31" s="54" t="n">
        <f aca="false">F31*F31*$R$7+F31*$S$7+$T$7</f>
        <v>76.2463522499998</v>
      </c>
      <c r="L31" s="53" t="n">
        <f aca="false">ABS((G31-$A31)/$A31)</f>
        <v>0.0180109470319633</v>
      </c>
      <c r="M31" s="53" t="n">
        <f aca="false">ABS((H31-$A31)/$A31)</f>
        <v>0.0217217168949767</v>
      </c>
      <c r="N31" s="53" t="n">
        <f aca="false">ABS((I31-$A31)/$A31)</f>
        <v>0.138106750684932</v>
      </c>
      <c r="O31" s="53" t="n">
        <f aca="false">ABS((J31-$A31)/$A31)</f>
        <v>0.348607305936079</v>
      </c>
      <c r="P31" s="53" t="n">
        <f aca="false">ABS((K31-$A31)/$A31)</f>
        <v>0.1296078510274</v>
      </c>
    </row>
    <row r="32" customFormat="false" ht="13.8" hidden="false" customHeight="false" outlineLevel="0" collapsed="false">
      <c r="A32" s="1" t="n">
        <v>87.6</v>
      </c>
      <c r="B32" s="59" t="n">
        <v>1292</v>
      </c>
      <c r="C32" s="59" t="n">
        <v>1194</v>
      </c>
      <c r="D32" s="59" t="n">
        <v>2075</v>
      </c>
      <c r="E32" s="59" t="n">
        <v>2160</v>
      </c>
      <c r="F32" s="59" t="n">
        <v>2109</v>
      </c>
      <c r="G32" s="54" t="n">
        <f aca="false">B32*B32*$R$3+B32*$S$3+$T$3</f>
        <v>85.26262256</v>
      </c>
      <c r="H32" s="54" t="n">
        <f aca="false">C32*C32*$R$5+C32*$S$5+$T$5</f>
        <v>87.5010496</v>
      </c>
      <c r="I32" s="54" t="n">
        <f aca="false">D32*D32*$R$6+D32*$S$6+$T$6</f>
        <v>74.8471875</v>
      </c>
      <c r="J32" s="54" t="n">
        <f aca="false">E32*E32*$R$4+E32*$S$4+$T$4</f>
        <v>57.0619999999994</v>
      </c>
      <c r="K32" s="54" t="n">
        <f aca="false">F32*F32*$R$7+F32*$S$7+$T$7</f>
        <v>75.4755802499994</v>
      </c>
      <c r="L32" s="53" t="n">
        <f aca="false">ABS((G32-$A32)/$A32)</f>
        <v>0.02668239086758</v>
      </c>
      <c r="M32" s="53" t="n">
        <f aca="false">ABS((H32-$A32)/$A32)</f>
        <v>0.00112957077625579</v>
      </c>
      <c r="N32" s="53" t="n">
        <f aca="false">ABS((I32-$A32)/$A32)</f>
        <v>0.145580051369863</v>
      </c>
      <c r="O32" s="53" t="n">
        <f aca="false">ABS((J32-$A32)/$A32)</f>
        <v>0.348607305936079</v>
      </c>
      <c r="P32" s="53" t="n">
        <f aca="false">ABS((K32-$A32)/$A32)</f>
        <v>0.138406618150691</v>
      </c>
    </row>
    <row r="33" customFormat="false" ht="13.8" hidden="false" customHeight="false" outlineLevel="0" collapsed="false">
      <c r="A33" s="1" t="n">
        <v>58.4</v>
      </c>
      <c r="B33" s="59" t="n">
        <v>1587</v>
      </c>
      <c r="C33" s="59" t="n">
        <v>1390</v>
      </c>
      <c r="D33" s="59" t="n">
        <v>2075</v>
      </c>
      <c r="E33" s="59" t="n">
        <v>2194</v>
      </c>
      <c r="F33" s="59"/>
      <c r="G33" s="54" t="n">
        <f aca="false">B33*B33*$R$3+B33*$S$3+$T$3</f>
        <v>55.48005976</v>
      </c>
      <c r="H33" s="54" t="n">
        <f aca="false">C33*C33*$R$5+C33*$S$5+$T$5</f>
        <v>56.2865600000001</v>
      </c>
      <c r="I33" s="54" t="n">
        <f aca="false">D33*D33*$R$6+D33*$S$6+$T$6</f>
        <v>74.8471875</v>
      </c>
      <c r="J33" s="54" t="n">
        <f aca="false">E33*E33*$R$4+E33*$S$4+$T$4</f>
        <v>46.785159999999</v>
      </c>
      <c r="L33" s="53" t="n">
        <f aca="false">ABS((G33-$A33)/$A33)</f>
        <v>0.0499989767123294</v>
      </c>
      <c r="M33" s="53" t="n">
        <f aca="false">ABS((H33-$A33)/$A33)</f>
        <v>0.0361890410958893</v>
      </c>
      <c r="N33" s="53" t="n">
        <f aca="false">ABS((I33-$A33)/$A33)</f>
        <v>0.281629922945206</v>
      </c>
      <c r="O33" s="53" t="n">
        <f aca="false">ABS((J33-$A33)/$A33)</f>
        <v>0.19888424657536</v>
      </c>
      <c r="P33" s="53" t="n">
        <f aca="false">ABS((K33-$A33)/$A33)</f>
        <v>1</v>
      </c>
    </row>
    <row r="34" customFormat="false" ht="13.8" hidden="false" customHeight="false" outlineLevel="0" collapsed="false">
      <c r="A34" s="1" t="n">
        <v>87.4</v>
      </c>
      <c r="B34" s="59" t="n">
        <v>1273</v>
      </c>
      <c r="C34" s="59" t="n">
        <v>1197</v>
      </c>
      <c r="D34" s="59" t="n">
        <v>2077</v>
      </c>
      <c r="E34" s="59" t="n">
        <v>2163</v>
      </c>
      <c r="F34" s="59" t="n">
        <v>2113</v>
      </c>
      <c r="G34" s="54" t="n">
        <f aca="false">B34*B34*$R$3+B34*$S$3+$T$3</f>
        <v>87.37793816</v>
      </c>
      <c r="H34" s="54" t="n">
        <f aca="false">C34*C34*$R$5+C34*$S$5+$T$5</f>
        <v>86.9575024000001</v>
      </c>
      <c r="I34" s="54" t="n">
        <f aca="false">D34*D34*$R$6+D34*$S$6+$T$6</f>
        <v>74.4121213399999</v>
      </c>
      <c r="J34" s="54" t="n">
        <f aca="false">E34*E34*$R$4+E34*$S$4+$T$4</f>
        <v>56.098489999999</v>
      </c>
      <c r="K34" s="54" t="n">
        <f aca="false">F34*F34*$R$7+F34*$S$7+$T$7</f>
        <v>73.9486822499994</v>
      </c>
      <c r="L34" s="53" t="n">
        <f aca="false">ABS((G34-$A34)/$A34)</f>
        <v>0.000252423798627237</v>
      </c>
      <c r="M34" s="53" t="n">
        <f aca="false">ABS((H34-$A34)/$A34)</f>
        <v>0.00506290160182997</v>
      </c>
      <c r="N34" s="53" t="n">
        <f aca="false">ABS((I34-$A34)/$A34)</f>
        <v>0.148602730663617</v>
      </c>
      <c r="O34" s="53" t="n">
        <f aca="false">ABS((J34-$A34)/$A34)</f>
        <v>0.358140846681934</v>
      </c>
      <c r="P34" s="53" t="n">
        <f aca="false">ABS((K34-$A34)/$A34)</f>
        <v>0.153905237414195</v>
      </c>
    </row>
    <row r="35" customFormat="false" ht="13.8" hidden="false" customHeight="false" outlineLevel="0" collapsed="false">
      <c r="A35" s="1" t="n">
        <v>87.6</v>
      </c>
      <c r="B35" s="59" t="n">
        <v>1243</v>
      </c>
      <c r="C35" s="59" t="n">
        <v>1199</v>
      </c>
      <c r="D35" s="59" t="n">
        <v>2077</v>
      </c>
      <c r="E35" s="59" t="n">
        <v>2165</v>
      </c>
      <c r="F35" s="59" t="n">
        <v>2118</v>
      </c>
      <c r="G35" s="54" t="n">
        <f aca="false">B35*B35*$R$3+B35*$S$3+$T$3</f>
        <v>90.76647896</v>
      </c>
      <c r="H35" s="54" t="n">
        <f aca="false">C35*C35*$R$5+C35*$S$5+$T$5</f>
        <v>86.5962736</v>
      </c>
      <c r="I35" s="54" t="n">
        <f aca="false">D35*D35*$R$6+D35*$S$6+$T$6</f>
        <v>74.4121213399999</v>
      </c>
      <c r="J35" s="54" t="n">
        <f aca="false">E35*E35*$R$4+E35*$S$4+$T$4</f>
        <v>55.4622499999991</v>
      </c>
      <c r="K35" s="54" t="n">
        <f aca="false">F35*F35*$R$7+F35*$S$7+$T$7</f>
        <v>72.0675209999999</v>
      </c>
      <c r="L35" s="53" t="n">
        <f aca="false">ABS((G35-$A35)/$A35)</f>
        <v>0.036147020091324</v>
      </c>
      <c r="M35" s="53" t="n">
        <f aca="false">ABS((H35-$A35)/$A35)</f>
        <v>0.0114580639269404</v>
      </c>
      <c r="N35" s="53" t="n">
        <f aca="false">ABS((I35-$A35)/$A35)</f>
        <v>0.150546560045663</v>
      </c>
      <c r="O35" s="53" t="n">
        <f aca="false">ABS((J35-$A35)/$A35)</f>
        <v>0.366869292237453</v>
      </c>
      <c r="P35" s="53" t="n">
        <f aca="false">ABS((K35-$A35)/$A35)</f>
        <v>0.17731140410959</v>
      </c>
    </row>
    <row r="36" customFormat="false" ht="13.8" hidden="false" customHeight="false" outlineLevel="0" collapsed="false">
      <c r="A36" s="1" t="n">
        <v>87.4</v>
      </c>
      <c r="B36" s="59" t="n">
        <v>1277</v>
      </c>
      <c r="C36" s="59" t="n">
        <v>1185</v>
      </c>
      <c r="D36" s="59" t="n">
        <v>2078</v>
      </c>
      <c r="E36" s="59" t="n">
        <v>2165</v>
      </c>
      <c r="F36" s="59" t="n">
        <v>2115</v>
      </c>
      <c r="G36" s="54" t="n">
        <f aca="false">B36*B36*$R$3+B36*$S$3+$T$3</f>
        <v>86.93062616</v>
      </c>
      <c r="H36" s="54" t="n">
        <f aca="false">C36*C36*$R$5+C36*$S$5+$T$5</f>
        <v>89.14396</v>
      </c>
      <c r="I36" s="54" t="n">
        <f aca="false">D36*D36*$R$6+D36*$S$6+$T$6</f>
        <v>74.1950006399998</v>
      </c>
      <c r="J36" s="54" t="n">
        <f aca="false">E36*E36*$R$4+E36*$S$4+$T$4</f>
        <v>55.4622499999991</v>
      </c>
      <c r="K36" s="54" t="n">
        <f aca="false">F36*F36*$R$7+F36*$S$7+$T$7</f>
        <v>73.1925562499991</v>
      </c>
      <c r="L36" s="53" t="n">
        <f aca="false">ABS((G36-$A36)/$A36)</f>
        <v>0.00537041006865024</v>
      </c>
      <c r="M36" s="53" t="n">
        <f aca="false">ABS((H36-$A36)/$A36)</f>
        <v>0.0199537757437069</v>
      </c>
      <c r="N36" s="53" t="n">
        <f aca="false">ABS((I36-$A36)/$A36)</f>
        <v>0.151086949199087</v>
      </c>
      <c r="O36" s="53" t="n">
        <f aca="false">ABS((J36-$A36)/$A36)</f>
        <v>0.365420480549209</v>
      </c>
      <c r="P36" s="53" t="n">
        <f aca="false">ABS((K36-$A36)/$A36)</f>
        <v>0.162556564645319</v>
      </c>
    </row>
    <row r="37" customFormat="false" ht="13.8" hidden="false" customHeight="false" outlineLevel="0" collapsed="false">
      <c r="A37" s="1" t="n">
        <v>87.4</v>
      </c>
      <c r="B37" s="59" t="n">
        <v>1291</v>
      </c>
      <c r="C37" s="59" t="n">
        <v>1195</v>
      </c>
      <c r="D37" s="59" t="n">
        <v>2082</v>
      </c>
      <c r="E37" s="59" t="n">
        <v>2159</v>
      </c>
      <c r="F37" s="59" t="n">
        <v>2112</v>
      </c>
      <c r="G37" s="54" t="n">
        <f aca="false">B37*B37*$R$3+B37*$S$3+$T$3</f>
        <v>85.37336024</v>
      </c>
      <c r="H37" s="54" t="n">
        <f aca="false">C37*C37*$R$5+C37*$S$5+$T$5</f>
        <v>87.31964</v>
      </c>
      <c r="I37" s="54" t="n">
        <f aca="false">D37*D37*$R$6+D37*$S$6+$T$6</f>
        <v>73.3292670400001</v>
      </c>
      <c r="J37" s="54" t="n">
        <f aca="false">E37*E37*$R$4+E37*$S$4+$T$4</f>
        <v>57.3856099999994</v>
      </c>
      <c r="K37" s="54" t="n">
        <f aca="false">F37*F37*$R$7+F37*$S$7+$T$7</f>
        <v>74.3285759999994</v>
      </c>
      <c r="L37" s="53" t="n">
        <f aca="false">ABS((G37-$A37)/$A37)</f>
        <v>0.023188097940504</v>
      </c>
      <c r="M37" s="53" t="n">
        <f aca="false">ABS((H37-$A37)/$A37)</f>
        <v>0.000919450800915481</v>
      </c>
      <c r="N37" s="53" t="n">
        <f aca="false">ABS((I37-$A37)/$A37)</f>
        <v>0.160992367963386</v>
      </c>
      <c r="O37" s="53" t="n">
        <f aca="false">ABS((J37-$A37)/$A37)</f>
        <v>0.343414073226552</v>
      </c>
      <c r="P37" s="53" t="n">
        <f aca="false">ABS((K37-$A37)/$A37)</f>
        <v>0.149558627002295</v>
      </c>
    </row>
    <row r="38" customFormat="false" ht="13.8" hidden="false" customHeight="false" outlineLevel="0" collapsed="false">
      <c r="A38" s="1" t="n">
        <v>87.4</v>
      </c>
      <c r="B38" s="59" t="n">
        <v>1309</v>
      </c>
      <c r="C38" s="59" t="n">
        <v>1195</v>
      </c>
      <c r="D38" s="59" t="n">
        <v>2083</v>
      </c>
      <c r="E38" s="59" t="n">
        <v>2166</v>
      </c>
      <c r="F38" s="59" t="n">
        <v>2119</v>
      </c>
      <c r="G38" s="54" t="n">
        <f aca="false">B38*B38*$R$3+B38*$S$3+$T$3</f>
        <v>83.39019224</v>
      </c>
      <c r="H38" s="54" t="n">
        <f aca="false">C38*C38*$R$5+C38*$S$5+$T$5</f>
        <v>87.31964</v>
      </c>
      <c r="I38" s="54" t="n">
        <f aca="false">D38*D38*$R$6+D38*$S$6+$T$6</f>
        <v>73.1135209399999</v>
      </c>
      <c r="J38" s="54" t="n">
        <f aca="false">E38*E38*$R$4+E38*$S$4+$T$4</f>
        <v>55.1459599999989</v>
      </c>
      <c r="K38" s="54" t="n">
        <f aca="false">F38*F38*$R$7+F38*$S$7+$T$7</f>
        <v>71.6949502500002</v>
      </c>
      <c r="L38" s="53" t="n">
        <f aca="false">ABS((G38-$A38)/$A38)</f>
        <v>0.0458788073226548</v>
      </c>
      <c r="M38" s="53" t="n">
        <f aca="false">ABS((H38-$A38)/$A38)</f>
        <v>0.000919450800915481</v>
      </c>
      <c r="N38" s="53" t="n">
        <f aca="false">ABS((I38-$A38)/$A38)</f>
        <v>0.163460858810069</v>
      </c>
      <c r="O38" s="53" t="n">
        <f aca="false">ABS((J38-$A38)/$A38)</f>
        <v>0.369039359267747</v>
      </c>
      <c r="P38" s="53" t="n">
        <f aca="false">ABS((K38-$A38)/$A38)</f>
        <v>0.17969164473684</v>
      </c>
    </row>
    <row r="39" customFormat="false" ht="13.8" hidden="false" customHeight="false" outlineLevel="0" collapsed="false">
      <c r="A39" s="1" t="n">
        <v>58.4</v>
      </c>
      <c r="B39" s="59" t="n">
        <v>1571</v>
      </c>
      <c r="C39" s="59" t="n">
        <v>1371</v>
      </c>
      <c r="D39" s="59" t="n">
        <v>2083</v>
      </c>
      <c r="E39" s="59" t="n">
        <v>2194</v>
      </c>
      <c r="F39" s="59"/>
      <c r="G39" s="54" t="n">
        <f aca="false">B39*B39*$R$3+B39*$S$3+$T$3</f>
        <v>56.94789464</v>
      </c>
      <c r="H39" s="54" t="n">
        <f aca="false">C39*C39*$R$5+C39*$S$5+$T$5</f>
        <v>58.9304176000001</v>
      </c>
      <c r="I39" s="54" t="n">
        <f aca="false">D39*D39*$R$6+D39*$S$6+$T$6</f>
        <v>73.1135209399999</v>
      </c>
      <c r="J39" s="54" t="n">
        <f aca="false">E39*E39*$R$4+E39*$S$4+$T$4</f>
        <v>46.785159999999</v>
      </c>
      <c r="L39" s="53" t="n">
        <f aca="false">ABS((G39-$A39)/$A39)</f>
        <v>0.0248648178082189</v>
      </c>
      <c r="M39" s="53" t="n">
        <f aca="false">ABS((H39-$A39)/$A39)</f>
        <v>0.0090824931506859</v>
      </c>
      <c r="N39" s="53" t="n">
        <f aca="false">ABS((I39-$A39)/$A39)</f>
        <v>0.251943851712328</v>
      </c>
      <c r="O39" s="53" t="n">
        <f aca="false">ABS((J39-$A39)/$A39)</f>
        <v>0.19888424657536</v>
      </c>
      <c r="P39" s="53" t="n">
        <f aca="false">ABS((K39-$A39)/$A39)</f>
        <v>1</v>
      </c>
    </row>
    <row r="40" customFormat="false" ht="13.8" hidden="false" customHeight="false" outlineLevel="0" collapsed="false">
      <c r="A40" s="1" t="n">
        <v>58.4</v>
      </c>
      <c r="B40" s="59" t="n">
        <v>1584</v>
      </c>
      <c r="C40" s="59" t="n">
        <v>1363</v>
      </c>
      <c r="D40" s="59" t="n">
        <v>2084</v>
      </c>
      <c r="E40" s="59" t="n">
        <v>2192</v>
      </c>
      <c r="F40" s="59" t="n">
        <v>2096</v>
      </c>
      <c r="G40" s="54" t="n">
        <f aca="false">B40*B40*$R$3+B40*$S$3+$T$3</f>
        <v>55.75399024</v>
      </c>
      <c r="H40" s="54" t="n">
        <f aca="false">C40*C40*$R$5+C40*$S$5+$T$5</f>
        <v>60.0681584</v>
      </c>
      <c r="I40" s="54" t="n">
        <f aca="false">D40*D40*$R$6+D40*$S$6+$T$6</f>
        <v>72.8980497600001</v>
      </c>
      <c r="J40" s="54" t="n">
        <f aca="false">E40*E40*$R$4+E40*$S$4+$T$4</f>
        <v>47.3506399999992</v>
      </c>
      <c r="K40" s="54" t="n">
        <f aca="false">F40*F40*$R$7+F40*$S$7+$T$7</f>
        <v>80.5728639999998</v>
      </c>
      <c r="L40" s="53" t="n">
        <f aca="false">ABS((G40-$A40)/$A40)</f>
        <v>0.0453083863013707</v>
      </c>
      <c r="M40" s="53" t="n">
        <f aca="false">ABS((H40-$A40)/$A40)</f>
        <v>0.0285643561643839</v>
      </c>
      <c r="N40" s="53" t="n">
        <f aca="false">ABS((I40-$A40)/$A40)</f>
        <v>0.24825427671233</v>
      </c>
      <c r="O40" s="53" t="n">
        <f aca="false">ABS((J40-$A40)/$A40)</f>
        <v>0.189201369863027</v>
      </c>
      <c r="P40" s="53" t="n">
        <f aca="false">ABS((K40-$A40)/$A40)</f>
        <v>0.379672328767119</v>
      </c>
    </row>
    <row r="41" customFormat="false" ht="13.8" hidden="false" customHeight="false" outlineLevel="0" collapsed="false">
      <c r="A41" s="1" t="n">
        <v>87.6</v>
      </c>
      <c r="B41" s="59" t="n">
        <v>1270</v>
      </c>
      <c r="C41" s="59" t="n">
        <v>1186</v>
      </c>
      <c r="D41" s="59" t="n">
        <v>2085</v>
      </c>
      <c r="E41" s="59" t="n">
        <v>2163</v>
      </c>
      <c r="F41" s="59" t="n">
        <v>2112</v>
      </c>
      <c r="G41" s="54" t="n">
        <f aca="false">B41*B41*$R$3+B41*$S$3+$T$3</f>
        <v>87.714116</v>
      </c>
      <c r="H41" s="54" t="n">
        <f aca="false">C41*C41*$R$5+C41*$S$5+$T$5</f>
        <v>88.9605056</v>
      </c>
      <c r="I41" s="54" t="n">
        <f aca="false">D41*D41*$R$6+D41*$S$6+$T$6</f>
        <v>72.6828535</v>
      </c>
      <c r="J41" s="54" t="n">
        <f aca="false">E41*E41*$R$4+E41*$S$4+$T$4</f>
        <v>56.098489999999</v>
      </c>
      <c r="K41" s="54" t="n">
        <f aca="false">F41*F41*$R$7+F41*$S$7+$T$7</f>
        <v>74.3285759999994</v>
      </c>
      <c r="L41" s="53" t="n">
        <f aca="false">ABS((G41-$A41)/$A41)</f>
        <v>0.00130269406392689</v>
      </c>
      <c r="M41" s="53" t="n">
        <f aca="false">ABS((H41-$A41)/$A41)</f>
        <v>0.0155308858447493</v>
      </c>
      <c r="N41" s="53" t="n">
        <f aca="false">ABS((I41-$A41)/$A41)</f>
        <v>0.170287060502283</v>
      </c>
      <c r="O41" s="53" t="n">
        <f aca="false">ABS((J41-$A41)/$A41)</f>
        <v>0.359606278538825</v>
      </c>
      <c r="P41" s="53" t="n">
        <f aca="false">ABS((K41-$A41)/$A41)</f>
        <v>0.151500273972609</v>
      </c>
    </row>
    <row r="42" customFormat="false" ht="13.8" hidden="false" customHeight="false" outlineLevel="0" collapsed="false">
      <c r="A42" s="1" t="n">
        <v>87.6</v>
      </c>
      <c r="B42" s="59" t="n">
        <v>1280</v>
      </c>
      <c r="C42" s="59" t="n">
        <v>1194</v>
      </c>
      <c r="D42" s="59" t="n">
        <v>2086</v>
      </c>
      <c r="E42" s="59" t="n">
        <v>2164</v>
      </c>
      <c r="F42" s="59" t="n">
        <v>2117</v>
      </c>
      <c r="G42" s="54" t="n">
        <f aca="false">B42*B42*$R$3+B42*$S$3+$T$3</f>
        <v>86.595836</v>
      </c>
      <c r="H42" s="54" t="n">
        <f aca="false">C42*C42*$R$5+C42*$S$5+$T$5</f>
        <v>87.5010496</v>
      </c>
      <c r="I42" s="54" t="n">
        <f aca="false">D42*D42*$R$6+D42*$S$6+$T$6</f>
        <v>72.4679321599999</v>
      </c>
      <c r="J42" s="54" t="n">
        <f aca="false">E42*E42*$R$4+E42*$S$4+$T$4</f>
        <v>55.779759999999</v>
      </c>
      <c r="K42" s="54" t="n">
        <f aca="false">F42*F42*$R$7+F42*$S$7+$T$7</f>
        <v>72.44131225</v>
      </c>
      <c r="L42" s="53" t="n">
        <f aca="false">ABS((G42-$A42)/$A42)</f>
        <v>0.011463059360731</v>
      </c>
      <c r="M42" s="53" t="n">
        <f aca="false">ABS((H42-$A42)/$A42)</f>
        <v>0.00112957077625579</v>
      </c>
      <c r="N42" s="53" t="n">
        <f aca="false">ABS((I42-$A42)/$A42)</f>
        <v>0.172740500456622</v>
      </c>
      <c r="O42" s="53" t="n">
        <f aca="false">ABS((J42-$A42)/$A42)</f>
        <v>0.363244748858459</v>
      </c>
      <c r="P42" s="53" t="n">
        <f aca="false">ABS((K42-$A42)/$A42)</f>
        <v>0.173044380707762</v>
      </c>
    </row>
    <row r="43" customFormat="false" ht="13.8" hidden="false" customHeight="false" outlineLevel="0" collapsed="false">
      <c r="A43" s="1" t="n">
        <v>58.4</v>
      </c>
      <c r="B43" s="59" t="n">
        <v>1535</v>
      </c>
      <c r="C43" s="59" t="n">
        <v>1379</v>
      </c>
      <c r="D43" s="59" t="n">
        <v>2086</v>
      </c>
      <c r="E43" s="59" t="n">
        <v>2202</v>
      </c>
      <c r="F43" s="59" t="n">
        <v>2103</v>
      </c>
      <c r="G43" s="54" t="n">
        <f aca="false">B43*B43*$R$3+B43*$S$3+$T$3</f>
        <v>60.312374</v>
      </c>
      <c r="H43" s="54" t="n">
        <f aca="false">C43*C43*$R$5+C43*$S$5+$T$5</f>
        <v>57.8072176</v>
      </c>
      <c r="I43" s="54" t="n">
        <f aca="false">D43*D43*$R$6+D43*$S$6+$T$6</f>
        <v>72.4679321599999</v>
      </c>
      <c r="J43" s="54" t="n">
        <f aca="false">E43*E43*$R$4+E43*$S$4+$T$4</f>
        <v>44.5720399999996</v>
      </c>
      <c r="K43" s="54" t="n">
        <f aca="false">F43*F43*$R$7+F43*$S$7+$T$7</f>
        <v>77.8025422499995</v>
      </c>
      <c r="L43" s="53" t="n">
        <f aca="false">ABS((G43-$A43)/$A43)</f>
        <v>0.0327461301369859</v>
      </c>
      <c r="M43" s="53" t="n">
        <f aca="false">ABS((H43-$A43)/$A43)</f>
        <v>0.0101503835616438</v>
      </c>
      <c r="N43" s="53" t="n">
        <f aca="false">ABS((I43-$A43)/$A43)</f>
        <v>0.240889249315067</v>
      </c>
      <c r="O43" s="53" t="n">
        <f aca="false">ABS((J43-$A43)/$A43)</f>
        <v>0.236780136986309</v>
      </c>
      <c r="P43" s="53" t="n">
        <f aca="false">ABS((K43-$A43)/$A43)</f>
        <v>0.332235312499992</v>
      </c>
    </row>
    <row r="44" customFormat="false" ht="13.8" hidden="false" customHeight="false" outlineLevel="0" collapsed="false">
      <c r="A44" s="1" t="n">
        <v>87.6</v>
      </c>
      <c r="B44" s="59" t="n">
        <v>1265</v>
      </c>
      <c r="C44" s="59" t="n">
        <v>1214</v>
      </c>
      <c r="D44" s="59" t="n">
        <v>2090</v>
      </c>
      <c r="E44" s="59" t="n">
        <v>2167</v>
      </c>
      <c r="F44" s="59" t="n">
        <v>2119</v>
      </c>
      <c r="G44" s="54" t="n">
        <f aca="false">B44*B44*$R$3+B44*$S$3+$T$3</f>
        <v>88.275734</v>
      </c>
      <c r="H44" s="54" t="n">
        <f aca="false">C44*C44*$R$5+C44*$S$5+$T$5</f>
        <v>83.9160256</v>
      </c>
      <c r="I44" s="54" t="n">
        <f aca="false">D44*D44*$R$6+D44*$S$6+$T$6</f>
        <v>71.6109959999999</v>
      </c>
      <c r="J44" s="54" t="n">
        <f aca="false">E44*E44*$R$4+E44*$S$4+$T$4</f>
        <v>54.8308899999988</v>
      </c>
      <c r="K44" s="54" t="n">
        <f aca="false">F44*F44*$R$7+F44*$S$7+$T$7</f>
        <v>71.6949502500002</v>
      </c>
      <c r="L44" s="53" t="n">
        <f aca="false">ABS((G44-$A44)/$A44)</f>
        <v>0.00771385844748833</v>
      </c>
      <c r="M44" s="53" t="n">
        <f aca="false">ABS((H44-$A44)/$A44)</f>
        <v>0.0420545022831048</v>
      </c>
      <c r="N44" s="53" t="n">
        <f aca="false">ABS((I44-$A44)/$A44)</f>
        <v>0.18252287671233</v>
      </c>
      <c r="O44" s="53" t="n">
        <f aca="false">ABS((J44-$A44)/$A44)</f>
        <v>0.374076598173529</v>
      </c>
      <c r="P44" s="53" t="n">
        <f aca="false">ABS((K44-$A44)/$A44)</f>
        <v>0.181564494863012</v>
      </c>
    </row>
    <row r="45" customFormat="false" ht="13.8" hidden="false" customHeight="false" outlineLevel="0" collapsed="false">
      <c r="A45" s="1" t="n">
        <v>87.6</v>
      </c>
      <c r="B45" s="59" t="n">
        <v>1258</v>
      </c>
      <c r="C45" s="59" t="n">
        <v>1191</v>
      </c>
      <c r="D45" s="59" t="n">
        <v>2091</v>
      </c>
      <c r="E45" s="59" t="n">
        <v>2166</v>
      </c>
      <c r="F45" s="59" t="n">
        <v>2119</v>
      </c>
      <c r="G45" s="54" t="n">
        <f aca="false">B45*B45*$R$3+B45*$S$3+$T$3</f>
        <v>89.06477456</v>
      </c>
      <c r="H45" s="54" t="n">
        <f aca="false">C45*C45*$R$5+C45*$S$5+$T$5</f>
        <v>88.0466416</v>
      </c>
      <c r="I45" s="54" t="n">
        <f aca="false">D45*D45*$R$6+D45*$S$6+$T$6</f>
        <v>71.39744926</v>
      </c>
      <c r="J45" s="54" t="n">
        <f aca="false">E45*E45*$R$4+E45*$S$4+$T$4</f>
        <v>55.1459599999989</v>
      </c>
      <c r="K45" s="54" t="n">
        <f aca="false">F45*F45*$R$7+F45*$S$7+$T$7</f>
        <v>71.6949502500002</v>
      </c>
      <c r="L45" s="53" t="n">
        <f aca="false">ABS((G45-$A45)/$A45)</f>
        <v>0.0167211707762557</v>
      </c>
      <c r="M45" s="53" t="n">
        <f aca="false">ABS((H45-$A45)/$A45)</f>
        <v>0.0050986484018264</v>
      </c>
      <c r="N45" s="53" t="n">
        <f aca="false">ABS((I45-$A45)/$A45)</f>
        <v>0.184960624885844</v>
      </c>
      <c r="O45" s="53" t="n">
        <f aca="false">ABS((J45-$A45)/$A45)</f>
        <v>0.370479908675811</v>
      </c>
      <c r="P45" s="53" t="n">
        <f aca="false">ABS((K45-$A45)/$A45)</f>
        <v>0.181564494863012</v>
      </c>
    </row>
    <row r="46" customFormat="false" ht="13.8" hidden="false" customHeight="false" outlineLevel="0" collapsed="false">
      <c r="A46" s="1" t="n">
        <v>58.4</v>
      </c>
      <c r="B46" s="59" t="n">
        <v>1535</v>
      </c>
      <c r="C46" s="59" t="n">
        <v>1341</v>
      </c>
      <c r="D46" s="59" t="n">
        <v>2091</v>
      </c>
      <c r="E46" s="59" t="n">
        <v>2201</v>
      </c>
      <c r="F46" s="59" t="n">
        <v>2095</v>
      </c>
      <c r="G46" s="54" t="n">
        <f aca="false">B46*B46*$R$3+B46*$S$3+$T$3</f>
        <v>60.312374</v>
      </c>
      <c r="H46" s="54" t="n">
        <f aca="false">C46*C46*$R$5+C46*$S$5+$T$5</f>
        <v>63.2719216</v>
      </c>
      <c r="I46" s="54" t="n">
        <f aca="false">D46*D46*$R$6+D46*$S$6+$T$6</f>
        <v>71.39744926</v>
      </c>
      <c r="J46" s="54" t="n">
        <f aca="false">E46*E46*$R$4+E46*$S$4+$T$4</f>
        <v>44.8444099999997</v>
      </c>
      <c r="K46" s="54" t="n">
        <f aca="false">F46*F46*$R$7+F46*$S$7+$T$7</f>
        <v>80.9735062499999</v>
      </c>
      <c r="L46" s="53" t="n">
        <f aca="false">ABS((G46-$A46)/$A46)</f>
        <v>0.0327461301369859</v>
      </c>
      <c r="M46" s="53" t="n">
        <f aca="false">ABS((H46-$A46)/$A46)</f>
        <v>0.0834233150684939</v>
      </c>
      <c r="N46" s="53" t="n">
        <f aca="false">ABS((I46-$A46)/$A46)</f>
        <v>0.222559062671233</v>
      </c>
      <c r="O46" s="53" t="n">
        <f aca="false">ABS((J46-$A46)/$A46)</f>
        <v>0.232116267123293</v>
      </c>
      <c r="P46" s="53" t="n">
        <f aca="false">ABS((K46-$A46)/$A46)</f>
        <v>0.386532641267122</v>
      </c>
    </row>
    <row r="47" customFormat="false" ht="13.8" hidden="false" customHeight="false" outlineLevel="0" collapsed="false">
      <c r="A47" s="1" t="n">
        <v>87.4</v>
      </c>
      <c r="B47" s="59" t="n">
        <v>1271</v>
      </c>
      <c r="C47" s="59" t="n">
        <v>1201</v>
      </c>
      <c r="D47" s="59" t="n">
        <v>2094</v>
      </c>
      <c r="E47" s="59" t="n">
        <v>2167</v>
      </c>
      <c r="F47" s="59" t="n">
        <v>2123</v>
      </c>
      <c r="G47" s="54" t="n">
        <f aca="false">B47*B47*$R$3+B47*$S$3+$T$3</f>
        <v>87.60199064</v>
      </c>
      <c r="H47" s="54" t="n">
        <f aca="false">C47*C47*$R$5+C47*$S$5+$T$5</f>
        <v>86.2359536000001</v>
      </c>
      <c r="I47" s="54" t="n">
        <f aca="false">D47*D47*$R$6+D47*$S$6+$T$6</f>
        <v>70.75845856</v>
      </c>
      <c r="J47" s="54" t="n">
        <f aca="false">E47*E47*$R$4+E47*$S$4+$T$4</f>
        <v>54.8308899999988</v>
      </c>
      <c r="K47" s="54" t="n">
        <f aca="false">F47*F47*$R$7+F47*$S$7+$T$7</f>
        <v>70.2168722500001</v>
      </c>
      <c r="L47" s="53" t="n">
        <f aca="false">ABS((G47-$A47)/$A47)</f>
        <v>0.0023111057208237</v>
      </c>
      <c r="M47" s="53" t="n">
        <f aca="false">ABS((H47-$A47)/$A47)</f>
        <v>0.0133186086956514</v>
      </c>
      <c r="N47" s="53" t="n">
        <f aca="false">ABS((I47-$A47)/$A47)</f>
        <v>0.190406652631579</v>
      </c>
      <c r="O47" s="53" t="n">
        <f aca="false">ABS((J47-$A47)/$A47)</f>
        <v>0.372644279176215</v>
      </c>
      <c r="P47" s="53" t="n">
        <f aca="false">ABS((K47-$A47)/$A47)</f>
        <v>0.196603292334096</v>
      </c>
    </row>
    <row r="48" customFormat="false" ht="13.8" hidden="false" customHeight="false" outlineLevel="0" collapsed="false">
      <c r="A48" s="1" t="n">
        <v>87.6</v>
      </c>
      <c r="B48" s="59" t="n">
        <v>1276</v>
      </c>
      <c r="C48" s="59" t="n">
        <v>1195</v>
      </c>
      <c r="D48" s="59" t="n">
        <v>2095</v>
      </c>
      <c r="E48" s="59" t="n">
        <v>2170</v>
      </c>
      <c r="F48" s="59" t="n">
        <v>2119</v>
      </c>
      <c r="G48" s="54" t="n">
        <f aca="false">B48*B48*$R$3+B48*$S$3+$T$3</f>
        <v>87.04235504</v>
      </c>
      <c r="H48" s="54" t="n">
        <f aca="false">C48*C48*$R$5+C48*$S$5+$T$5</f>
        <v>87.31964</v>
      </c>
      <c r="I48" s="54" t="n">
        <f aca="false">D48*D48*$R$6+D48*$S$6+$T$6</f>
        <v>70.5460114999999</v>
      </c>
      <c r="J48" s="54" t="n">
        <f aca="false">E48*E48*$R$4+E48*$S$4+$T$4</f>
        <v>53.8929999999991</v>
      </c>
      <c r="K48" s="54" t="n">
        <f aca="false">F48*F48*$R$7+F48*$S$7+$T$7</f>
        <v>71.6949502500002</v>
      </c>
      <c r="L48" s="53" t="n">
        <f aca="false">ABS((G48-$A48)/$A48)</f>
        <v>0.00636581004566215</v>
      </c>
      <c r="M48" s="53" t="n">
        <f aca="false">ABS((H48-$A48)/$A48)</f>
        <v>0.00320045662100459</v>
      </c>
      <c r="N48" s="53" t="n">
        <f aca="false">ABS((I48-$A48)/$A48)</f>
        <v>0.194680234018267</v>
      </c>
      <c r="O48" s="53" t="n">
        <f aca="false">ABS((J48-$A48)/$A48)</f>
        <v>0.384783105022841</v>
      </c>
      <c r="P48" s="53" t="n">
        <f aca="false">ABS((K48-$A48)/$A48)</f>
        <v>0.181564494863012</v>
      </c>
    </row>
    <row r="49" customFormat="false" ht="13.8" hidden="false" customHeight="false" outlineLevel="0" collapsed="false">
      <c r="A49" s="1" t="n">
        <v>87.6</v>
      </c>
      <c r="B49" s="59" t="n">
        <v>1266</v>
      </c>
      <c r="C49" s="59" t="n">
        <v>1189</v>
      </c>
      <c r="D49" s="59" t="n">
        <v>2096</v>
      </c>
      <c r="E49" s="59" t="n">
        <v>2171</v>
      </c>
      <c r="F49" s="59" t="n">
        <v>2117</v>
      </c>
      <c r="G49" s="54" t="n">
        <f aca="false">B49*B49*$R$3+B49*$S$3+$T$3</f>
        <v>88.16327824</v>
      </c>
      <c r="H49" s="54" t="n">
        <f aca="false">C49*C49*$R$5+C49*$S$5+$T$5</f>
        <v>88.4115056000001</v>
      </c>
      <c r="I49" s="54" t="n">
        <f aca="false">D49*D49*$R$6+D49*$S$6+$T$6</f>
        <v>70.33383936</v>
      </c>
      <c r="J49" s="54" t="n">
        <f aca="false">E49*E49*$R$4+E49*$S$4+$T$4</f>
        <v>53.5828099999999</v>
      </c>
      <c r="K49" s="54" t="n">
        <f aca="false">F49*F49*$R$7+F49*$S$7+$T$7</f>
        <v>72.44131225</v>
      </c>
      <c r="L49" s="53" t="n">
        <f aca="false">ABS((G49-$A49)/$A49)</f>
        <v>0.00643011689497704</v>
      </c>
      <c r="M49" s="53" t="n">
        <f aca="false">ABS((H49-$A49)/$A49)</f>
        <v>0.00926376255707832</v>
      </c>
      <c r="N49" s="53" t="n">
        <f aca="false">ABS((I49-$A49)/$A49)</f>
        <v>0.197102290410959</v>
      </c>
      <c r="O49" s="53" t="n">
        <f aca="false">ABS((J49-$A49)/$A49)</f>
        <v>0.388324086757992</v>
      </c>
      <c r="P49" s="53" t="n">
        <f aca="false">ABS((K49-$A49)/$A49)</f>
        <v>0.173044380707762</v>
      </c>
    </row>
    <row r="50" customFormat="false" ht="13.8" hidden="false" customHeight="false" outlineLevel="0" collapsed="false">
      <c r="A50" s="1" t="n">
        <v>87.4</v>
      </c>
      <c r="B50" s="59" t="n">
        <v>1264</v>
      </c>
      <c r="C50" s="59" t="n">
        <v>1198</v>
      </c>
      <c r="D50" s="59" t="n">
        <v>2096</v>
      </c>
      <c r="E50" s="59" t="n">
        <v>2173</v>
      </c>
      <c r="F50" s="59" t="n">
        <v>2125</v>
      </c>
      <c r="G50" s="54" t="n">
        <f aca="false">B50*B50*$R$3+B50*$S$3+$T$3</f>
        <v>88.38825584</v>
      </c>
      <c r="H50" s="54" t="n">
        <f aca="false">C50*C50*$R$5+C50*$S$5+$T$5</f>
        <v>86.7767744</v>
      </c>
      <c r="I50" s="54" t="n">
        <f aca="false">D50*D50*$R$6+D50*$S$6+$T$6</f>
        <v>70.33383936</v>
      </c>
      <c r="J50" s="54" t="n">
        <f aca="false">E50*E50*$R$4+E50*$S$4+$T$4</f>
        <v>52.9660899999999</v>
      </c>
      <c r="K50" s="54" t="n">
        <f aca="false">F50*F50*$R$7+F50*$S$7+$T$7</f>
        <v>69.4851562499998</v>
      </c>
      <c r="L50" s="53" t="n">
        <f aca="false">ABS((G50-$A50)/$A50)</f>
        <v>0.0113072750572078</v>
      </c>
      <c r="M50" s="53" t="n">
        <f aca="false">ABS((H50-$A50)/$A50)</f>
        <v>0.007130727688787</v>
      </c>
      <c r="N50" s="53" t="n">
        <f aca="false">ABS((I50-$A50)/$A50)</f>
        <v>0.195264995881007</v>
      </c>
      <c r="O50" s="53" t="n">
        <f aca="false">ABS((J50-$A50)/$A50)</f>
        <v>0.393980663615562</v>
      </c>
      <c r="P50" s="53" t="n">
        <f aca="false">ABS((K50-$A50)/$A50)</f>
        <v>0.204975328947371</v>
      </c>
    </row>
    <row r="51" customFormat="false" ht="13.8" hidden="false" customHeight="false" outlineLevel="0" collapsed="false">
      <c r="A51" s="1" t="n">
        <v>87.4</v>
      </c>
      <c r="B51" s="59" t="n">
        <v>1255</v>
      </c>
      <c r="C51" s="59" t="n">
        <v>1206</v>
      </c>
      <c r="D51" s="59" t="n">
        <v>2096</v>
      </c>
      <c r="E51" s="59" t="n">
        <v>2175</v>
      </c>
      <c r="F51" s="59" t="n">
        <v>2128</v>
      </c>
      <c r="G51" s="54" t="n">
        <f aca="false">B51*B51*$R$3+B51*$S$3+$T$3</f>
        <v>89.403926</v>
      </c>
      <c r="H51" s="54" t="n">
        <f aca="false">C51*C51*$R$5+C51*$S$5+$T$5</f>
        <v>85.3391296000001</v>
      </c>
      <c r="I51" s="54" t="n">
        <f aca="false">D51*D51*$R$6+D51*$S$6+$T$6</f>
        <v>70.33383936</v>
      </c>
      <c r="J51" s="54" t="n">
        <f aca="false">E51*E51*$R$4+E51*$S$4+$T$4</f>
        <v>52.3542499999999</v>
      </c>
      <c r="K51" s="54" t="n">
        <f aca="false">F51*F51*$R$7+F51*$S$7+$T$7</f>
        <v>68.3967359999997</v>
      </c>
      <c r="L51" s="53" t="n">
        <f aca="false">ABS((G51-$A51)/$A51)</f>
        <v>0.0229282151029746</v>
      </c>
      <c r="M51" s="53" t="n">
        <f aca="false">ABS((H51-$A51)/$A51)</f>
        <v>0.0235797528604109</v>
      </c>
      <c r="N51" s="53" t="n">
        <f aca="false">ABS((I51-$A51)/$A51)</f>
        <v>0.195264995881007</v>
      </c>
      <c r="O51" s="53" t="n">
        <f aca="false">ABS((J51-$A51)/$A51)</f>
        <v>0.400981121281466</v>
      </c>
      <c r="P51" s="53" t="n">
        <f aca="false">ABS((K51-$A51)/$A51)</f>
        <v>0.217428649885587</v>
      </c>
    </row>
    <row r="52" customFormat="false" ht="13.8" hidden="false" customHeight="false" outlineLevel="0" collapsed="false">
      <c r="A52" s="1" t="n">
        <v>58.4</v>
      </c>
      <c r="B52" s="59" t="n">
        <v>1535</v>
      </c>
      <c r="C52" s="59" t="n">
        <v>1374</v>
      </c>
      <c r="D52" s="59" t="n">
        <v>2097</v>
      </c>
      <c r="E52" s="59" t="n">
        <v>2206</v>
      </c>
      <c r="F52" s="59" t="n">
        <v>2109</v>
      </c>
      <c r="G52" s="54" t="n">
        <f aca="false">B52*B52*$R$3+B52*$S$3+$T$3</f>
        <v>60.312374</v>
      </c>
      <c r="H52" s="54" t="n">
        <f aca="false">C52*C52*$R$5+C52*$S$5+$T$5</f>
        <v>58.5075136</v>
      </c>
      <c r="I52" s="54" t="n">
        <f aca="false">D52*D52*$R$6+D52*$S$6+$T$6</f>
        <v>70.1219421400001</v>
      </c>
      <c r="J52" s="54" t="n">
        <f aca="false">E52*E52*$R$4+E52*$S$4+$T$4</f>
        <v>43.4947599999996</v>
      </c>
      <c r="K52" s="54" t="n">
        <f aca="false">F52*F52*$R$7+F52*$S$7+$T$7</f>
        <v>75.4755802499994</v>
      </c>
      <c r="L52" s="53" t="n">
        <f aca="false">ABS((G52-$A52)/$A52)</f>
        <v>0.0327461301369859</v>
      </c>
      <c r="M52" s="53" t="n">
        <f aca="false">ABS((H52-$A52)/$A52)</f>
        <v>0.00184098630137055</v>
      </c>
      <c r="N52" s="53" t="n">
        <f aca="false">ABS((I52-$A52)/$A52)</f>
        <v>0.200718187328769</v>
      </c>
      <c r="O52" s="53" t="n">
        <f aca="false">ABS((J52-$A52)/$A52)</f>
        <v>0.255226712328774</v>
      </c>
      <c r="P52" s="53" t="n">
        <f aca="false">ABS((K52-$A52)/$A52)</f>
        <v>0.292390072773963</v>
      </c>
    </row>
    <row r="53" customFormat="false" ht="13.8" hidden="false" customHeight="false" outlineLevel="0" collapsed="false">
      <c r="A53" s="1" t="n">
        <v>87.4</v>
      </c>
      <c r="B53" s="59" t="n">
        <v>1252</v>
      </c>
      <c r="C53" s="59" t="n">
        <v>1168</v>
      </c>
      <c r="D53" s="59" t="n">
        <v>2099</v>
      </c>
      <c r="E53" s="59" t="n">
        <v>2170</v>
      </c>
      <c r="F53" s="59" t="n">
        <v>2128</v>
      </c>
      <c r="G53" s="54" t="n">
        <f aca="false">B53*B53*$R$3+B53*$S$3+$T$3</f>
        <v>89.74367216</v>
      </c>
      <c r="H53" s="54" t="n">
        <f aca="false">C53*C53*$R$5+C53*$S$5+$T$5</f>
        <v>92.2974464</v>
      </c>
      <c r="I53" s="54" t="n">
        <f aca="false">D53*D53*$R$6+D53*$S$6+$T$6</f>
        <v>69.6989724600001</v>
      </c>
      <c r="J53" s="54" t="n">
        <f aca="false">E53*E53*$R$4+E53*$S$4+$T$4</f>
        <v>53.8929999999991</v>
      </c>
      <c r="K53" s="54" t="n">
        <f aca="false">F53*F53*$R$7+F53*$S$7+$T$7</f>
        <v>68.3967359999997</v>
      </c>
      <c r="L53" s="53" t="n">
        <f aca="false">ABS((G53-$A53)/$A53)</f>
        <v>0.0268154709382146</v>
      </c>
      <c r="M53" s="53" t="n">
        <f aca="false">ABS((H53-$A53)/$A53)</f>
        <v>0.0560348558352404</v>
      </c>
      <c r="N53" s="53" t="n">
        <f aca="false">ABS((I53-$A53)/$A53)</f>
        <v>0.202528919221967</v>
      </c>
      <c r="O53" s="53" t="n">
        <f aca="false">ABS((J53-$A53)/$A53)</f>
        <v>0.3833752860412</v>
      </c>
      <c r="P53" s="53" t="n">
        <f aca="false">ABS((K53-$A53)/$A53)</f>
        <v>0.217428649885587</v>
      </c>
    </row>
    <row r="54" customFormat="false" ht="13.8" hidden="false" customHeight="false" outlineLevel="0" collapsed="false">
      <c r="A54" s="1" t="n">
        <v>87.6</v>
      </c>
      <c r="B54" s="59" t="n">
        <v>1273</v>
      </c>
      <c r="C54" s="59" t="n">
        <v>1199</v>
      </c>
      <c r="D54" s="59" t="n">
        <v>2100</v>
      </c>
      <c r="E54" s="59" t="n">
        <v>2174</v>
      </c>
      <c r="F54" s="59" t="n">
        <v>2130</v>
      </c>
      <c r="G54" s="54" t="n">
        <f aca="false">B54*B54*$R$3+B54*$S$3+$T$3</f>
        <v>87.37793816</v>
      </c>
      <c r="H54" s="54" t="n">
        <f aca="false">C54*C54*$R$5+C54*$S$5+$T$5</f>
        <v>86.5962736</v>
      </c>
      <c r="I54" s="54" t="n">
        <f aca="false">D54*D54*$R$6+D54*$S$6+$T$6</f>
        <v>69.4879000000001</v>
      </c>
      <c r="J54" s="54" t="n">
        <f aca="false">E54*E54*$R$4+E54*$S$4+$T$4</f>
        <v>52.6595599999996</v>
      </c>
      <c r="K54" s="54" t="n">
        <f aca="false">F54*F54*$R$7+F54*$S$7+$T$7</f>
        <v>67.6772249999999</v>
      </c>
      <c r="L54" s="53" t="n">
        <f aca="false">ABS((G54-$A54)/$A54)</f>
        <v>0.00253495251141563</v>
      </c>
      <c r="M54" s="53" t="n">
        <f aca="false">ABS((H54-$A54)/$A54)</f>
        <v>0.0114580639269404</v>
      </c>
      <c r="N54" s="53" t="n">
        <f aca="false">ABS((I54-$A54)/$A54)</f>
        <v>0.20675913242009</v>
      </c>
      <c r="O54" s="53" t="n">
        <f aca="false">ABS((J54-$A54)/$A54)</f>
        <v>0.398863470319639</v>
      </c>
      <c r="P54" s="53" t="n">
        <f aca="false">ABS((K54-$A54)/$A54)</f>
        <v>0.227428938356165</v>
      </c>
    </row>
    <row r="55" customFormat="false" ht="13.8" hidden="false" customHeight="false" outlineLevel="0" collapsed="false">
      <c r="A55" s="1" t="n">
        <v>58.4</v>
      </c>
      <c r="B55" s="59" t="n">
        <v>1555</v>
      </c>
      <c r="C55" s="59" t="n">
        <v>1366</v>
      </c>
      <c r="D55" s="59" t="n">
        <v>2100</v>
      </c>
      <c r="E55" s="59" t="n">
        <v>2205</v>
      </c>
      <c r="F55" s="59" t="n">
        <v>2110</v>
      </c>
      <c r="G55" s="54" t="n">
        <f aca="false">B55*B55*$R$3+B55*$S$3+$T$3</f>
        <v>58.432646</v>
      </c>
      <c r="H55" s="54" t="n">
        <f aca="false">C55*C55*$R$5+C55*$S$5+$T$5</f>
        <v>59.6398015999999</v>
      </c>
      <c r="I55" s="54" t="n">
        <f aca="false">D55*D55*$R$6+D55*$S$6+$T$6</f>
        <v>69.4879000000001</v>
      </c>
      <c r="J55" s="54" t="n">
        <f aca="false">E55*E55*$R$4+E55*$S$4+$T$4</f>
        <v>43.7622499999998</v>
      </c>
      <c r="K55" s="54" t="n">
        <f aca="false">F55*F55*$R$7+F55*$S$7+$T$7</f>
        <v>75.0920249999995</v>
      </c>
      <c r="L55" s="53" t="n">
        <f aca="false">ABS((G55-$A55)/$A55)</f>
        <v>0.000559006849314699</v>
      </c>
      <c r="M55" s="53" t="n">
        <f aca="false">ABS((H55-$A55)/$A55)</f>
        <v>0.0212294794520538</v>
      </c>
      <c r="N55" s="53" t="n">
        <f aca="false">ABS((I55-$A55)/$A55)</f>
        <v>0.189861301369864</v>
      </c>
      <c r="O55" s="53" t="n">
        <f aca="false">ABS((J55-$A55)/$A55)</f>
        <v>0.250646404109593</v>
      </c>
      <c r="P55" s="53" t="n">
        <f aca="false">ABS((K55-$A55)/$A55)</f>
        <v>0.285822345890402</v>
      </c>
    </row>
    <row r="56" customFormat="false" ht="13.8" hidden="false" customHeight="false" outlineLevel="0" collapsed="false">
      <c r="A56" s="1" t="n">
        <v>87.6</v>
      </c>
      <c r="B56" s="59" t="n">
        <v>1274</v>
      </c>
      <c r="C56" s="59" t="n">
        <v>1195</v>
      </c>
      <c r="D56" s="59" t="n">
        <v>2101</v>
      </c>
      <c r="E56" s="59" t="n">
        <v>2172</v>
      </c>
      <c r="F56" s="59" t="n">
        <v>2129</v>
      </c>
      <c r="G56" s="54" t="n">
        <f aca="false">B56*B56*$R$3+B56*$S$3+$T$3</f>
        <v>87.26601104</v>
      </c>
      <c r="H56" s="54" t="n">
        <f aca="false">C56*C56*$R$5+C56*$S$5+$T$5</f>
        <v>87.31964</v>
      </c>
      <c r="I56" s="54" t="n">
        <f aca="false">D56*D56*$R$6+D56*$S$6+$T$6</f>
        <v>69.2771024600002</v>
      </c>
      <c r="J56" s="54" t="n">
        <f aca="false">E56*E56*$R$4+E56*$S$4+$T$4</f>
        <v>53.2738399999998</v>
      </c>
      <c r="K56" s="54" t="n">
        <f aca="false">F56*F56*$R$7+F56*$S$7+$T$7</f>
        <v>68.0363702499999</v>
      </c>
      <c r="L56" s="53" t="n">
        <f aca="false">ABS((G56-$A56)/$A56)</f>
        <v>0.00381265936073091</v>
      </c>
      <c r="M56" s="53" t="n">
        <f aca="false">ABS((H56-$A56)/$A56)</f>
        <v>0.00320045662100459</v>
      </c>
      <c r="N56" s="53" t="n">
        <f aca="false">ABS((I56-$A56)/$A56)</f>
        <v>0.209165497031962</v>
      </c>
      <c r="O56" s="53" t="n">
        <f aca="false">ABS((J56-$A56)/$A56)</f>
        <v>0.391851141552513</v>
      </c>
      <c r="P56" s="53" t="n">
        <f aca="false">ABS((K56-$A56)/$A56)</f>
        <v>0.223329106735161</v>
      </c>
    </row>
    <row r="57" customFormat="false" ht="13.8" hidden="false" customHeight="false" outlineLevel="0" collapsed="false">
      <c r="A57" s="1" t="n">
        <v>58.4</v>
      </c>
      <c r="B57" s="59" t="n">
        <v>1586</v>
      </c>
      <c r="C57" s="59" t="n">
        <v>1371</v>
      </c>
      <c r="D57" s="59" t="n">
        <v>2102</v>
      </c>
      <c r="E57" s="59" t="n">
        <v>2231</v>
      </c>
      <c r="F57" s="59" t="n">
        <v>2114</v>
      </c>
      <c r="G57" s="54" t="n">
        <f aca="false">B57*B57*$R$3+B57*$S$3+$T$3</f>
        <v>55.57130384</v>
      </c>
      <c r="H57" s="54" t="n">
        <f aca="false">C57*C57*$R$5+C57*$S$5+$T$5</f>
        <v>58.9304176000001</v>
      </c>
      <c r="I57" s="54" t="n">
        <f aca="false">D57*D57*$R$6+D57*$S$6+$T$6</f>
        <v>69.06657984</v>
      </c>
      <c r="J57" s="54" t="n">
        <f aca="false">E57*E57*$R$4+E57*$S$4+$T$4</f>
        <v>37.2040099999995</v>
      </c>
      <c r="K57" s="54" t="n">
        <f aca="false">F57*F57*$R$7+F57*$S$7+$T$7</f>
        <v>73.5700089999991</v>
      </c>
      <c r="L57" s="53" t="n">
        <f aca="false">ABS((G57-$A57)/$A57)</f>
        <v>0.048436578082192</v>
      </c>
      <c r="M57" s="53" t="n">
        <f aca="false">ABS((H57-$A57)/$A57)</f>
        <v>0.0090824931506859</v>
      </c>
      <c r="N57" s="53" t="n">
        <f aca="false">ABS((I57-$A57)/$A57)</f>
        <v>0.182646915068494</v>
      </c>
      <c r="O57" s="53" t="n">
        <f aca="false">ABS((J57-$A57)/$A57)</f>
        <v>0.362945034246584</v>
      </c>
      <c r="P57" s="53" t="n">
        <f aca="false">ABS((K57-$A57)/$A57)</f>
        <v>0.259760428082177</v>
      </c>
    </row>
    <row r="58" customFormat="false" ht="13.8" hidden="false" customHeight="false" outlineLevel="0" collapsed="false">
      <c r="A58" s="1" t="n">
        <v>58.4</v>
      </c>
      <c r="B58" s="59" t="n">
        <v>1535</v>
      </c>
      <c r="C58" s="59" t="n">
        <v>1367</v>
      </c>
      <c r="D58" s="59" t="n">
        <v>2108</v>
      </c>
      <c r="E58" s="59" t="n">
        <v>2214</v>
      </c>
      <c r="F58" s="59" t="n">
        <v>2114</v>
      </c>
      <c r="G58" s="54" t="n">
        <f aca="false">B58*B58*$R$3+B58*$S$3+$T$3</f>
        <v>60.312374</v>
      </c>
      <c r="H58" s="54" t="n">
        <f aca="false">C58*C58*$R$5+C58*$S$5+$T$5</f>
        <v>59.4974704000001</v>
      </c>
      <c r="I58" s="54" t="n">
        <f aca="false">D58*D58*$R$6+D58*$S$6+$T$6</f>
        <v>67.8092174399999</v>
      </c>
      <c r="J58" s="54" t="n">
        <f aca="false">E58*E58*$R$4+E58*$S$4+$T$4</f>
        <v>41.3987599999991</v>
      </c>
      <c r="K58" s="54" t="n">
        <f aca="false">F58*F58*$R$7+F58*$S$7+$T$7</f>
        <v>73.5700089999991</v>
      </c>
      <c r="L58" s="53" t="n">
        <f aca="false">ABS((G58-$A58)/$A58)</f>
        <v>0.0327461301369859</v>
      </c>
      <c r="M58" s="53" t="n">
        <f aca="false">ABS((H58-$A58)/$A58)</f>
        <v>0.018792301369864</v>
      </c>
      <c r="N58" s="53" t="n">
        <f aca="false">ABS((I58-$A58)/$A58)</f>
        <v>0.161116736986299</v>
      </c>
      <c r="O58" s="53" t="n">
        <f aca="false">ABS((J58-$A58)/$A58)</f>
        <v>0.291117123287686</v>
      </c>
      <c r="P58" s="53" t="n">
        <f aca="false">ABS((K58-$A58)/$A58)</f>
        <v>0.259760428082177</v>
      </c>
    </row>
    <row r="59" customFormat="false" ht="13.8" hidden="false" customHeight="false" outlineLevel="0" collapsed="false">
      <c r="A59" s="1" t="n">
        <v>58.4</v>
      </c>
      <c r="B59" s="59" t="n">
        <v>1613</v>
      </c>
      <c r="C59" s="59" t="n">
        <v>1363</v>
      </c>
      <c r="D59" s="59" t="n">
        <v>2109</v>
      </c>
      <c r="E59" s="59" t="n">
        <v>2204</v>
      </c>
      <c r="F59" s="59" t="n">
        <v>2122</v>
      </c>
      <c r="G59" s="54" t="n">
        <f aca="false">B59*B59*$R$3+B59*$S$3+$T$3</f>
        <v>53.13090776</v>
      </c>
      <c r="H59" s="54" t="n">
        <f aca="false">C59*C59*$R$5+C59*$S$5+$T$5</f>
        <v>60.0681584</v>
      </c>
      <c r="I59" s="54" t="n">
        <f aca="false">D59*D59*$R$6+D59*$S$6+$T$6</f>
        <v>67.6006192600003</v>
      </c>
      <c r="J59" s="54" t="n">
        <f aca="false">E59*E59*$R$4+E59*$S$4+$T$4</f>
        <v>44.0309599999996</v>
      </c>
      <c r="K59" s="54" t="n">
        <f aca="false">F59*F59*$R$7+F59*$S$7+$T$7</f>
        <v>70.5845610000001</v>
      </c>
      <c r="L59" s="53" t="n">
        <f aca="false">ABS((G59-$A59)/$A59)</f>
        <v>0.0902241821917811</v>
      </c>
      <c r="M59" s="53" t="n">
        <f aca="false">ABS((H59-$A59)/$A59)</f>
        <v>0.0285643561643839</v>
      </c>
      <c r="N59" s="53" t="n">
        <f aca="false">ABS((I59-$A59)/$A59)</f>
        <v>0.15754485034247</v>
      </c>
      <c r="O59" s="53" t="n">
        <f aca="false">ABS((J59-$A59)/$A59)</f>
        <v>0.246045205479459</v>
      </c>
      <c r="P59" s="53" t="n">
        <f aca="false">ABS((K59-$A59)/$A59)</f>
        <v>0.208639743150687</v>
      </c>
    </row>
    <row r="60" customFormat="false" ht="13.8" hidden="false" customHeight="false" outlineLevel="0" collapsed="false">
      <c r="A60" s="1" t="n">
        <v>58.4</v>
      </c>
      <c r="B60" s="59" t="n">
        <v>1562</v>
      </c>
      <c r="C60" s="59" t="n">
        <v>1357</v>
      </c>
      <c r="D60" s="59" t="n">
        <v>2112</v>
      </c>
      <c r="E60" s="59" t="n">
        <v>2208</v>
      </c>
      <c r="F60" s="59" t="n">
        <v>2117</v>
      </c>
      <c r="G60" s="54" t="n">
        <f aca="false">B60*B60*$R$3+B60*$S$3+$T$3</f>
        <v>57.78098576</v>
      </c>
      <c r="H60" s="54" t="n">
        <f aca="false">C60*C60*$R$5+C60*$S$5+$T$5</f>
        <v>60.9310064000001</v>
      </c>
      <c r="I60" s="54" t="n">
        <f aca="false">D60*D60*$R$6+D60*$S$6+$T$6</f>
        <v>66.9764742399998</v>
      </c>
      <c r="J60" s="54" t="n">
        <f aca="false">E60*E60*$R$4+E60*$S$4+$T$4</f>
        <v>42.9634399999995</v>
      </c>
      <c r="K60" s="54" t="n">
        <f aca="false">F60*F60*$R$7+F60*$S$7+$T$7</f>
        <v>72.44131225</v>
      </c>
      <c r="L60" s="53" t="n">
        <f aca="false">ABS((G60-$A60)/$A60)</f>
        <v>0.0105995589041102</v>
      </c>
      <c r="M60" s="53" t="n">
        <f aca="false">ABS((H60-$A60)/$A60)</f>
        <v>0.0433391506849335</v>
      </c>
      <c r="N60" s="53" t="n">
        <f aca="false">ABS((I60-$A60)/$A60)</f>
        <v>0.146857435616435</v>
      </c>
      <c r="O60" s="53" t="n">
        <f aca="false">ABS((J60-$A60)/$A60)</f>
        <v>0.264324657534255</v>
      </c>
      <c r="P60" s="53" t="n">
        <f aca="false">ABS((K60-$A60)/$A60)</f>
        <v>0.240433428938356</v>
      </c>
    </row>
    <row r="61" customFormat="false" ht="13.8" hidden="false" customHeight="false" outlineLevel="0" collapsed="false">
      <c r="A61" s="1" t="n">
        <v>58.4</v>
      </c>
      <c r="B61" s="59" t="n">
        <v>1535</v>
      </c>
      <c r="C61" s="59" t="n">
        <v>1362</v>
      </c>
      <c r="D61" s="59" t="n">
        <v>2113</v>
      </c>
      <c r="E61" s="59" t="n">
        <v>2215</v>
      </c>
      <c r="F61" s="59" t="n">
        <v>2115</v>
      </c>
      <c r="G61" s="54" t="n">
        <f aca="false">B61*B61*$R$3+B61*$S$3+$T$3</f>
        <v>60.312374</v>
      </c>
      <c r="H61" s="54" t="n">
        <f aca="false">C61*C61*$R$5+C61*$S$5+$T$5</f>
        <v>60.2113984000001</v>
      </c>
      <c r="I61" s="54" t="n">
        <f aca="false">D61*D61*$R$6+D61*$S$6+$T$6</f>
        <v>66.7689757399999</v>
      </c>
      <c r="J61" s="54" t="n">
        <f aca="false">E61*E61*$R$4+E61*$S$4+$T$4</f>
        <v>41.1422499999994</v>
      </c>
      <c r="K61" s="54" t="n">
        <f aca="false">F61*F61*$R$7+F61*$S$7+$T$7</f>
        <v>73.1925562499991</v>
      </c>
      <c r="L61" s="53" t="n">
        <f aca="false">ABS((G61-$A61)/$A61)</f>
        <v>0.0327461301369859</v>
      </c>
      <c r="M61" s="53" t="n">
        <f aca="false">ABS((H61-$A61)/$A61)</f>
        <v>0.0310170958904121</v>
      </c>
      <c r="N61" s="53" t="n">
        <f aca="false">ABS((I61-$A61)/$A61)</f>
        <v>0.143304379109587</v>
      </c>
      <c r="O61" s="53" t="n">
        <f aca="false">ABS((J61-$A61)/$A61)</f>
        <v>0.295509417808229</v>
      </c>
      <c r="P61" s="53" t="n">
        <f aca="false">ABS((K61-$A61)/$A61)</f>
        <v>0.253297196061629</v>
      </c>
    </row>
    <row r="62" customFormat="false" ht="13.8" hidden="false" customHeight="false" outlineLevel="0" collapsed="false">
      <c r="A62" s="1" t="n">
        <v>58.4</v>
      </c>
      <c r="B62" s="59" t="n">
        <v>1535</v>
      </c>
      <c r="C62" s="59" t="n">
        <v>1364</v>
      </c>
      <c r="D62" s="59" t="n">
        <v>2114</v>
      </c>
      <c r="E62" s="59" t="n">
        <v>2218</v>
      </c>
      <c r="F62" s="59" t="n">
        <v>2118</v>
      </c>
      <c r="G62" s="54" t="n">
        <f aca="false">B62*B62*$R$3+B62*$S$3+$T$3</f>
        <v>60.312374</v>
      </c>
      <c r="H62" s="54" t="n">
        <f aca="false">C62*C62*$R$5+C62*$S$5+$T$5</f>
        <v>59.9251456000001</v>
      </c>
      <c r="I62" s="54" t="n">
        <f aca="false">D62*D62*$R$6+D62*$S$6+$T$6</f>
        <v>66.5617521599997</v>
      </c>
      <c r="J62" s="54" t="n">
        <f aca="false">E62*E62*$R$4+E62*$S$4+$T$4</f>
        <v>40.3800399999991</v>
      </c>
      <c r="K62" s="54" t="n">
        <f aca="false">F62*F62*$R$7+F62*$S$7+$T$7</f>
        <v>72.0675209999999</v>
      </c>
      <c r="L62" s="53" t="n">
        <f aca="false">ABS((G62-$A62)/$A62)</f>
        <v>0.0327461301369859</v>
      </c>
      <c r="M62" s="53" t="n">
        <f aca="false">ABS((H62-$A62)/$A62)</f>
        <v>0.0261155068493162</v>
      </c>
      <c r="N62" s="53" t="n">
        <f aca="false">ABS((I62-$A62)/$A62)</f>
        <v>0.139756030136982</v>
      </c>
      <c r="O62" s="53" t="n">
        <f aca="false">ABS((J62-$A62)/$A62)</f>
        <v>0.308560958904125</v>
      </c>
      <c r="P62" s="53" t="n">
        <f aca="false">ABS((K62-$A62)/$A62)</f>
        <v>0.234032893835615</v>
      </c>
    </row>
    <row r="63" customFormat="false" ht="13.8" hidden="false" customHeight="false" outlineLevel="0" collapsed="false">
      <c r="A63" s="1" t="n">
        <v>58.4</v>
      </c>
      <c r="B63" s="59" t="n">
        <v>1535</v>
      </c>
      <c r="C63" s="59" t="n">
        <v>1362</v>
      </c>
      <c r="D63" s="59" t="n">
        <v>2119</v>
      </c>
      <c r="E63" s="59" t="n">
        <v>2224</v>
      </c>
      <c r="F63" s="59" t="n">
        <v>2132</v>
      </c>
      <c r="G63" s="54" t="n">
        <f aca="false">B63*B63*$R$3+B63*$S$3+$T$3</f>
        <v>60.312374</v>
      </c>
      <c r="H63" s="54" t="n">
        <f aca="false">C63*C63*$R$5+C63*$S$5+$T$5</f>
        <v>60.2113984000001</v>
      </c>
      <c r="I63" s="54" t="n">
        <f aca="false">D63*D63*$R$6+D63*$S$6+$T$6</f>
        <v>65.52975806</v>
      </c>
      <c r="J63" s="54" t="n">
        <f aca="false">E63*E63*$R$4+E63*$S$4+$T$4</f>
        <v>38.888559999999</v>
      </c>
      <c r="K63" s="54" t="n">
        <f aca="false">F63*F63*$R$7+F63*$S$7+$T$7</f>
        <v>66.9625959999994</v>
      </c>
      <c r="L63" s="53" t="n">
        <f aca="false">ABS((G63-$A63)/$A63)</f>
        <v>0.0327461301369859</v>
      </c>
      <c r="M63" s="53" t="n">
        <f aca="false">ABS((H63-$A63)/$A63)</f>
        <v>0.0310170958904121</v>
      </c>
      <c r="N63" s="53" t="n">
        <f aca="false">ABS((I63-$A63)/$A63)</f>
        <v>0.12208489828767</v>
      </c>
      <c r="O63" s="53" t="n">
        <f aca="false">ABS((J63-$A63)/$A63)</f>
        <v>0.334100000000018</v>
      </c>
      <c r="P63" s="53" t="n">
        <f aca="false">ABS((K63-$A63)/$A63)</f>
        <v>0.146619794520538</v>
      </c>
    </row>
    <row r="64" customFormat="false" ht="13.8" hidden="false" customHeight="false" outlineLevel="0" collapsed="false">
      <c r="A64" s="1" t="n">
        <v>58.4</v>
      </c>
      <c r="B64" s="59" t="n">
        <v>1535</v>
      </c>
      <c r="C64" s="59" t="n">
        <v>1392</v>
      </c>
      <c r="D64" s="59" t="n">
        <v>2119</v>
      </c>
      <c r="E64" s="59" t="n">
        <v>2224</v>
      </c>
      <c r="F64" s="59" t="n">
        <v>2134</v>
      </c>
      <c r="G64" s="54" t="n">
        <f aca="false">B64*B64*$R$3+B64*$S$3+$T$3</f>
        <v>60.312374</v>
      </c>
      <c r="H64" s="54" t="n">
        <f aca="false">C64*C64*$R$5+C64*$S$5+$T$5</f>
        <v>56.0130304000001</v>
      </c>
      <c r="I64" s="54" t="n">
        <f aca="false">D64*D64*$R$6+D64*$S$6+$T$6</f>
        <v>65.52975806</v>
      </c>
      <c r="J64" s="54" t="n">
        <f aca="false">E64*E64*$R$4+E64*$S$4+$T$4</f>
        <v>38.888559999999</v>
      </c>
      <c r="K64" s="54" t="n">
        <f aca="false">F64*F64*$R$7+F64*$S$7+$T$7</f>
        <v>66.2528489999995</v>
      </c>
      <c r="L64" s="53" t="n">
        <f aca="false">ABS((G64-$A64)/$A64)</f>
        <v>0.0327461301369859</v>
      </c>
      <c r="M64" s="53" t="n">
        <f aca="false">ABS((H64-$A64)/$A64)</f>
        <v>0.0408727671232868</v>
      </c>
      <c r="N64" s="53" t="n">
        <f aca="false">ABS((I64-$A64)/$A64)</f>
        <v>0.12208489828767</v>
      </c>
      <c r="O64" s="53" t="n">
        <f aca="false">ABS((J64-$A64)/$A64)</f>
        <v>0.334100000000018</v>
      </c>
      <c r="P64" s="53" t="n">
        <f aca="false">ABS((K64-$A64)/$A64)</f>
        <v>0.134466592465745</v>
      </c>
    </row>
    <row r="65" customFormat="false" ht="13.8" hidden="false" customHeight="false" outlineLevel="0" collapsed="false">
      <c r="A65" s="1" t="n">
        <v>58.4</v>
      </c>
      <c r="B65" s="59" t="n">
        <v>1570</v>
      </c>
      <c r="C65" s="59" t="n">
        <v>1362</v>
      </c>
      <c r="D65" s="59" t="n">
        <v>2121</v>
      </c>
      <c r="E65" s="59" t="n">
        <v>2224</v>
      </c>
      <c r="F65" s="59" t="n">
        <v>2126</v>
      </c>
      <c r="G65" s="54" t="n">
        <f aca="false">B65*B65*$R$3+B65*$S$3+$T$3</f>
        <v>57.040196</v>
      </c>
      <c r="H65" s="54" t="n">
        <f aca="false">C65*C65*$R$5+C65*$S$5+$T$5</f>
        <v>60.2113984000001</v>
      </c>
      <c r="I65" s="54" t="n">
        <f aca="false">D65*D65*$R$6+D65*$S$6+$T$6</f>
        <v>65.11888486</v>
      </c>
      <c r="J65" s="54" t="n">
        <f aca="false">E65*E65*$R$4+E65*$S$4+$T$4</f>
        <v>38.888559999999</v>
      </c>
      <c r="K65" s="54" t="n">
        <f aca="false">F65*F65*$R$7+F65*$S$7+$T$7</f>
        <v>69.1211289999997</v>
      </c>
      <c r="L65" s="53" t="n">
        <f aca="false">ABS((G65-$A65)/$A65)</f>
        <v>0.0232843150684935</v>
      </c>
      <c r="M65" s="53" t="n">
        <f aca="false">ABS((H65-$A65)/$A65)</f>
        <v>0.0310170958904121</v>
      </c>
      <c r="N65" s="53" t="n">
        <f aca="false">ABS((I65-$A65)/$A65)</f>
        <v>0.115049398287671</v>
      </c>
      <c r="O65" s="53" t="n">
        <f aca="false">ABS((J65-$A65)/$A65)</f>
        <v>0.334100000000018</v>
      </c>
      <c r="P65" s="53" t="n">
        <f aca="false">ABS((K65-$A65)/$A65)</f>
        <v>0.183580976027391</v>
      </c>
    </row>
    <row r="66" customFormat="false" ht="13.8" hidden="false" customHeight="false" outlineLevel="0" collapsed="false">
      <c r="A66" s="1" t="n">
        <v>58.4</v>
      </c>
      <c r="B66" s="59" t="n">
        <v>1554</v>
      </c>
      <c r="C66" s="59" t="n">
        <v>1409</v>
      </c>
      <c r="D66" s="59" t="n">
        <v>2121</v>
      </c>
      <c r="E66" s="59" t="n">
        <v>2222</v>
      </c>
      <c r="F66" s="59" t="n">
        <v>2128</v>
      </c>
      <c r="G66" s="54" t="n">
        <f aca="false">B66*B66*$R$3+B66*$S$3+$T$3</f>
        <v>58.52600464</v>
      </c>
      <c r="H66" s="54" t="n">
        <f aca="false">C66*C66*$R$5+C66*$S$5+$T$5</f>
        <v>53.7247216000001</v>
      </c>
      <c r="I66" s="54" t="n">
        <f aca="false">D66*D66*$R$6+D66*$S$6+$T$6</f>
        <v>65.11888486</v>
      </c>
      <c r="J66" s="54" t="n">
        <f aca="false">E66*E66*$R$4+E66*$S$4+$T$4</f>
        <v>39.3808399999989</v>
      </c>
      <c r="K66" s="54" t="n">
        <f aca="false">F66*F66*$R$7+F66*$S$7+$T$7</f>
        <v>68.3967359999997</v>
      </c>
      <c r="L66" s="53" t="n">
        <f aca="false">ABS((G66-$A66)/$A66)</f>
        <v>0.00215761369862961</v>
      </c>
      <c r="M66" s="53" t="n">
        <f aca="false">ABS((H66-$A66)/$A66)</f>
        <v>0.0800561369863002</v>
      </c>
      <c r="N66" s="53" t="n">
        <f aca="false">ABS((I66-$A66)/$A66)</f>
        <v>0.115049398287671</v>
      </c>
      <c r="O66" s="53" t="n">
        <f aca="false">ABS((J66-$A66)/$A66)</f>
        <v>0.325670547945224</v>
      </c>
      <c r="P66" s="53" t="n">
        <f aca="false">ABS((K66-$A66)/$A66)</f>
        <v>0.171176986301365</v>
      </c>
    </row>
    <row r="67" customFormat="false" ht="13.8" hidden="false" customHeight="false" outlineLevel="0" collapsed="false">
      <c r="A67" s="1" t="n">
        <v>58.4</v>
      </c>
      <c r="B67" s="59" t="n">
        <v>1557</v>
      </c>
      <c r="C67" s="59" t="n">
        <v>1363</v>
      </c>
      <c r="D67" s="59" t="n">
        <v>2122</v>
      </c>
      <c r="E67" s="59" t="n">
        <v>2222</v>
      </c>
      <c r="F67" s="59" t="n">
        <v>2128</v>
      </c>
      <c r="G67" s="54" t="n">
        <f aca="false">B67*B67*$R$3+B67*$S$3+$T$3</f>
        <v>58.24612696</v>
      </c>
      <c r="H67" s="54" t="n">
        <f aca="false">C67*C67*$R$5+C67*$S$5+$T$5</f>
        <v>60.0681584</v>
      </c>
      <c r="I67" s="54" t="n">
        <f aca="false">D67*D67*$R$6+D67*$S$6+$T$6</f>
        <v>64.9138606399999</v>
      </c>
      <c r="J67" s="54" t="n">
        <f aca="false">E67*E67*$R$4+E67*$S$4+$T$4</f>
        <v>39.3808399999989</v>
      </c>
      <c r="K67" s="54" t="n">
        <f aca="false">F67*F67*$R$7+F67*$S$7+$T$7</f>
        <v>68.3967359999997</v>
      </c>
      <c r="L67" s="53" t="n">
        <f aca="false">ABS((G67-$A67)/$A67)</f>
        <v>0.00263481232876762</v>
      </c>
      <c r="M67" s="53" t="n">
        <f aca="false">ABS((H67-$A67)/$A67)</f>
        <v>0.0285643561643839</v>
      </c>
      <c r="N67" s="53" t="n">
        <f aca="false">ABS((I67-$A67)/$A67)</f>
        <v>0.11153870958904</v>
      </c>
      <c r="O67" s="53" t="n">
        <f aca="false">ABS((J67-$A67)/$A67)</f>
        <v>0.325670547945224</v>
      </c>
      <c r="P67" s="53" t="n">
        <f aca="false">ABS((K67-$A67)/$A67)</f>
        <v>0.171176986301365</v>
      </c>
    </row>
    <row r="68" customFormat="false" ht="13.8" hidden="false" customHeight="false" outlineLevel="0" collapsed="false">
      <c r="A68" s="1" t="n">
        <v>58.4</v>
      </c>
      <c r="B68" s="59" t="n">
        <v>1535</v>
      </c>
      <c r="C68" s="59" t="n">
        <v>1365</v>
      </c>
      <c r="D68" s="59" t="n">
        <v>2122</v>
      </c>
      <c r="E68" s="59" t="n">
        <v>2215</v>
      </c>
      <c r="F68" s="59" t="n">
        <v>2126</v>
      </c>
      <c r="G68" s="54" t="n">
        <f aca="false">B68*B68*$R$3+B68*$S$3+$T$3</f>
        <v>60.312374</v>
      </c>
      <c r="H68" s="54" t="n">
        <f aca="false">C68*C68*$R$5+C68*$S$5+$T$5</f>
        <v>59.78236</v>
      </c>
      <c r="I68" s="54" t="n">
        <f aca="false">D68*D68*$R$6+D68*$S$6+$T$6</f>
        <v>64.9138606399999</v>
      </c>
      <c r="J68" s="54" t="n">
        <f aca="false">E68*E68*$R$4+E68*$S$4+$T$4</f>
        <v>41.1422499999994</v>
      </c>
      <c r="K68" s="54" t="n">
        <f aca="false">F68*F68*$R$7+F68*$S$7+$T$7</f>
        <v>69.1211289999997</v>
      </c>
      <c r="L68" s="53" t="n">
        <f aca="false">ABS((G68-$A68)/$A68)</f>
        <v>0.0327461301369859</v>
      </c>
      <c r="M68" s="53" t="n">
        <f aca="false">ABS((H68-$A68)/$A68)</f>
        <v>0.0236705479452062</v>
      </c>
      <c r="N68" s="53" t="n">
        <f aca="false">ABS((I68-$A68)/$A68)</f>
        <v>0.11153870958904</v>
      </c>
      <c r="O68" s="53" t="n">
        <f aca="false">ABS((J68-$A68)/$A68)</f>
        <v>0.295509417808229</v>
      </c>
      <c r="P68" s="53" t="n">
        <f aca="false">ABS((K68-$A68)/$A68)</f>
        <v>0.183580976027391</v>
      </c>
    </row>
    <row r="69" customFormat="false" ht="13.8" hidden="false" customHeight="false" outlineLevel="0" collapsed="false">
      <c r="A69" s="1" t="n">
        <v>58.4</v>
      </c>
      <c r="B69" s="59" t="n">
        <v>1535</v>
      </c>
      <c r="C69" s="59" t="n">
        <v>1362</v>
      </c>
      <c r="D69" s="59" t="n">
        <v>2128</v>
      </c>
      <c r="E69" s="59" t="n">
        <v>2224</v>
      </c>
      <c r="F69" s="59" t="n">
        <v>2134</v>
      </c>
      <c r="G69" s="54" t="n">
        <f aca="false">B69*B69*$R$3+B69*$S$3+$T$3</f>
        <v>60.312374</v>
      </c>
      <c r="H69" s="54" t="n">
        <f aca="false">C69*C69*$R$5+C69*$S$5+$T$5</f>
        <v>60.2113984000001</v>
      </c>
      <c r="I69" s="54" t="n">
        <f aca="false">D69*D69*$R$6+D69*$S$6+$T$6</f>
        <v>63.68948864</v>
      </c>
      <c r="J69" s="54" t="n">
        <f aca="false">E69*E69*$R$4+E69*$S$4+$T$4</f>
        <v>38.888559999999</v>
      </c>
      <c r="K69" s="54" t="n">
        <f aca="false">F69*F69*$R$7+F69*$S$7+$T$7</f>
        <v>66.2528489999995</v>
      </c>
      <c r="L69" s="53" t="n">
        <f aca="false">ABS((G69-$A69)/$A69)</f>
        <v>0.0327461301369859</v>
      </c>
      <c r="M69" s="53" t="n">
        <f aca="false">ABS((H69-$A69)/$A69)</f>
        <v>0.0310170958904121</v>
      </c>
      <c r="N69" s="53" t="n">
        <f aca="false">ABS((I69-$A69)/$A69)</f>
        <v>0.090573435616439</v>
      </c>
      <c r="O69" s="53" t="n">
        <f aca="false">ABS((J69-$A69)/$A69)</f>
        <v>0.334100000000018</v>
      </c>
      <c r="P69" s="53" t="n">
        <f aca="false">ABS((K69-$A69)/$A69)</f>
        <v>0.134466592465745</v>
      </c>
    </row>
    <row r="70" customFormat="false" ht="13.8" hidden="false" customHeight="false" outlineLevel="0" collapsed="false">
      <c r="A70" s="1" t="n">
        <v>58.4</v>
      </c>
      <c r="B70" s="59" t="n">
        <v>1565</v>
      </c>
      <c r="C70" s="59" t="n">
        <v>1362</v>
      </c>
      <c r="D70" s="59" t="n">
        <v>2128</v>
      </c>
      <c r="E70" s="59" t="n">
        <v>2224</v>
      </c>
      <c r="F70" s="59" t="n">
        <v>2137</v>
      </c>
      <c r="G70" s="54" t="n">
        <f aca="false">B70*B70*$R$3+B70*$S$3+$T$3</f>
        <v>57.502694</v>
      </c>
      <c r="H70" s="54" t="n">
        <f aca="false">C70*C70*$R$5+C70*$S$5+$T$5</f>
        <v>60.2113984000001</v>
      </c>
      <c r="I70" s="54" t="n">
        <f aca="false">D70*D70*$R$6+D70*$S$6+$T$6</f>
        <v>63.68948864</v>
      </c>
      <c r="J70" s="54" t="n">
        <f aca="false">E70*E70*$R$4+E70*$S$4+$T$4</f>
        <v>38.888559999999</v>
      </c>
      <c r="K70" s="54" t="n">
        <f aca="false">F70*F70*$R$7+F70*$S$7+$T$7</f>
        <v>65.1973822499995</v>
      </c>
      <c r="L70" s="53" t="n">
        <f aca="false">ABS((G70-$A70)/$A70)</f>
        <v>0.0153648287671239</v>
      </c>
      <c r="M70" s="53" t="n">
        <f aca="false">ABS((H70-$A70)/$A70)</f>
        <v>0.0310170958904121</v>
      </c>
      <c r="N70" s="53" t="n">
        <f aca="false">ABS((I70-$A70)/$A70)</f>
        <v>0.090573435616439</v>
      </c>
      <c r="O70" s="53" t="n">
        <f aca="false">ABS((J70-$A70)/$A70)</f>
        <v>0.334100000000018</v>
      </c>
      <c r="P70" s="53" t="n">
        <f aca="false">ABS((K70-$A70)/$A70)</f>
        <v>0.116393531678073</v>
      </c>
    </row>
    <row r="71" customFormat="false" ht="13.8" hidden="false" customHeight="false" outlineLevel="0" collapsed="false">
      <c r="A71" s="1" t="n">
        <v>58.4</v>
      </c>
      <c r="B71" s="59" t="n">
        <v>1570</v>
      </c>
      <c r="C71" s="59" t="n">
        <v>1361</v>
      </c>
      <c r="D71" s="59" t="n">
        <v>2130</v>
      </c>
      <c r="E71" s="59" t="n">
        <v>2224</v>
      </c>
      <c r="F71" s="59" t="n">
        <v>2134</v>
      </c>
      <c r="G71" s="54" t="n">
        <f aca="false">B71*B71*$R$3+B71*$S$3+$T$3</f>
        <v>57.040196</v>
      </c>
      <c r="H71" s="54" t="n">
        <f aca="false">C71*C71*$R$5+C71*$S$5+$T$5</f>
        <v>60.3548656</v>
      </c>
      <c r="I71" s="54" t="n">
        <f aca="false">D71*D71*$R$6+D71*$S$6+$T$6</f>
        <v>63.2835640000001</v>
      </c>
      <c r="J71" s="54" t="n">
        <f aca="false">E71*E71*$R$4+E71*$S$4+$T$4</f>
        <v>38.888559999999</v>
      </c>
      <c r="K71" s="54" t="n">
        <f aca="false">F71*F71*$R$7+F71*$S$7+$T$7</f>
        <v>66.2528489999995</v>
      </c>
      <c r="L71" s="53" t="n">
        <f aca="false">ABS((G71-$A71)/$A71)</f>
        <v>0.0232843150684935</v>
      </c>
      <c r="M71" s="53" t="n">
        <f aca="false">ABS((H71-$A71)/$A71)</f>
        <v>0.033473726027397</v>
      </c>
      <c r="N71" s="53" t="n">
        <f aca="false">ABS((I71-$A71)/$A71)</f>
        <v>0.0836226712328779</v>
      </c>
      <c r="O71" s="53" t="n">
        <f aca="false">ABS((J71-$A71)/$A71)</f>
        <v>0.334100000000018</v>
      </c>
      <c r="P71" s="53" t="n">
        <f aca="false">ABS((K71-$A71)/$A71)</f>
        <v>0.134466592465745</v>
      </c>
    </row>
    <row r="72" customFormat="false" ht="13.8" hidden="false" customHeight="false" outlineLevel="0" collapsed="false">
      <c r="A72" s="1" t="n">
        <v>58.4</v>
      </c>
      <c r="B72" s="59" t="n">
        <v>1552</v>
      </c>
      <c r="C72" s="59" t="n">
        <v>1361</v>
      </c>
      <c r="D72" s="59" t="n">
        <v>2131</v>
      </c>
      <c r="E72" s="59" t="n">
        <v>2226</v>
      </c>
      <c r="F72" s="59" t="n">
        <v>2149</v>
      </c>
      <c r="G72" s="54" t="n">
        <f aca="false">B72*B72*$R$3+B72*$S$3+$T$3</f>
        <v>58.71292016</v>
      </c>
      <c r="H72" s="54" t="n">
        <f aca="false">C72*C72*$R$5+C72*$S$5+$T$5</f>
        <v>60.3548656</v>
      </c>
      <c r="I72" s="54" t="n">
        <f aca="false">D72*D72*$R$6+D72*$S$6+$T$6</f>
        <v>63.0810140599999</v>
      </c>
      <c r="J72" s="54" t="n">
        <f aca="false">E72*E72*$R$4+E72*$S$4+$T$4</f>
        <v>38.4011599999999</v>
      </c>
      <c r="K72" s="54" t="n">
        <f aca="false">F72*F72*$R$7+F72*$S$7+$T$7</f>
        <v>61.0853602500001</v>
      </c>
      <c r="L72" s="53" t="n">
        <f aca="false">ABS((G72-$A72)/$A72)</f>
        <v>0.00535822191780744</v>
      </c>
      <c r="M72" s="53" t="n">
        <f aca="false">ABS((H72-$A72)/$A72)</f>
        <v>0.033473726027397</v>
      </c>
      <c r="N72" s="53" t="n">
        <f aca="false">ABS((I72-$A72)/$A72)</f>
        <v>0.0801543503424643</v>
      </c>
      <c r="O72" s="53" t="n">
        <f aca="false">ABS((J72-$A72)/$A72)</f>
        <v>0.342445890410961</v>
      </c>
      <c r="P72" s="53" t="n">
        <f aca="false">ABS((K72-$A72)/$A72)</f>
        <v>0.0459821960616459</v>
      </c>
    </row>
    <row r="73" customFormat="false" ht="13.8" hidden="false" customHeight="false" outlineLevel="0" collapsed="false">
      <c r="A73" s="1" t="n">
        <v>58.4</v>
      </c>
      <c r="B73" s="59" t="n">
        <v>1552</v>
      </c>
      <c r="C73" s="59" t="n">
        <v>1360</v>
      </c>
      <c r="D73" s="59" t="n">
        <v>2132</v>
      </c>
      <c r="E73" s="59" t="n">
        <v>2224</v>
      </c>
      <c r="F73" s="59" t="n">
        <v>2137</v>
      </c>
      <c r="G73" s="54" t="n">
        <f aca="false">B73*B73*$R$3+B73*$S$3+$T$3</f>
        <v>58.71292016</v>
      </c>
      <c r="H73" s="54" t="n">
        <f aca="false">C73*C73*$R$5+C73*$S$5+$T$5</f>
        <v>60.49856</v>
      </c>
      <c r="I73" s="54" t="n">
        <f aca="false">D73*D73*$R$6+D73*$S$6+$T$6</f>
        <v>62.87873904</v>
      </c>
      <c r="J73" s="54" t="n">
        <f aca="false">E73*E73*$R$4+E73*$S$4+$T$4</f>
        <v>38.888559999999</v>
      </c>
      <c r="K73" s="54" t="n">
        <f aca="false">F73*F73*$R$7+F73*$S$7+$T$7</f>
        <v>65.1973822499995</v>
      </c>
      <c r="L73" s="53" t="n">
        <f aca="false">ABS((G73-$A73)/$A73)</f>
        <v>0.00535822191780744</v>
      </c>
      <c r="M73" s="53" t="n">
        <f aca="false">ABS((H73-$A73)/$A73)</f>
        <v>0.0359342465753425</v>
      </c>
      <c r="N73" s="53" t="n">
        <f aca="false">ABS((I73-$A73)/$A73)</f>
        <v>0.0766907369863019</v>
      </c>
      <c r="O73" s="53" t="n">
        <f aca="false">ABS((J73-$A73)/$A73)</f>
        <v>0.334100000000018</v>
      </c>
      <c r="P73" s="53" t="n">
        <f aca="false">ABS((K73-$A73)/$A73)</f>
        <v>0.116393531678073</v>
      </c>
    </row>
    <row r="74" customFormat="false" ht="13.8" hidden="false" customHeight="false" outlineLevel="0" collapsed="false">
      <c r="A74" s="1" t="n">
        <v>58.4</v>
      </c>
      <c r="B74" s="59" t="n">
        <v>1527</v>
      </c>
      <c r="C74" s="59" t="n">
        <v>1366</v>
      </c>
      <c r="D74" s="59" t="n">
        <v>2134</v>
      </c>
      <c r="E74" s="59" t="n">
        <v>2228</v>
      </c>
      <c r="F74" s="59" t="n">
        <v>2145</v>
      </c>
      <c r="G74" s="54" t="n">
        <f aca="false">B74*B74*$R$3+B74*$S$3+$T$3</f>
        <v>61.07166616</v>
      </c>
      <c r="H74" s="54" t="n">
        <f aca="false">C74*C74*$R$5+C74*$S$5+$T$5</f>
        <v>59.6398015999999</v>
      </c>
      <c r="I74" s="54" t="n">
        <f aca="false">D74*D74*$R$6+D74*$S$6+$T$6</f>
        <v>62.4750137599999</v>
      </c>
      <c r="J74" s="54" t="n">
        <f aca="false">E74*E74*$R$4+E74*$S$4+$T$4</f>
        <v>37.9186399999999</v>
      </c>
      <c r="K74" s="54" t="n">
        <f aca="false">F74*F74*$R$7+F74*$S$7+$T$7</f>
        <v>62.4365062500001</v>
      </c>
      <c r="L74" s="53" t="n">
        <f aca="false">ABS((G74-$A74)/$A74)</f>
        <v>0.0457477082191782</v>
      </c>
      <c r="M74" s="53" t="n">
        <f aca="false">ABS((H74-$A74)/$A74)</f>
        <v>0.0212294794520538</v>
      </c>
      <c r="N74" s="53" t="n">
        <f aca="false">ABS((I74-$A74)/$A74)</f>
        <v>0.0697776328767108</v>
      </c>
      <c r="O74" s="53" t="n">
        <f aca="false">ABS((J74-$A74)/$A74)</f>
        <v>0.350708219178084</v>
      </c>
      <c r="P74" s="53" t="n">
        <f aca="false">ABS((K74-$A74)/$A74)</f>
        <v>0.0691182577054811</v>
      </c>
    </row>
    <row r="75" customFormat="false" ht="13.8" hidden="false" customHeight="false" outlineLevel="0" collapsed="false">
      <c r="A75" s="1" t="n">
        <v>58.4</v>
      </c>
      <c r="B75" s="59" t="n">
        <v>1552</v>
      </c>
      <c r="C75" s="59" t="n">
        <v>1360</v>
      </c>
      <c r="D75" s="59" t="n">
        <v>2135</v>
      </c>
      <c r="E75" s="59" t="n">
        <v>2227</v>
      </c>
      <c r="F75" s="59" t="n">
        <v>2140</v>
      </c>
      <c r="G75" s="54" t="n">
        <f aca="false">B75*B75*$R$3+B75*$S$3+$T$3</f>
        <v>58.71292016</v>
      </c>
      <c r="H75" s="54" t="n">
        <f aca="false">C75*C75*$R$5+C75*$S$5+$T$5</f>
        <v>60.49856</v>
      </c>
      <c r="I75" s="54" t="n">
        <f aca="false">D75*D75*$R$6+D75*$S$6+$T$6</f>
        <v>62.2735634999999</v>
      </c>
      <c r="J75" s="54" t="n">
        <f aca="false">E75*E75*$R$4+E75*$S$4+$T$4</f>
        <v>38.1592899999996</v>
      </c>
      <c r="K75" s="54" t="n">
        <f aca="false">F75*F75*$R$7+F75*$S$7+$T$7</f>
        <v>64.1528999999991</v>
      </c>
      <c r="L75" s="53" t="n">
        <f aca="false">ABS((G75-$A75)/$A75)</f>
        <v>0.00535822191780744</v>
      </c>
      <c r="M75" s="53" t="n">
        <f aca="false">ABS((H75-$A75)/$A75)</f>
        <v>0.0359342465753425</v>
      </c>
      <c r="N75" s="53" t="n">
        <f aca="false">ABS((I75-$A75)/$A75)</f>
        <v>0.0663281421232861</v>
      </c>
      <c r="O75" s="53" t="n">
        <f aca="false">ABS((J75-$A75)/$A75)</f>
        <v>0.346587500000007</v>
      </c>
      <c r="P75" s="53" t="n">
        <f aca="false">ABS((K75-$A75)/$A75)</f>
        <v>0.0985085616438208</v>
      </c>
    </row>
    <row r="76" customFormat="false" ht="13.8" hidden="false" customHeight="false" outlineLevel="0" collapsed="false">
      <c r="A76" s="1" t="n">
        <v>58.4</v>
      </c>
      <c r="B76" s="59" t="n">
        <v>1569</v>
      </c>
      <c r="C76" s="59" t="n">
        <v>1367</v>
      </c>
      <c r="D76" s="59" t="n">
        <v>2138</v>
      </c>
      <c r="E76" s="59" t="n">
        <v>2228</v>
      </c>
      <c r="F76" s="59" t="n">
        <v>2144</v>
      </c>
      <c r="G76" s="54" t="n">
        <f aca="false">B76*B76*$R$3+B76*$S$3+$T$3</f>
        <v>57.13256344</v>
      </c>
      <c r="H76" s="54" t="n">
        <f aca="false">C76*C76*$R$5+C76*$S$5+$T$5</f>
        <v>59.4974704000001</v>
      </c>
      <c r="I76" s="54" t="n">
        <f aca="false">D76*D76*$R$6+D76*$S$6+$T$6</f>
        <v>61.6708622399999</v>
      </c>
      <c r="J76" s="54" t="n">
        <f aca="false">E76*E76*$R$4+E76*$S$4+$T$4</f>
        <v>37.9186399999999</v>
      </c>
      <c r="K76" s="54" t="n">
        <f aca="false">F76*F76*$R$7+F76*$S$7+$T$7</f>
        <v>62.7773440000001</v>
      </c>
      <c r="L76" s="53" t="n">
        <f aca="false">ABS((G76-$A76)/$A76)</f>
        <v>0.0217026808219181</v>
      </c>
      <c r="M76" s="53" t="n">
        <f aca="false">ABS((H76-$A76)/$A76)</f>
        <v>0.018792301369864</v>
      </c>
      <c r="N76" s="53" t="n">
        <f aca="false">ABS((I76-$A76)/$A76)</f>
        <v>0.0560079150684916</v>
      </c>
      <c r="O76" s="53" t="n">
        <f aca="false">ABS((J76-$A76)/$A76)</f>
        <v>0.350708219178084</v>
      </c>
      <c r="P76" s="53" t="n">
        <f aca="false">ABS((K76-$A76)/$A76)</f>
        <v>0.0749545205479467</v>
      </c>
    </row>
    <row r="77" customFormat="false" ht="13.8" hidden="false" customHeight="false" outlineLevel="0" collapsed="false">
      <c r="A77" s="1" t="n">
        <v>58.4</v>
      </c>
      <c r="B77" s="59" t="n">
        <v>1581</v>
      </c>
      <c r="C77" s="59" t="n">
        <v>1374</v>
      </c>
      <c r="D77" s="59" t="n">
        <v>2138</v>
      </c>
      <c r="E77" s="59" t="n">
        <v>2237</v>
      </c>
      <c r="F77" s="59" t="n">
        <v>2146</v>
      </c>
      <c r="G77" s="54" t="n">
        <f aca="false">B77*B77*$R$3+B77*$S$3+$T$3</f>
        <v>56.02851544</v>
      </c>
      <c r="H77" s="54" t="n">
        <f aca="false">C77*C77*$R$5+C77*$S$5+$T$5</f>
        <v>58.5075136</v>
      </c>
      <c r="I77" s="54" t="n">
        <f aca="false">D77*D77*$R$6+D77*$S$6+$T$6</f>
        <v>61.6708622399999</v>
      </c>
      <c r="J77" s="54" t="n">
        <f aca="false">E77*E77*$R$4+E77*$S$4+$T$4</f>
        <v>35.8076899999992</v>
      </c>
      <c r="K77" s="54" t="n">
        <f aca="false">F77*F77*$R$7+F77*$S$7+$T$7</f>
        <v>62.0968889999999</v>
      </c>
      <c r="L77" s="53" t="n">
        <f aca="false">ABS((G77-$A77)/$A77)</f>
        <v>0.0406076123287675</v>
      </c>
      <c r="M77" s="53" t="n">
        <f aca="false">ABS((H77-$A77)/$A77)</f>
        <v>0.00184098630137055</v>
      </c>
      <c r="N77" s="53" t="n">
        <f aca="false">ABS((I77-$A77)/$A77)</f>
        <v>0.0560079150684916</v>
      </c>
      <c r="O77" s="53" t="n">
        <f aca="false">ABS((J77-$A77)/$A77)</f>
        <v>0.386854623287685</v>
      </c>
      <c r="P77" s="53" t="n">
        <f aca="false">ABS((K77-$A77)/$A77)</f>
        <v>0.0633028938356151</v>
      </c>
    </row>
    <row r="78" customFormat="false" ht="13.8" hidden="false" customHeight="false" outlineLevel="0" collapsed="false">
      <c r="A78" s="1" t="n">
        <v>58.4</v>
      </c>
      <c r="B78" s="59" t="n">
        <v>1535</v>
      </c>
      <c r="C78" s="59" t="n">
        <v>1280</v>
      </c>
      <c r="D78" s="59" t="n">
        <v>2141</v>
      </c>
      <c r="E78" s="59" t="n">
        <v>2227</v>
      </c>
      <c r="F78" s="59" t="n">
        <v>2146</v>
      </c>
      <c r="G78" s="54" t="n">
        <f aca="false">B78*B78*$R$3+B78*$S$3+$T$3</f>
        <v>60.312374</v>
      </c>
      <c r="H78" s="54" t="n">
        <f aca="false">C78*C78*$R$5+C78*$S$5+$T$5</f>
        <v>72.7302400000001</v>
      </c>
      <c r="I78" s="54" t="n">
        <f aca="false">D78*D78*$R$6+D78*$S$6+$T$6</f>
        <v>61.07063526</v>
      </c>
      <c r="J78" s="54" t="n">
        <f aca="false">E78*E78*$R$4+E78*$S$4+$T$4</f>
        <v>38.1592899999996</v>
      </c>
      <c r="K78" s="54" t="n">
        <f aca="false">F78*F78*$R$7+F78*$S$7+$T$7</f>
        <v>62.0968889999999</v>
      </c>
      <c r="L78" s="53" t="n">
        <f aca="false">ABS((G78-$A78)/$A78)</f>
        <v>0.0327461301369859</v>
      </c>
      <c r="M78" s="53" t="n">
        <f aca="false">ABS((H78-$A78)/$A78)</f>
        <v>0.24538082191781</v>
      </c>
      <c r="N78" s="53" t="n">
        <f aca="false">ABS((I78-$A78)/$A78)</f>
        <v>0.0457300558219181</v>
      </c>
      <c r="O78" s="53" t="n">
        <f aca="false">ABS((J78-$A78)/$A78)</f>
        <v>0.346587500000007</v>
      </c>
      <c r="P78" s="53" t="n">
        <f aca="false">ABS((K78-$A78)/$A78)</f>
        <v>0.0633028938356151</v>
      </c>
    </row>
    <row r="79" customFormat="false" ht="13.8" hidden="false" customHeight="false" outlineLevel="0" collapsed="false">
      <c r="A79" s="1" t="n">
        <v>58.4</v>
      </c>
      <c r="B79" s="59" t="n">
        <v>1535</v>
      </c>
      <c r="C79" s="59" t="n">
        <v>1363</v>
      </c>
      <c r="D79" s="59" t="n">
        <v>2141</v>
      </c>
      <c r="E79" s="59" t="n">
        <v>2228</v>
      </c>
      <c r="F79" s="59" t="n">
        <v>2147</v>
      </c>
      <c r="G79" s="54" t="n">
        <f aca="false">B79*B79*$R$3+B79*$S$3+$T$3</f>
        <v>60.312374</v>
      </c>
      <c r="H79" s="54" t="n">
        <f aca="false">C79*C79*$R$5+C79*$S$5+$T$5</f>
        <v>60.0681584</v>
      </c>
      <c r="I79" s="54" t="n">
        <f aca="false">D79*D79*$R$6+D79*$S$6+$T$6</f>
        <v>61.07063526</v>
      </c>
      <c r="J79" s="54" t="n">
        <f aca="false">E79*E79*$R$4+E79*$S$4+$T$4</f>
        <v>37.9186399999999</v>
      </c>
      <c r="K79" s="54" t="n">
        <f aca="false">F79*F79*$R$7+F79*$S$7+$T$7</f>
        <v>61.75849225</v>
      </c>
      <c r="L79" s="53" t="n">
        <f aca="false">ABS((G79-$A79)/$A79)</f>
        <v>0.0327461301369859</v>
      </c>
      <c r="M79" s="53" t="n">
        <f aca="false">ABS((H79-$A79)/$A79)</f>
        <v>0.0285643561643839</v>
      </c>
      <c r="N79" s="53" t="n">
        <f aca="false">ABS((I79-$A79)/$A79)</f>
        <v>0.0457300558219181</v>
      </c>
      <c r="O79" s="53" t="n">
        <f aca="false">ABS((J79-$A79)/$A79)</f>
        <v>0.350708219178084</v>
      </c>
      <c r="P79" s="53" t="n">
        <f aca="false">ABS((K79-$A79)/$A79)</f>
        <v>0.0575084289383565</v>
      </c>
    </row>
    <row r="80" customFormat="false" ht="13.8" hidden="false" customHeight="false" outlineLevel="0" collapsed="false">
      <c r="A80" s="1" t="n">
        <v>58.2</v>
      </c>
      <c r="B80" s="59" t="n">
        <v>1535</v>
      </c>
      <c r="C80" s="59" t="n">
        <v>1363</v>
      </c>
      <c r="D80" s="59" t="n">
        <v>2143</v>
      </c>
      <c r="E80" s="59" t="n">
        <v>2231</v>
      </c>
      <c r="F80" s="59" t="n">
        <v>2150</v>
      </c>
      <c r="G80" s="54" t="n">
        <f aca="false">B80*B80*$R$3+B80*$S$3+$T$3</f>
        <v>60.312374</v>
      </c>
      <c r="H80" s="54" t="n">
        <f aca="false">C80*C80*$R$5+C80*$S$5+$T$5</f>
        <v>60.0681584</v>
      </c>
      <c r="I80" s="54" t="n">
        <f aca="false">D80*D80*$R$6+D80*$S$6+$T$6</f>
        <v>60.6718585399999</v>
      </c>
      <c r="J80" s="54" t="n">
        <f aca="false">E80*E80*$R$4+E80*$S$4+$T$4</f>
        <v>37.2040099999995</v>
      </c>
      <c r="K80" s="54" t="n">
        <f aca="false">F80*F80*$R$7+F80*$S$7+$T$7</f>
        <v>60.7506250000001</v>
      </c>
      <c r="L80" s="53" t="n">
        <f aca="false">ABS((G80-$A80)/$A80)</f>
        <v>0.0362950859106525</v>
      </c>
      <c r="M80" s="53" t="n">
        <f aca="false">ABS((H80-$A80)/$A80)</f>
        <v>0.0320989415807562</v>
      </c>
      <c r="N80" s="53" t="n">
        <f aca="false">ABS((I80-$A80)/$A80)</f>
        <v>0.0424717962199296</v>
      </c>
      <c r="O80" s="53" t="n">
        <f aca="false">ABS((J80-$A80)/$A80)</f>
        <v>0.360755841924408</v>
      </c>
      <c r="P80" s="53" t="n">
        <f aca="false">ABS((K80-$A80)/$A80)</f>
        <v>0.043825171821308</v>
      </c>
    </row>
    <row r="81" customFormat="false" ht="13.8" hidden="false" customHeight="false" outlineLevel="0" collapsed="false">
      <c r="A81" s="1" t="n">
        <v>58.4</v>
      </c>
      <c r="B81" s="59" t="n">
        <v>1569</v>
      </c>
      <c r="C81" s="59" t="n">
        <v>1437</v>
      </c>
      <c r="D81" s="59" t="n">
        <v>2145</v>
      </c>
      <c r="E81" s="59" t="n">
        <v>2235</v>
      </c>
      <c r="F81" s="59" t="n">
        <v>2157</v>
      </c>
      <c r="G81" s="54" t="n">
        <f aca="false">B81*B81*$R$3+B81*$S$3+$T$3</f>
        <v>57.13256344</v>
      </c>
      <c r="H81" s="54" t="n">
        <f aca="false">C81*C81*$R$5+C81*$S$5+$T$5</f>
        <v>50.0988784</v>
      </c>
      <c r="I81" s="54" t="n">
        <f aca="false">D81*D81*$R$6+D81*$S$6+$T$6</f>
        <v>60.2741814999999</v>
      </c>
      <c r="J81" s="54" t="n">
        <f aca="false">E81*E81*$R$4+E81*$S$4+$T$4</f>
        <v>36.2682499999996</v>
      </c>
      <c r="K81" s="54" t="n">
        <f aca="false">F81*F81*$R$7+F81*$S$7+$T$7</f>
        <v>58.4416522499996</v>
      </c>
      <c r="L81" s="53" t="n">
        <f aca="false">ABS((G81-$A81)/$A81)</f>
        <v>0.0217026808219181</v>
      </c>
      <c r="M81" s="53" t="n">
        <f aca="false">ABS((H81-$A81)/$A81)</f>
        <v>0.142142493150684</v>
      </c>
      <c r="N81" s="53" t="n">
        <f aca="false">ABS((I81-$A81)/$A81)</f>
        <v>0.0320921489726018</v>
      </c>
      <c r="O81" s="53" t="n">
        <f aca="false">ABS((J81-$A81)/$A81)</f>
        <v>0.378968321917815</v>
      </c>
      <c r="P81" s="53" t="n">
        <f aca="false">ABS((K81-$A81)/$A81)</f>
        <v>0.000713223458897392</v>
      </c>
    </row>
    <row r="82" customFormat="false" ht="13.8" hidden="false" customHeight="false" outlineLevel="0" collapsed="false">
      <c r="A82" s="1" t="n">
        <v>58.4</v>
      </c>
      <c r="B82" s="59" t="n">
        <v>1530</v>
      </c>
      <c r="C82" s="59" t="n">
        <v>1361</v>
      </c>
      <c r="D82" s="59" t="n">
        <v>2146</v>
      </c>
      <c r="E82" s="59" t="n">
        <v>2238</v>
      </c>
      <c r="F82" s="59" t="n">
        <v>2159</v>
      </c>
      <c r="G82" s="54" t="n">
        <f aca="false">B82*B82*$R$3+B82*$S$3+$T$3</f>
        <v>60.786436</v>
      </c>
      <c r="H82" s="54" t="n">
        <f aca="false">C82*C82*$R$5+C82*$S$5+$T$5</f>
        <v>60.3548656</v>
      </c>
      <c r="I82" s="54" t="n">
        <f aca="false">D82*D82*$R$6+D82*$S$6+$T$6</f>
        <v>60.0757553599999</v>
      </c>
      <c r="J82" s="54" t="n">
        <f aca="false">E82*E82*$R$4+E82*$S$4+$T$4</f>
        <v>35.5792399999996</v>
      </c>
      <c r="K82" s="54" t="n">
        <f aca="false">F82*F82*$R$7+F82*$S$7+$T$7</f>
        <v>57.7929302499997</v>
      </c>
      <c r="L82" s="53" t="n">
        <f aca="false">ABS((G82-$A82)/$A82)</f>
        <v>0.040863630136986</v>
      </c>
      <c r="M82" s="53" t="n">
        <f aca="false">ABS((H82-$A82)/$A82)</f>
        <v>0.033473726027397</v>
      </c>
      <c r="N82" s="53" t="n">
        <f aca="false">ABS((I82-$A82)/$A82)</f>
        <v>0.0286944410958888</v>
      </c>
      <c r="O82" s="53" t="n">
        <f aca="false">ABS((J82-$A82)/$A82)</f>
        <v>0.390766438356172</v>
      </c>
      <c r="P82" s="53" t="n">
        <f aca="false">ABS((K82-$A82)/$A82)</f>
        <v>0.0103950299657586</v>
      </c>
    </row>
    <row r="83" customFormat="false" ht="13.8" hidden="false" customHeight="false" outlineLevel="0" collapsed="false">
      <c r="A83" s="1" t="n">
        <v>58.4</v>
      </c>
      <c r="B83" s="59" t="n">
        <v>1571</v>
      </c>
      <c r="C83" s="59" t="n">
        <v>1375</v>
      </c>
      <c r="D83" s="59" t="n">
        <v>2146</v>
      </c>
      <c r="E83" s="59" t="n">
        <v>2233</v>
      </c>
      <c r="F83" s="59" t="n">
        <v>2149</v>
      </c>
      <c r="G83" s="54" t="n">
        <f aca="false">B83*B83*$R$3+B83*$S$3+$T$3</f>
        <v>56.94789464</v>
      </c>
      <c r="H83" s="54" t="n">
        <f aca="false">C83*C83*$R$5+C83*$S$5+$T$5</f>
        <v>58.367</v>
      </c>
      <c r="I83" s="54" t="n">
        <f aca="false">D83*D83*$R$6+D83*$S$6+$T$6</f>
        <v>60.0757553599999</v>
      </c>
      <c r="J83" s="54" t="n">
        <f aca="false">E83*E83*$R$4+E83*$S$4+$T$4</f>
        <v>36.7336899999996</v>
      </c>
      <c r="K83" s="54" t="n">
        <f aca="false">F83*F83*$R$7+F83*$S$7+$T$7</f>
        <v>61.0853602500001</v>
      </c>
      <c r="L83" s="53" t="n">
        <f aca="false">ABS((G83-$A83)/$A83)</f>
        <v>0.0248648178082189</v>
      </c>
      <c r="M83" s="53" t="n">
        <f aca="false">ABS((H83-$A83)/$A83)</f>
        <v>0.000565068493151315</v>
      </c>
      <c r="N83" s="53" t="n">
        <f aca="false">ABS((I83-$A83)/$A83)</f>
        <v>0.0286944410958888</v>
      </c>
      <c r="O83" s="53" t="n">
        <f aca="false">ABS((J83-$A83)/$A83)</f>
        <v>0.370998458904117</v>
      </c>
      <c r="P83" s="53" t="n">
        <f aca="false">ABS((K83-$A83)/$A83)</f>
        <v>0.0459821960616459</v>
      </c>
    </row>
    <row r="84" customFormat="false" ht="13.8" hidden="false" customHeight="false" outlineLevel="0" collapsed="false">
      <c r="A84" s="1" t="n">
        <v>58.4</v>
      </c>
      <c r="B84" s="59" t="n">
        <v>1557</v>
      </c>
      <c r="C84" s="59" t="n">
        <v>1361</v>
      </c>
      <c r="D84" s="59" t="n">
        <v>2148</v>
      </c>
      <c r="E84" s="59" t="n">
        <v>2231</v>
      </c>
      <c r="F84" s="59" t="n">
        <v>2155</v>
      </c>
      <c r="G84" s="54" t="n">
        <f aca="false">B84*B84*$R$3+B84*$S$3+$T$3</f>
        <v>58.24612696</v>
      </c>
      <c r="H84" s="54" t="n">
        <f aca="false">C84*C84*$R$5+C84*$S$5+$T$5</f>
        <v>60.3548656</v>
      </c>
      <c r="I84" s="54" t="n">
        <f aca="false">D84*D84*$R$6+D84*$S$6+$T$6</f>
        <v>59.6797278399999</v>
      </c>
      <c r="J84" s="54" t="n">
        <f aca="false">E84*E84*$R$4+E84*$S$4+$T$4</f>
        <v>37.2040099999995</v>
      </c>
      <c r="K84" s="54" t="n">
        <f aca="false">F84*F84*$R$7+F84*$S$7+$T$7</f>
        <v>59.0952562499997</v>
      </c>
      <c r="L84" s="53" t="n">
        <f aca="false">ABS((G84-$A84)/$A84)</f>
        <v>0.00263481232876762</v>
      </c>
      <c r="M84" s="53" t="n">
        <f aca="false">ABS((H84-$A84)/$A84)</f>
        <v>0.033473726027397</v>
      </c>
      <c r="N84" s="53" t="n">
        <f aca="false">ABS((I84-$A84)/$A84)</f>
        <v>0.0219131479452045</v>
      </c>
      <c r="O84" s="53" t="n">
        <f aca="false">ABS((J84-$A84)/$A84)</f>
        <v>0.362945034246584</v>
      </c>
      <c r="P84" s="53" t="n">
        <f aca="false">ABS((K84-$A84)/$A84)</f>
        <v>0.0119050727739674</v>
      </c>
    </row>
    <row r="85" customFormat="false" ht="13.8" hidden="false" customHeight="false" outlineLevel="0" collapsed="false">
      <c r="A85" s="1" t="n">
        <v>58.4</v>
      </c>
      <c r="B85" s="59" t="n">
        <v>1581</v>
      </c>
      <c r="C85" s="59" t="n">
        <v>1363</v>
      </c>
      <c r="D85" s="59" t="n">
        <v>2148</v>
      </c>
      <c r="E85" s="59" t="n">
        <v>2228</v>
      </c>
      <c r="F85" s="59" t="n">
        <v>2153</v>
      </c>
      <c r="G85" s="54" t="n">
        <f aca="false">B85*B85*$R$3+B85*$S$3+$T$3</f>
        <v>56.02851544</v>
      </c>
      <c r="H85" s="54" t="n">
        <f aca="false">C85*C85*$R$5+C85*$S$5+$T$5</f>
        <v>60.0681584</v>
      </c>
      <c r="I85" s="54" t="n">
        <f aca="false">D85*D85*$R$6+D85*$S$6+$T$6</f>
        <v>59.6797278399999</v>
      </c>
      <c r="J85" s="54" t="n">
        <f aca="false">E85*E85*$R$4+E85*$S$4+$T$4</f>
        <v>37.9186399999999</v>
      </c>
      <c r="K85" s="54" t="n">
        <f aca="false">F85*F85*$R$7+F85*$S$7+$T$7</f>
        <v>59.75374225</v>
      </c>
      <c r="L85" s="53" t="n">
        <f aca="false">ABS((G85-$A85)/$A85)</f>
        <v>0.0406076123287675</v>
      </c>
      <c r="M85" s="53" t="n">
        <f aca="false">ABS((H85-$A85)/$A85)</f>
        <v>0.0285643561643839</v>
      </c>
      <c r="N85" s="53" t="n">
        <f aca="false">ABS((I85-$A85)/$A85)</f>
        <v>0.0219131479452045</v>
      </c>
      <c r="O85" s="53" t="n">
        <f aca="false">ABS((J85-$A85)/$A85)</f>
        <v>0.350708219178084</v>
      </c>
      <c r="P85" s="53" t="n">
        <f aca="false">ABS((K85-$A85)/$A85)</f>
        <v>0.0231805179794514</v>
      </c>
    </row>
    <row r="86" customFormat="false" ht="13.8" hidden="false" customHeight="false" outlineLevel="0" collapsed="false">
      <c r="A86" s="1" t="n">
        <v>58.4</v>
      </c>
      <c r="B86" s="59" t="n">
        <v>1535</v>
      </c>
      <c r="C86" s="59" t="n">
        <v>1360</v>
      </c>
      <c r="D86" s="59" t="n">
        <v>2151</v>
      </c>
      <c r="E86" s="59" t="n">
        <v>2236</v>
      </c>
      <c r="F86" s="59" t="n">
        <v>2160</v>
      </c>
      <c r="G86" s="54" t="n">
        <f aca="false">B86*B86*$R$3+B86*$S$3+$T$3</f>
        <v>60.312374</v>
      </c>
      <c r="H86" s="54" t="n">
        <f aca="false">C86*C86*$R$5+C86*$S$5+$T$5</f>
        <v>60.49856</v>
      </c>
      <c r="I86" s="54" t="n">
        <f aca="false">D86*D86*$R$6+D86*$S$6+$T$6</f>
        <v>59.0877484600001</v>
      </c>
      <c r="J86" s="54" t="n">
        <f aca="false">E86*E86*$R$4+E86*$S$4+$T$4</f>
        <v>36.0373599999994</v>
      </c>
      <c r="K86" s="54" t="n">
        <f aca="false">F86*F86*$R$7+F86*$S$7+$T$7</f>
        <v>57.4703999999997</v>
      </c>
      <c r="L86" s="53" t="n">
        <f aca="false">ABS((G86-$A86)/$A86)</f>
        <v>0.0327461301369859</v>
      </c>
      <c r="M86" s="53" t="n">
        <f aca="false">ABS((H86-$A86)/$A86)</f>
        <v>0.0359342465753425</v>
      </c>
      <c r="N86" s="53" t="n">
        <f aca="false">ABS((I86-$A86)/$A86)</f>
        <v>0.0117765147260284</v>
      </c>
      <c r="O86" s="53" t="n">
        <f aca="false">ABS((J86-$A86)/$A86)</f>
        <v>0.38292191780823</v>
      </c>
      <c r="P86" s="53" t="n">
        <f aca="false">ABS((K86-$A86)/$A86)</f>
        <v>0.0159178082191832</v>
      </c>
    </row>
    <row r="87" customFormat="false" ht="13.8" hidden="false" customHeight="false" outlineLevel="0" collapsed="false">
      <c r="A87" s="1" t="n">
        <v>58.4</v>
      </c>
      <c r="B87" s="59" t="n">
        <v>1573</v>
      </c>
      <c r="C87" s="59" t="n">
        <v>1360</v>
      </c>
      <c r="D87" s="59" t="n">
        <v>2153</v>
      </c>
      <c r="E87" s="59" t="n">
        <v>2238</v>
      </c>
      <c r="F87" s="59" t="n">
        <v>2139</v>
      </c>
      <c r="G87" s="54" t="n">
        <f aca="false">B87*B87*$R$3+B87*$S$3+$T$3</f>
        <v>56.76349016</v>
      </c>
      <c r="H87" s="54" t="n">
        <f aca="false">C87*C87*$R$5+C87*$S$5+$T$5</f>
        <v>60.49856</v>
      </c>
      <c r="I87" s="54" t="n">
        <f aca="false">D87*D87*$R$6+D87*$S$6+$T$6</f>
        <v>58.6944701399998</v>
      </c>
      <c r="J87" s="54" t="n">
        <f aca="false">E87*E87*$R$4+E87*$S$4+$T$4</f>
        <v>35.5792399999996</v>
      </c>
      <c r="K87" s="54" t="n">
        <f aca="false">F87*F87*$R$7+F87*$S$7+$T$7</f>
        <v>64.4998402499996</v>
      </c>
      <c r="L87" s="53" t="n">
        <f aca="false">ABS((G87-$A87)/$A87)</f>
        <v>0.0280224287671242</v>
      </c>
      <c r="M87" s="53" t="n">
        <f aca="false">ABS((H87-$A87)/$A87)</f>
        <v>0.0359342465753425</v>
      </c>
      <c r="N87" s="53" t="n">
        <f aca="false">ABS((I87-$A87)/$A87)</f>
        <v>0.00504229691780471</v>
      </c>
      <c r="O87" s="53" t="n">
        <f aca="false">ABS((J87-$A87)/$A87)</f>
        <v>0.390766438356172</v>
      </c>
      <c r="P87" s="53" t="n">
        <f aca="false">ABS((K87-$A87)/$A87)</f>
        <v>0.104449319349308</v>
      </c>
    </row>
    <row r="88" customFormat="false" ht="13.8" hidden="false" customHeight="false" outlineLevel="0" collapsed="false">
      <c r="A88" s="1" t="n">
        <v>58.4</v>
      </c>
      <c r="B88" s="59" t="n">
        <v>1563</v>
      </c>
      <c r="C88" s="59" t="n">
        <v>1360</v>
      </c>
      <c r="D88" s="59" t="n">
        <v>2154</v>
      </c>
      <c r="E88" s="59" t="n">
        <v>2240</v>
      </c>
      <c r="F88" s="59" t="n">
        <v>2159</v>
      </c>
      <c r="G88" s="54" t="n">
        <f aca="false">B88*B88*$R$3+B88*$S$3+$T$3</f>
        <v>57.68815576</v>
      </c>
      <c r="H88" s="54" t="n">
        <f aca="false">C88*C88*$R$5+C88*$S$5+$T$5</f>
        <v>60.49856</v>
      </c>
      <c r="I88" s="54" t="n">
        <f aca="false">D88*D88*$R$6+D88*$S$6+$T$6</f>
        <v>58.4982433600001</v>
      </c>
      <c r="J88" s="54" t="n">
        <f aca="false">E88*E88*$R$4+E88*$S$4+$T$4</f>
        <v>35.1259999999993</v>
      </c>
      <c r="K88" s="54" t="n">
        <f aca="false">F88*F88*$R$7+F88*$S$7+$T$7</f>
        <v>57.7929302499997</v>
      </c>
      <c r="L88" s="53" t="n">
        <f aca="false">ABS((G88-$A88)/$A88)</f>
        <v>0.0121891136986306</v>
      </c>
      <c r="M88" s="53" t="n">
        <f aca="false">ABS((H88-$A88)/$A88)</f>
        <v>0.0359342465753425</v>
      </c>
      <c r="N88" s="53" t="n">
        <f aca="false">ABS((I88-$A88)/$A88)</f>
        <v>0.00168224931506955</v>
      </c>
      <c r="O88" s="53" t="n">
        <f aca="false">ABS((J88-$A88)/$A88)</f>
        <v>0.398527397260286</v>
      </c>
      <c r="P88" s="53" t="n">
        <f aca="false">ABS((K88-$A88)/$A88)</f>
        <v>0.0103950299657586</v>
      </c>
    </row>
    <row r="89" customFormat="false" ht="13.8" hidden="false" customHeight="false" outlineLevel="0" collapsed="false">
      <c r="A89" s="1" t="n">
        <v>58.4</v>
      </c>
      <c r="B89" s="59" t="n">
        <v>1587</v>
      </c>
      <c r="C89" s="59" t="n">
        <v>1362</v>
      </c>
      <c r="D89" s="59" t="n">
        <v>2155</v>
      </c>
      <c r="E89" s="59" t="n">
        <v>2238</v>
      </c>
      <c r="F89" s="59" t="n">
        <v>2157</v>
      </c>
      <c r="G89" s="54" t="n">
        <f aca="false">B89*B89*$R$3+B89*$S$3+$T$3</f>
        <v>55.48005976</v>
      </c>
      <c r="H89" s="54" t="n">
        <f aca="false">C89*C89*$R$5+C89*$S$5+$T$5</f>
        <v>60.2113984000001</v>
      </c>
      <c r="I89" s="54" t="n">
        <f aca="false">D89*D89*$R$6+D89*$S$6+$T$6</f>
        <v>58.3022914999999</v>
      </c>
      <c r="J89" s="54" t="n">
        <f aca="false">E89*E89*$R$4+E89*$S$4+$T$4</f>
        <v>35.5792399999996</v>
      </c>
      <c r="K89" s="54" t="n">
        <f aca="false">F89*F89*$R$7+F89*$S$7+$T$7</f>
        <v>58.4416522499996</v>
      </c>
      <c r="L89" s="53" t="n">
        <f aca="false">ABS((G89-$A89)/$A89)</f>
        <v>0.0499989767123294</v>
      </c>
      <c r="M89" s="53" t="n">
        <f aca="false">ABS((H89-$A89)/$A89)</f>
        <v>0.0310170958904121</v>
      </c>
      <c r="N89" s="53" t="n">
        <f aca="false">ABS((I89-$A89)/$A89)</f>
        <v>0.00167309075342617</v>
      </c>
      <c r="O89" s="53" t="n">
        <f aca="false">ABS((J89-$A89)/$A89)</f>
        <v>0.390766438356172</v>
      </c>
      <c r="P89" s="53" t="n">
        <f aca="false">ABS((K89-$A89)/$A89)</f>
        <v>0.000713223458897392</v>
      </c>
    </row>
    <row r="90" customFormat="false" ht="13.8" hidden="false" customHeight="false" outlineLevel="0" collapsed="false">
      <c r="A90" s="1" t="n">
        <v>58.4</v>
      </c>
      <c r="B90" s="59" t="n">
        <v>1559</v>
      </c>
      <c r="C90" s="59" t="n">
        <v>1360</v>
      </c>
      <c r="D90" s="59" t="n">
        <v>2156</v>
      </c>
      <c r="E90" s="59" t="n">
        <v>2242</v>
      </c>
      <c r="F90" s="59" t="n">
        <v>2160</v>
      </c>
      <c r="G90" s="54" t="n">
        <f aca="false">B90*B90*$R$3+B90*$S$3+$T$3</f>
        <v>58.05987224</v>
      </c>
      <c r="H90" s="54" t="n">
        <f aca="false">C90*C90*$R$5+C90*$S$5+$T$5</f>
        <v>60.49856</v>
      </c>
      <c r="I90" s="54" t="n">
        <f aca="false">D90*D90*$R$6+D90*$S$6+$T$6</f>
        <v>58.10661456</v>
      </c>
      <c r="J90" s="54" t="n">
        <f aca="false">E90*E90*$R$4+E90*$S$4+$T$4</f>
        <v>34.6776399999994</v>
      </c>
      <c r="K90" s="54" t="n">
        <f aca="false">F90*F90*$R$7+F90*$S$7+$T$7</f>
        <v>57.4703999999997</v>
      </c>
      <c r="L90" s="53" t="n">
        <f aca="false">ABS((G90-$A90)/$A90)</f>
        <v>0.00582410547945196</v>
      </c>
      <c r="M90" s="53" t="n">
        <f aca="false">ABS((H90-$A90)/$A90)</f>
        <v>0.0359342465753425</v>
      </c>
      <c r="N90" s="53" t="n">
        <f aca="false">ABS((I90-$A90)/$A90)</f>
        <v>0.00502372328767077</v>
      </c>
      <c r="O90" s="53" t="n">
        <f aca="false">ABS((J90-$A90)/$A90)</f>
        <v>0.406204794520558</v>
      </c>
      <c r="P90" s="53" t="n">
        <f aca="false">ABS((K90-$A90)/$A90)</f>
        <v>0.0159178082191832</v>
      </c>
    </row>
    <row r="91" customFormat="false" ht="13.8" hidden="false" customHeight="false" outlineLevel="0" collapsed="false">
      <c r="A91" s="1" t="n">
        <v>58.4</v>
      </c>
      <c r="B91" s="59" t="n">
        <v>1556</v>
      </c>
      <c r="C91" s="59" t="n">
        <v>1362</v>
      </c>
      <c r="D91" s="59" t="n">
        <v>2157</v>
      </c>
      <c r="E91" s="59" t="n">
        <v>2243</v>
      </c>
      <c r="F91" s="59" t="n">
        <v>2158</v>
      </c>
      <c r="G91" s="54" t="n">
        <f aca="false">B91*B91*$R$3+B91*$S$3+$T$3</f>
        <v>58.33935344</v>
      </c>
      <c r="H91" s="54" t="n">
        <f aca="false">C91*C91*$R$5+C91*$S$5+$T$5</f>
        <v>60.2113984000001</v>
      </c>
      <c r="I91" s="54" t="n">
        <f aca="false">D91*D91*$R$6+D91*$S$6+$T$6</f>
        <v>57.9112125400002</v>
      </c>
      <c r="J91" s="54" t="n">
        <f aca="false">E91*E91*$R$4+E91*$S$4+$T$4</f>
        <v>34.455289999999</v>
      </c>
      <c r="K91" s="54" t="n">
        <f aca="false">F91*F91*$R$7+F91*$S$7+$T$7</f>
        <v>58.1166809999995</v>
      </c>
      <c r="L91" s="53" t="n">
        <f aca="false">ABS((G91-$A91)/$A91)</f>
        <v>0.00103846849315121</v>
      </c>
      <c r="M91" s="53" t="n">
        <f aca="false">ABS((H91-$A91)/$A91)</f>
        <v>0.0310170958904121</v>
      </c>
      <c r="N91" s="53" t="n">
        <f aca="false">ABS((I91-$A91)/$A91)</f>
        <v>0.00836964828766815</v>
      </c>
      <c r="O91" s="53" t="n">
        <f aca="false">ABS((J91-$A91)/$A91)</f>
        <v>0.410012157534264</v>
      </c>
      <c r="P91" s="53" t="n">
        <f aca="false">ABS((K91-$A91)/$A91)</f>
        <v>0.00485135273973428</v>
      </c>
    </row>
    <row r="92" customFormat="false" ht="13.8" hidden="false" customHeight="false" outlineLevel="0" collapsed="false">
      <c r="A92" s="1" t="n">
        <v>58.2</v>
      </c>
      <c r="B92" s="59" t="n">
        <v>1571</v>
      </c>
      <c r="C92" s="59" t="n">
        <v>1353</v>
      </c>
      <c r="D92" s="59" t="n">
        <v>2158</v>
      </c>
      <c r="E92" s="59" t="n">
        <v>2238</v>
      </c>
      <c r="F92" s="59" t="n">
        <v>2160</v>
      </c>
      <c r="G92" s="54" t="n">
        <f aca="false">B92*B92*$R$3+B92*$S$3+$T$3</f>
        <v>56.94789464</v>
      </c>
      <c r="H92" s="54" t="n">
        <f aca="false">C92*C92*$R$5+C92*$S$5+$T$5</f>
        <v>61.5107824</v>
      </c>
      <c r="I92" s="54" t="n">
        <f aca="false">D92*D92*$R$6+D92*$S$6+$T$6</f>
        <v>57.7160854399999</v>
      </c>
      <c r="J92" s="54" t="n">
        <f aca="false">E92*E92*$R$4+E92*$S$4+$T$4</f>
        <v>35.5792399999996</v>
      </c>
      <c r="K92" s="54" t="n">
        <f aca="false">F92*F92*$R$7+F92*$S$7+$T$7</f>
        <v>57.4703999999997</v>
      </c>
      <c r="L92" s="53" t="n">
        <f aca="false">ABS((G92-$A92)/$A92)</f>
        <v>0.0215138378006871</v>
      </c>
      <c r="M92" s="53" t="n">
        <f aca="false">ABS((H92-$A92)/$A92)</f>
        <v>0.0568862955326467</v>
      </c>
      <c r="N92" s="53" t="n">
        <f aca="false">ABS((I92-$A92)/$A92)</f>
        <v>0.00831468316151353</v>
      </c>
      <c r="O92" s="53" t="n">
        <f aca="false">ABS((J92-$A92)/$A92)</f>
        <v>0.388672852233684</v>
      </c>
      <c r="P92" s="53" t="n">
        <f aca="false">ABS((K92-$A92)/$A92)</f>
        <v>0.012536082474232</v>
      </c>
    </row>
    <row r="93" customFormat="false" ht="13.8" hidden="false" customHeight="false" outlineLevel="0" collapsed="false">
      <c r="A93" s="1" t="n">
        <v>58.4</v>
      </c>
      <c r="B93" s="59" t="n">
        <v>1563</v>
      </c>
      <c r="C93" s="59" t="n">
        <v>1360</v>
      </c>
      <c r="D93" s="59" t="n">
        <v>2159</v>
      </c>
      <c r="E93" s="59" t="n">
        <v>2243</v>
      </c>
      <c r="F93" s="59" t="n">
        <v>2163</v>
      </c>
      <c r="G93" s="54" t="n">
        <f aca="false">B93*B93*$R$3+B93*$S$3+$T$3</f>
        <v>57.68815576</v>
      </c>
      <c r="H93" s="54" t="n">
        <f aca="false">C93*C93*$R$5+C93*$S$5+$T$5</f>
        <v>60.49856</v>
      </c>
      <c r="I93" s="54" t="n">
        <f aca="false">D93*D93*$R$6+D93*$S$6+$T$6</f>
        <v>57.5212332599999</v>
      </c>
      <c r="J93" s="54" t="n">
        <f aca="false">E93*E93*$R$4+E93*$S$4+$T$4</f>
        <v>34.455289999999</v>
      </c>
      <c r="K93" s="54" t="n">
        <f aca="false">F93*F93*$R$7+F93*$S$7+$T$7</f>
        <v>56.5101322499995</v>
      </c>
      <c r="L93" s="53" t="n">
        <f aca="false">ABS((G93-$A93)/$A93)</f>
        <v>0.0121891136986306</v>
      </c>
      <c r="M93" s="53" t="n">
        <f aca="false">ABS((H93-$A93)/$A93)</f>
        <v>0.0359342465753425</v>
      </c>
      <c r="N93" s="53" t="n">
        <f aca="false">ABS((I93-$A93)/$A93)</f>
        <v>0.0150473756849329</v>
      </c>
      <c r="O93" s="53" t="n">
        <f aca="false">ABS((J93-$A93)/$A93)</f>
        <v>0.410012157534264</v>
      </c>
      <c r="P93" s="53" t="n">
        <f aca="false">ABS((K93-$A93)/$A93)</f>
        <v>0.0323607491438439</v>
      </c>
    </row>
    <row r="94" customFormat="false" ht="13.8" hidden="false" customHeight="false" outlineLevel="0" collapsed="false">
      <c r="A94" s="1" t="n">
        <v>58.4</v>
      </c>
      <c r="B94" s="59" t="n">
        <v>1534</v>
      </c>
      <c r="C94" s="59" t="n">
        <v>1360</v>
      </c>
      <c r="D94" s="59" t="n">
        <v>2160</v>
      </c>
      <c r="E94" s="59" t="n">
        <v>2239</v>
      </c>
      <c r="F94" s="59" t="n">
        <v>2161</v>
      </c>
      <c r="G94" s="54" t="n">
        <f aca="false">B94*B94*$R$3+B94*$S$3+$T$3</f>
        <v>60.40705424</v>
      </c>
      <c r="H94" s="54" t="n">
        <f aca="false">C94*C94*$R$5+C94*$S$5+$T$5</f>
        <v>60.49856</v>
      </c>
      <c r="I94" s="54" t="n">
        <f aca="false">D94*D94*$R$6+D94*$S$6+$T$6</f>
        <v>57.326656</v>
      </c>
      <c r="J94" s="54" t="n">
        <f aca="false">E94*E94*$R$4+E94*$S$4+$T$4</f>
        <v>35.3520099999992</v>
      </c>
      <c r="K94" s="54" t="n">
        <f aca="false">F94*F94*$R$7+F94*$S$7+$T$7</f>
        <v>57.1490902499995</v>
      </c>
      <c r="L94" s="53" t="n">
        <f aca="false">ABS((G94-$A94)/$A94)</f>
        <v>0.0343673671232873</v>
      </c>
      <c r="M94" s="53" t="n">
        <f aca="false">ABS((H94-$A94)/$A94)</f>
        <v>0.0359342465753425</v>
      </c>
      <c r="N94" s="53" t="n">
        <f aca="false">ABS((I94-$A94)/$A94)</f>
        <v>0.0183791780821925</v>
      </c>
      <c r="O94" s="53" t="n">
        <f aca="false">ABS((J94-$A94)/$A94)</f>
        <v>0.394657363013713</v>
      </c>
      <c r="P94" s="53" t="n">
        <f aca="false">ABS((K94-$A94)/$A94)</f>
        <v>0.0214196875000082</v>
      </c>
    </row>
    <row r="95" customFormat="false" ht="13.8" hidden="false" customHeight="false" outlineLevel="0" collapsed="false">
      <c r="A95" s="1" t="n">
        <v>58.4</v>
      </c>
      <c r="B95" s="59" t="n">
        <v>1559</v>
      </c>
      <c r="C95" s="59" t="n">
        <v>1360</v>
      </c>
      <c r="D95" s="59" t="n">
        <v>2160</v>
      </c>
      <c r="E95" s="59" t="n">
        <v>2243</v>
      </c>
      <c r="F95" s="59" t="n">
        <v>2164</v>
      </c>
      <c r="G95" s="54" t="n">
        <f aca="false">B95*B95*$R$3+B95*$S$3+$T$3</f>
        <v>58.05987224</v>
      </c>
      <c r="H95" s="54" t="n">
        <f aca="false">C95*C95*$R$5+C95*$S$5+$T$5</f>
        <v>60.49856</v>
      </c>
      <c r="I95" s="54" t="n">
        <f aca="false">D95*D95*$R$6+D95*$S$6+$T$6</f>
        <v>57.326656</v>
      </c>
      <c r="J95" s="54" t="n">
        <f aca="false">E95*E95*$R$4+E95*$S$4+$T$4</f>
        <v>34.455289999999</v>
      </c>
      <c r="K95" s="54" t="n">
        <f aca="false">F95*F95*$R$7+F95*$S$7+$T$7</f>
        <v>56.1924839999992</v>
      </c>
      <c r="L95" s="53" t="n">
        <f aca="false">ABS((G95-$A95)/$A95)</f>
        <v>0.00582410547945196</v>
      </c>
      <c r="M95" s="53" t="n">
        <f aca="false">ABS((H95-$A95)/$A95)</f>
        <v>0.0359342465753425</v>
      </c>
      <c r="N95" s="53" t="n">
        <f aca="false">ABS((I95-$A95)/$A95)</f>
        <v>0.0183791780821925</v>
      </c>
      <c r="O95" s="53" t="n">
        <f aca="false">ABS((J95-$A95)/$A95)</f>
        <v>0.410012157534264</v>
      </c>
      <c r="P95" s="53" t="n">
        <f aca="false">ABS((K95-$A95)/$A95)</f>
        <v>0.0377999315068623</v>
      </c>
    </row>
    <row r="96" customFormat="false" ht="13.8" hidden="false" customHeight="false" outlineLevel="0" collapsed="false">
      <c r="A96" s="1" t="n">
        <v>58.4</v>
      </c>
      <c r="B96" s="59" t="n">
        <v>1598</v>
      </c>
      <c r="C96" s="59" t="n">
        <v>1362</v>
      </c>
      <c r="D96" s="59" t="n">
        <v>2160</v>
      </c>
      <c r="E96" s="59" t="n">
        <v>2241</v>
      </c>
      <c r="F96" s="59" t="n">
        <v>2162</v>
      </c>
      <c r="G96" s="54" t="n">
        <f aca="false">B96*B96*$R$3+B96*$S$3+$T$3</f>
        <v>54.48073616</v>
      </c>
      <c r="H96" s="54" t="n">
        <f aca="false">C96*C96*$R$5+C96*$S$5+$T$5</f>
        <v>60.2113984000001</v>
      </c>
      <c r="I96" s="54" t="n">
        <f aca="false">D96*D96*$R$6+D96*$S$6+$T$6</f>
        <v>57.326656</v>
      </c>
      <c r="J96" s="54" t="n">
        <f aca="false">E96*E96*$R$4+E96*$S$4+$T$4</f>
        <v>34.9012099999991</v>
      </c>
      <c r="K96" s="54" t="n">
        <f aca="false">F96*F96*$R$7+F96*$S$7+$T$7</f>
        <v>56.8290009999996</v>
      </c>
      <c r="L96" s="53" t="n">
        <f aca="false">ABS((G96-$A96)/$A96)</f>
        <v>0.0671106821917814</v>
      </c>
      <c r="M96" s="53" t="n">
        <f aca="false">ABS((H96-$A96)/$A96)</f>
        <v>0.0310170958904121</v>
      </c>
      <c r="N96" s="53" t="n">
        <f aca="false">ABS((I96-$A96)/$A96)</f>
        <v>0.0183791780821925</v>
      </c>
      <c r="O96" s="53" t="n">
        <f aca="false">ABS((J96-$A96)/$A96)</f>
        <v>0.402376541095906</v>
      </c>
      <c r="P96" s="53" t="n">
        <f aca="false">ABS((K96-$A96)/$A96)</f>
        <v>0.0269006678082259</v>
      </c>
    </row>
    <row r="97" customFormat="false" ht="13.8" hidden="false" customHeight="false" outlineLevel="0" collapsed="false">
      <c r="A97" s="1" t="n">
        <v>58.4</v>
      </c>
      <c r="B97" s="59" t="n">
        <v>1535</v>
      </c>
      <c r="C97" s="59" t="n">
        <v>1364</v>
      </c>
      <c r="D97" s="59" t="n">
        <v>2160</v>
      </c>
      <c r="E97" s="59" t="n">
        <v>2242</v>
      </c>
      <c r="F97" s="59" t="n">
        <v>2164</v>
      </c>
      <c r="G97" s="54" t="n">
        <f aca="false">B97*B97*$R$3+B97*$S$3+$T$3</f>
        <v>60.312374</v>
      </c>
      <c r="H97" s="54" t="n">
        <f aca="false">C97*C97*$R$5+C97*$S$5+$T$5</f>
        <v>59.9251456000001</v>
      </c>
      <c r="I97" s="54" t="n">
        <f aca="false">D97*D97*$R$6+D97*$S$6+$T$6</f>
        <v>57.326656</v>
      </c>
      <c r="J97" s="54" t="n">
        <f aca="false">E97*E97*$R$4+E97*$S$4+$T$4</f>
        <v>34.6776399999994</v>
      </c>
      <c r="K97" s="54" t="n">
        <f aca="false">F97*F97*$R$7+F97*$S$7+$T$7</f>
        <v>56.1924839999992</v>
      </c>
      <c r="L97" s="53" t="n">
        <f aca="false">ABS((G97-$A97)/$A97)</f>
        <v>0.0327461301369859</v>
      </c>
      <c r="M97" s="53" t="n">
        <f aca="false">ABS((H97-$A97)/$A97)</f>
        <v>0.0261155068493162</v>
      </c>
      <c r="N97" s="53" t="n">
        <f aca="false">ABS((I97-$A97)/$A97)</f>
        <v>0.0183791780821925</v>
      </c>
      <c r="O97" s="53" t="n">
        <f aca="false">ABS((J97-$A97)/$A97)</f>
        <v>0.406204794520558</v>
      </c>
      <c r="P97" s="53" t="n">
        <f aca="false">ABS((K97-$A97)/$A97)</f>
        <v>0.0377999315068623</v>
      </c>
    </row>
    <row r="98" customFormat="false" ht="13.8" hidden="false" customHeight="false" outlineLevel="0" collapsed="false">
      <c r="A98" s="1" t="n">
        <v>58.4</v>
      </c>
      <c r="B98" s="59" t="n">
        <v>1509</v>
      </c>
      <c r="C98" s="59" t="n">
        <v>1366</v>
      </c>
      <c r="D98" s="59" t="n">
        <v>2160</v>
      </c>
      <c r="E98" s="59" t="n">
        <v>2243</v>
      </c>
      <c r="F98" s="59" t="n">
        <v>2162</v>
      </c>
      <c r="G98" s="54" t="n">
        <f aca="false">B98*B98*$R$3+B98*$S$3+$T$3</f>
        <v>62.79553624</v>
      </c>
      <c r="H98" s="54" t="n">
        <f aca="false">C98*C98*$R$5+C98*$S$5+$T$5</f>
        <v>59.6398015999999</v>
      </c>
      <c r="I98" s="54" t="n">
        <f aca="false">D98*D98*$R$6+D98*$S$6+$T$6</f>
        <v>57.326656</v>
      </c>
      <c r="J98" s="54" t="n">
        <f aca="false">E98*E98*$R$4+E98*$S$4+$T$4</f>
        <v>34.455289999999</v>
      </c>
      <c r="K98" s="54" t="n">
        <f aca="false">F98*F98*$R$7+F98*$S$7+$T$7</f>
        <v>56.8290009999996</v>
      </c>
      <c r="L98" s="53" t="n">
        <f aca="false">ABS((G98-$A98)/$A98)</f>
        <v>0.0752660315068492</v>
      </c>
      <c r="M98" s="53" t="n">
        <f aca="false">ABS((H98-$A98)/$A98)</f>
        <v>0.0212294794520538</v>
      </c>
      <c r="N98" s="53" t="n">
        <f aca="false">ABS((I98-$A98)/$A98)</f>
        <v>0.0183791780821925</v>
      </c>
      <c r="O98" s="53" t="n">
        <f aca="false">ABS((J98-$A98)/$A98)</f>
        <v>0.410012157534264</v>
      </c>
      <c r="P98" s="53" t="n">
        <f aca="false">ABS((K98-$A98)/$A98)</f>
        <v>0.0269006678082259</v>
      </c>
    </row>
    <row r="99" customFormat="false" ht="13.8" hidden="false" customHeight="false" outlineLevel="0" collapsed="false">
      <c r="A99" s="1" t="n">
        <v>58.4</v>
      </c>
      <c r="B99" s="59" t="n">
        <v>1565</v>
      </c>
      <c r="C99" s="59" t="n">
        <v>1390</v>
      </c>
      <c r="D99" s="59" t="n">
        <v>2174</v>
      </c>
      <c r="E99" s="59" t="n">
        <v>2241</v>
      </c>
      <c r="F99" s="59" t="n">
        <v>2160</v>
      </c>
      <c r="G99" s="54" t="n">
        <f aca="false">B99*B99*$R$3+B99*$S$3+$T$3</f>
        <v>57.502694</v>
      </c>
      <c r="H99" s="54" t="n">
        <f aca="false">C99*C99*$R$5+C99*$S$5+$T$5</f>
        <v>56.2865600000001</v>
      </c>
      <c r="I99" s="54" t="n">
        <f aca="false">D99*D99*$R$6+D99*$S$6+$T$6</f>
        <v>54.63144096</v>
      </c>
      <c r="J99" s="54" t="n">
        <f aca="false">E99*E99*$R$4+E99*$S$4+$T$4</f>
        <v>34.9012099999991</v>
      </c>
      <c r="K99" s="54" t="n">
        <f aca="false">F99*F99*$R$7+F99*$S$7+$T$7</f>
        <v>57.4703999999997</v>
      </c>
      <c r="L99" s="53" t="n">
        <f aca="false">ABS((G99-$A99)/$A99)</f>
        <v>0.0153648287671239</v>
      </c>
      <c r="M99" s="53" t="n">
        <f aca="false">ABS((H99-$A99)/$A99)</f>
        <v>0.0361890410958893</v>
      </c>
      <c r="N99" s="53" t="n">
        <f aca="false">ABS((I99-$A99)/$A99)</f>
        <v>0.0645301205479458</v>
      </c>
      <c r="O99" s="53" t="n">
        <f aca="false">ABS((J99-$A99)/$A99)</f>
        <v>0.402376541095906</v>
      </c>
      <c r="P99" s="53" t="n">
        <f aca="false">ABS((K99-$A99)/$A99)</f>
        <v>0.0159178082191832</v>
      </c>
    </row>
    <row r="100" customFormat="false" ht="13.8" hidden="false" customHeight="false" outlineLevel="0" collapsed="false">
      <c r="A100" s="1" t="n">
        <v>16.3</v>
      </c>
      <c r="B100" s="59" t="n">
        <v>2126</v>
      </c>
      <c r="C100" s="59" t="n">
        <v>2075</v>
      </c>
      <c r="D100" s="59" t="n">
        <v>2309</v>
      </c>
      <c r="E100" s="59" t="n">
        <v>2368</v>
      </c>
      <c r="F100" s="59" t="n">
        <v>2336</v>
      </c>
      <c r="G100" s="54" t="n">
        <f aca="false">B100*B100*$R$3+B100*$S$3+$T$3</f>
        <v>15.9161230399999</v>
      </c>
      <c r="H100" s="54" t="n">
        <f aca="false">C100*C100*$R$5+C100*$S$5+$T$5</f>
        <v>15.751</v>
      </c>
      <c r="I100" s="54" t="n">
        <f aca="false">D100*D100*$R$6+D100*$S$6+$T$6</f>
        <v>31.4068752600001</v>
      </c>
      <c r="J100" s="54" t="n">
        <f aca="false">E100*E100*$R$4+E100*$S$4+$T$4</f>
        <v>16.2690399999997</v>
      </c>
      <c r="K100" s="54" t="n">
        <f aca="false">F100*F100*$R$7+F100*$S$7+$T$7</f>
        <v>19.715584</v>
      </c>
      <c r="L100" s="53" t="n">
        <f aca="false">ABS((G100-$A100)/$A100)</f>
        <v>0.0235507337423347</v>
      </c>
      <c r="M100" s="53" t="n">
        <f aca="false">ABS((H100-$A100)/$A100)</f>
        <v>0.03368098159509</v>
      </c>
      <c r="N100" s="53" t="n">
        <f aca="false">ABS((I100-$A100)/$A100)</f>
        <v>0.926802163190191</v>
      </c>
      <c r="O100" s="53" t="n">
        <f aca="false">ABS((J100-$A100)/$A100)</f>
        <v>0.00189938650308734</v>
      </c>
      <c r="P100" s="53" t="n">
        <f aca="false">ABS((K100-$A100)/$A100)</f>
        <v>0.209545030674849</v>
      </c>
    </row>
    <row r="101" customFormat="false" ht="13.8" hidden="false" customHeight="false" outlineLevel="0" collapsed="false">
      <c r="A101" s="1" t="n">
        <v>16.2</v>
      </c>
      <c r="B101" s="59" t="n">
        <v>2217</v>
      </c>
      <c r="C101" s="59" t="n">
        <v>2082</v>
      </c>
      <c r="D101" s="59" t="n">
        <v>2325</v>
      </c>
      <c r="E101" s="59" t="n">
        <v>2359</v>
      </c>
      <c r="F101" s="59" t="n">
        <v>2355</v>
      </c>
      <c r="G101" s="54" t="n">
        <f aca="false">B101*B101*$R$3+B101*$S$3+$T$3</f>
        <v>11.13068056</v>
      </c>
      <c r="H101" s="54" t="n">
        <f aca="false">C101*C101*$R$5+C101*$S$5+$T$5</f>
        <v>15.8870464</v>
      </c>
      <c r="I101" s="54" t="n">
        <f aca="false">D101*D101*$R$6+D101*$S$6+$T$6</f>
        <v>28.9864374999997</v>
      </c>
      <c r="J101" s="54" t="n">
        <f aca="false">E101*E101*$R$4+E101*$S$4+$T$4</f>
        <v>16.9416099999989</v>
      </c>
      <c r="K101" s="54" t="n">
        <f aca="false">F101*F101*$R$7+F101*$S$7+$T$7</f>
        <v>17.9007562499996</v>
      </c>
      <c r="L101" s="53" t="n">
        <f aca="false">ABS((G101-$A101)/$A101)</f>
        <v>0.312920953086418</v>
      </c>
      <c r="M101" s="53" t="n">
        <f aca="false">ABS((H101-$A101)/$A101)</f>
        <v>0.0193181234567917</v>
      </c>
      <c r="N101" s="53" t="n">
        <f aca="false">ABS((I101-$A101)/$A101)</f>
        <v>0.789286265432083</v>
      </c>
      <c r="O101" s="53" t="n">
        <f aca="false">ABS((J101-$A101)/$A101)</f>
        <v>0.0457783950616634</v>
      </c>
      <c r="P101" s="53" t="n">
        <f aca="false">ABS((K101-$A101)/$A101)</f>
        <v>0.104984953703681</v>
      </c>
    </row>
    <row r="102" customFormat="false" ht="13.8" hidden="false" customHeight="false" outlineLevel="0" collapsed="false">
      <c r="A102" s="1" t="n">
        <v>16.2</v>
      </c>
      <c r="B102" s="59" t="n">
        <v>2125</v>
      </c>
      <c r="C102" s="59" t="n">
        <v>2079</v>
      </c>
      <c r="D102" s="59" t="n">
        <v>2337</v>
      </c>
      <c r="E102" s="59" t="n">
        <v>2367</v>
      </c>
      <c r="F102" s="59" t="n">
        <v>2368</v>
      </c>
      <c r="G102" s="54" t="n">
        <f aca="false">B102*B102*$R$3+B102*$S$3+$T$3</f>
        <v>15.97175</v>
      </c>
      <c r="H102" s="54" t="n">
        <f aca="false">C102*C102*$R$5+C102*$S$5+$T$5</f>
        <v>15.8273776</v>
      </c>
      <c r="I102" s="54" t="n">
        <f aca="false">D102*D102*$R$6+D102*$S$6+$T$6</f>
        <v>27.2172957399998</v>
      </c>
      <c r="J102" s="54" t="n">
        <f aca="false">E102*E102*$R$4+E102*$S$4+$T$4</f>
        <v>16.3388899999995</v>
      </c>
      <c r="K102" s="54" t="n">
        <f aca="false">F102*F102*$R$7+F102*$S$7+$T$7</f>
        <v>16.9128959999998</v>
      </c>
      <c r="L102" s="53" t="n">
        <f aca="false">ABS((G102-$A102)/$A102)</f>
        <v>0.0140895061728403</v>
      </c>
      <c r="M102" s="53" t="n">
        <f aca="false">ABS((H102-$A102)/$A102)</f>
        <v>0.0230013827160472</v>
      </c>
      <c r="N102" s="53" t="n">
        <f aca="false">ABS((I102-$A102)/$A102)</f>
        <v>0.680079983950607</v>
      </c>
      <c r="O102" s="53" t="n">
        <f aca="false">ABS((J102-$A102)/$A102)</f>
        <v>0.00857345679009494</v>
      </c>
      <c r="P102" s="53" t="n">
        <f aca="false">ABS((K102-$A102)/$A102)</f>
        <v>0.0440059259259148</v>
      </c>
    </row>
    <row r="103" customFormat="false" ht="13.8" hidden="false" customHeight="false" outlineLevel="0" collapsed="false">
      <c r="A103" s="1" t="n">
        <v>16.2</v>
      </c>
      <c r="B103" s="59" t="n">
        <v>2132</v>
      </c>
      <c r="C103" s="59" t="n">
        <v>2083</v>
      </c>
      <c r="D103" s="59" t="n">
        <v>2341</v>
      </c>
      <c r="E103" s="59" t="n">
        <v>2369</v>
      </c>
      <c r="F103" s="59" t="n">
        <v>2367</v>
      </c>
      <c r="G103" s="54" t="n">
        <f aca="false">B103*B103*$R$3+B103*$S$3+$T$3</f>
        <v>15.5837489599999</v>
      </c>
      <c r="H103" s="54" t="n">
        <f aca="false">C103*C103*$R$5+C103*$S$5+$T$5</f>
        <v>15.9073904000001</v>
      </c>
      <c r="I103" s="54" t="n">
        <f aca="false">D103*D103*$R$6+D103*$S$6+$T$6</f>
        <v>26.63637926</v>
      </c>
      <c r="J103" s="54" t="n">
        <f aca="false">E103*E103*$R$4+E103*$S$4+$T$4</f>
        <v>16.2004099999995</v>
      </c>
      <c r="K103" s="54" t="n">
        <f aca="false">F103*F103*$R$7+F103*$S$7+$T$7</f>
        <v>16.98156225</v>
      </c>
      <c r="L103" s="53" t="n">
        <f aca="false">ABS((G103-$A103)/$A103)</f>
        <v>0.0380401876543257</v>
      </c>
      <c r="M103" s="53" t="n">
        <f aca="false">ABS((H103-$A103)/$A103)</f>
        <v>0.018062320987651</v>
      </c>
      <c r="N103" s="53" t="n">
        <f aca="false">ABS((I103-$A103)/$A103)</f>
        <v>0.644220941975309</v>
      </c>
      <c r="O103" s="53" t="n">
        <f aca="false">ABS((J103-$A103)/$A103)</f>
        <v>2.53086419423322E-005</v>
      </c>
      <c r="P103" s="53" t="n">
        <f aca="false">ABS((K103-$A103)/$A103)</f>
        <v>0.0482445833333349</v>
      </c>
    </row>
    <row r="104" customFormat="false" ht="13.8" hidden="false" customHeight="false" outlineLevel="0" collapsed="false">
      <c r="A104" s="1" t="n">
        <v>16.2</v>
      </c>
      <c r="B104" s="59" t="n">
        <v>2126</v>
      </c>
      <c r="C104" s="59" t="n">
        <v>2019</v>
      </c>
      <c r="D104" s="59" t="n">
        <v>2351</v>
      </c>
      <c r="E104" s="59" t="n">
        <v>2386</v>
      </c>
      <c r="F104" s="59" t="n">
        <v>2370</v>
      </c>
      <c r="G104" s="54" t="n">
        <f aca="false">B104*B104*$R$3+B104*$S$3+$T$3</f>
        <v>15.9161230399999</v>
      </c>
      <c r="H104" s="54" t="n">
        <f aca="false">C104*C104*$R$5+C104*$S$5+$T$5</f>
        <v>15.0634096000001</v>
      </c>
      <c r="I104" s="54" t="n">
        <f aca="false">D104*D104*$R$6+D104*$S$6+$T$6</f>
        <v>25.2033324600002</v>
      </c>
      <c r="J104" s="54" t="n">
        <f aca="false">E104*E104*$R$4+E104*$S$4+$T$4</f>
        <v>15.2203599999989</v>
      </c>
      <c r="K104" s="54" t="n">
        <f aca="false">F104*F104*$R$7+F104*$S$7+$T$7</f>
        <v>16.7792249999998</v>
      </c>
      <c r="L104" s="53" t="n">
        <f aca="false">ABS((G104-$A104)/$A104)</f>
        <v>0.0175232691358058</v>
      </c>
      <c r="M104" s="53" t="n">
        <f aca="false">ABS((H104-$A104)/$A104)</f>
        <v>0.0701599012345644</v>
      </c>
      <c r="N104" s="53" t="n">
        <f aca="false">ABS((I104-$A104)/$A104)</f>
        <v>0.555761262962974</v>
      </c>
      <c r="O104" s="53" t="n">
        <f aca="false">ABS((J104-$A104)/$A104)</f>
        <v>0.06047160493834</v>
      </c>
      <c r="P104" s="53" t="n">
        <f aca="false">ABS((K104-$A104)/$A104)</f>
        <v>0.0357546296296154</v>
      </c>
    </row>
    <row r="105" customFormat="false" ht="13.8" hidden="false" customHeight="false" outlineLevel="0" collapsed="false">
      <c r="A105" s="1" t="n">
        <v>16.2</v>
      </c>
      <c r="B105" s="59" t="n">
        <v>2064</v>
      </c>
      <c r="C105" s="59" t="n">
        <v>2081</v>
      </c>
      <c r="D105" s="59" t="n">
        <v>2357</v>
      </c>
      <c r="E105" s="59" t="n">
        <v>2383</v>
      </c>
      <c r="F105" s="59" t="n">
        <v>2384</v>
      </c>
      <c r="G105" s="54" t="n">
        <f aca="false">B105*B105*$R$3+B105*$S$3+$T$3</f>
        <v>19.48995184</v>
      </c>
      <c r="H105" s="54" t="n">
        <f aca="false">C105*C105*$R$5+C105*$S$5+$T$5</f>
        <v>15.8669296</v>
      </c>
      <c r="I105" s="54" t="n">
        <f aca="false">D105*D105*$R$6+D105*$S$6+$T$6</f>
        <v>24.35670054</v>
      </c>
      <c r="J105" s="54" t="n">
        <f aca="false">E105*E105*$R$4+E105*$S$4+$T$4</f>
        <v>15.3676899999991</v>
      </c>
      <c r="K105" s="54" t="n">
        <f aca="false">F105*F105*$R$7+F105*$S$7+$T$7</f>
        <v>15.9802239999995</v>
      </c>
      <c r="L105" s="53" t="n">
        <f aca="false">ABS((G105-$A105)/$A105)</f>
        <v>0.203083446913581</v>
      </c>
      <c r="M105" s="53" t="n">
        <f aca="false">ABS((H105-$A105)/$A105)</f>
        <v>0.0205599012345684</v>
      </c>
      <c r="N105" s="53" t="n">
        <f aca="false">ABS((I105-$A105)/$A105)</f>
        <v>0.503500033333335</v>
      </c>
      <c r="O105" s="53" t="n">
        <f aca="false">ABS((J105-$A105)/$A105)</f>
        <v>0.0513771604938809</v>
      </c>
      <c r="P105" s="53" t="n">
        <f aca="false">ABS((K105-$A105)/$A105)</f>
        <v>0.0135664197531202</v>
      </c>
    </row>
    <row r="106" customFormat="false" ht="13.8" hidden="false" customHeight="false" outlineLevel="0" collapsed="false">
      <c r="A106" s="1" t="n">
        <v>16.2</v>
      </c>
      <c r="B106" s="59" t="n">
        <v>2119</v>
      </c>
      <c r="C106" s="59" t="n">
        <v>2076</v>
      </c>
      <c r="D106" s="59" t="n">
        <v>2364</v>
      </c>
      <c r="E106" s="59" t="n">
        <v>2384</v>
      </c>
      <c r="F106" s="59" t="n">
        <v>2375</v>
      </c>
      <c r="G106" s="54" t="n">
        <f aca="false">B106*B106*$R$3+B106*$S$3+$T$3</f>
        <v>16.30689944</v>
      </c>
      <c r="H106" s="54" t="n">
        <f aca="false">C106*C106*$R$5+C106*$S$5+$T$5</f>
        <v>15.7697536</v>
      </c>
      <c r="I106" s="54" t="n">
        <f aca="false">D106*D106*$R$6+D106*$S$6+$T$6</f>
        <v>23.3814721599999</v>
      </c>
      <c r="J106" s="54" t="n">
        <f aca="false">E106*E106*$R$4+E106*$S$4+$T$4</f>
        <v>15.3173599999991</v>
      </c>
      <c r="K106" s="54" t="n">
        <f aca="false">F106*F106*$R$7+F106*$S$7+$T$7</f>
        <v>16.4664062499996</v>
      </c>
      <c r="L106" s="53" t="n">
        <f aca="false">ABS((G106-$A106)/$A106)</f>
        <v>0.00659873086419728</v>
      </c>
      <c r="M106" s="53" t="n">
        <f aca="false">ABS((H106-$A106)/$A106)</f>
        <v>0.0265584197530863</v>
      </c>
      <c r="N106" s="53" t="n">
        <f aca="false">ABS((I106-$A106)/$A106)</f>
        <v>0.44330075061728</v>
      </c>
      <c r="O106" s="53" t="n">
        <f aca="false">ABS((J106-$A106)/$A106)</f>
        <v>0.0544839506173396</v>
      </c>
      <c r="P106" s="53" t="n">
        <f aca="false">ABS((K106-$A106)/$A106)</f>
        <v>0.0164448302468912</v>
      </c>
    </row>
    <row r="107" customFormat="false" ht="13.8" hidden="false" customHeight="false" outlineLevel="0" collapsed="false">
      <c r="A107" s="1" t="n">
        <v>16.2</v>
      </c>
      <c r="B107" s="59" t="n">
        <v>2101</v>
      </c>
      <c r="C107" s="59" t="n">
        <v>2096</v>
      </c>
      <c r="D107" s="59" t="n">
        <v>2369</v>
      </c>
      <c r="E107" s="59" t="n">
        <v>2401</v>
      </c>
      <c r="F107" s="59" t="n">
        <v>2378</v>
      </c>
      <c r="G107" s="54" t="n">
        <f aca="false">B107*B107*$R$3+B107*$S$3+$T$3</f>
        <v>17.32662104</v>
      </c>
      <c r="H107" s="54" t="n">
        <f aca="false">C107*C107*$R$5+C107*$S$5+$T$5</f>
        <v>16.1925376</v>
      </c>
      <c r="I107" s="54" t="n">
        <f aca="false">D107*D107*$R$6+D107*$S$6+$T$6</f>
        <v>22.6931280599999</v>
      </c>
      <c r="J107" s="54" t="n">
        <f aca="false">E107*E107*$R$4+E107*$S$4+$T$4</f>
        <v>14.6484099999993</v>
      </c>
      <c r="K107" s="54" t="n">
        <f aca="false">F107*F107*$R$7+F107*$S$7+$T$7</f>
        <v>16.2933609999996</v>
      </c>
      <c r="L107" s="53" t="n">
        <f aca="false">ABS((G107-$A107)/$A107)</f>
        <v>0.0695445086419731</v>
      </c>
      <c r="M107" s="53" t="n">
        <f aca="false">ABS((H107-$A107)/$A107)</f>
        <v>0.000460641975309826</v>
      </c>
      <c r="N107" s="53" t="n">
        <f aca="false">ABS((I107-$A107)/$A107)</f>
        <v>0.40081037407407</v>
      </c>
      <c r="O107" s="53" t="n">
        <f aca="false">ABS((J107-$A107)/$A107)</f>
        <v>0.0957771604938685</v>
      </c>
      <c r="P107" s="53" t="n">
        <f aca="false">ABS((K107-$A107)/$A107)</f>
        <v>0.00576302469133027</v>
      </c>
    </row>
    <row r="108" customFormat="false" ht="13.8" hidden="false" customHeight="false" outlineLevel="0" collapsed="false">
      <c r="A108" s="1" t="n">
        <v>16.3</v>
      </c>
      <c r="B108" s="59" t="n">
        <v>2170</v>
      </c>
      <c r="C108" s="59" t="n">
        <v>2081</v>
      </c>
      <c r="D108" s="59" t="n">
        <v>2379</v>
      </c>
      <c r="E108" s="59" t="n">
        <v>2395</v>
      </c>
      <c r="F108" s="59" t="n">
        <v>2384</v>
      </c>
      <c r="G108" s="54" t="n">
        <f aca="false">B108*B108*$R$3+B108*$S$3+$T$3</f>
        <v>13.533956</v>
      </c>
      <c r="H108" s="54" t="n">
        <f aca="false">C108*C108*$R$5+C108*$S$5+$T$5</f>
        <v>15.8669296</v>
      </c>
      <c r="I108" s="54" t="n">
        <f aca="false">D108*D108*$R$6+D108*$S$6+$T$6</f>
        <v>21.3370588600001</v>
      </c>
      <c r="J108" s="54" t="n">
        <f aca="false">E108*E108*$R$4+E108*$S$4+$T$4</f>
        <v>14.8442499999996</v>
      </c>
      <c r="K108" s="54" t="n">
        <f aca="false">F108*F108*$R$7+F108*$S$7+$T$7</f>
        <v>15.9802239999995</v>
      </c>
      <c r="L108" s="53" t="n">
        <f aca="false">ABS((G108-$A108)/$A108)</f>
        <v>0.169695950920246</v>
      </c>
      <c r="M108" s="53" t="n">
        <f aca="false">ABS((H108-$A108)/$A108)</f>
        <v>0.0265687361963196</v>
      </c>
      <c r="N108" s="53" t="n">
        <f aca="false">ABS((I108-$A108)/$A108)</f>
        <v>0.309022015950925</v>
      </c>
      <c r="O108" s="53" t="n">
        <f aca="false">ABS((J108-$A108)/$A108)</f>
        <v>0.0893098159509419</v>
      </c>
      <c r="P108" s="53" t="n">
        <f aca="false">ABS((K108-$A108)/$A108)</f>
        <v>0.0196181595092361</v>
      </c>
    </row>
    <row r="109" customFormat="false" ht="13.8" hidden="false" customHeight="false" outlineLevel="0" collapsed="false">
      <c r="A109" s="1" t="n">
        <v>16.2</v>
      </c>
      <c r="B109" s="59" t="n">
        <v>2126</v>
      </c>
      <c r="C109" s="59" t="n">
        <v>2081</v>
      </c>
      <c r="D109" s="59" t="n">
        <v>2381</v>
      </c>
      <c r="E109" s="59" t="n">
        <v>2431</v>
      </c>
      <c r="F109" s="59" t="n">
        <v>2384</v>
      </c>
      <c r="G109" s="54" t="n">
        <f aca="false">B109*B109*$R$3+B109*$S$3+$T$3</f>
        <v>15.9161230399999</v>
      </c>
      <c r="H109" s="54" t="n">
        <f aca="false">C109*C109*$R$5+C109*$S$5+$T$5</f>
        <v>15.8669296</v>
      </c>
      <c r="I109" s="54" t="n">
        <f aca="false">D109*D109*$R$6+D109*$S$6+$T$6</f>
        <v>21.0691440599999</v>
      </c>
      <c r="J109" s="54" t="n">
        <f aca="false">E109*E109*$R$4+E109*$S$4+$T$4</f>
        <v>14.3280099999993</v>
      </c>
      <c r="K109" s="54" t="n">
        <f aca="false">F109*F109*$R$7+F109*$S$7+$T$7</f>
        <v>15.9802239999995</v>
      </c>
      <c r="L109" s="53" t="n">
        <f aca="false">ABS((G109-$A109)/$A109)</f>
        <v>0.0175232691358058</v>
      </c>
      <c r="M109" s="53" t="n">
        <f aca="false">ABS((H109-$A109)/$A109)</f>
        <v>0.0205599012345684</v>
      </c>
      <c r="N109" s="53" t="n">
        <f aca="false">ABS((I109-$A109)/$A109)</f>
        <v>0.30056444814814</v>
      </c>
      <c r="O109" s="53" t="n">
        <f aca="false">ABS((J109-$A109)/$A109)</f>
        <v>0.11555493827165</v>
      </c>
      <c r="P109" s="53" t="n">
        <f aca="false">ABS((K109-$A109)/$A109)</f>
        <v>0.0135664197531202</v>
      </c>
    </row>
    <row r="110" customFormat="false" ht="13.8" hidden="false" customHeight="false" outlineLevel="0" collapsed="false">
      <c r="A110" s="1" t="n">
        <v>16.3</v>
      </c>
      <c r="B110" s="59" t="n">
        <v>2122</v>
      </c>
      <c r="C110" s="59" t="n">
        <v>2078</v>
      </c>
      <c r="D110" s="59" t="n">
        <v>2382</v>
      </c>
      <c r="E110" s="59" t="n">
        <v>2403</v>
      </c>
      <c r="F110" s="59" t="n">
        <v>2384</v>
      </c>
      <c r="G110" s="54" t="n">
        <f aca="false">B110*B110*$R$3+B110*$S$3+$T$3</f>
        <v>16.1390273599999</v>
      </c>
      <c r="H110" s="54" t="n">
        <f aca="false">C110*C110*$R$5+C110*$S$5+$T$5</f>
        <v>15.8079424000001</v>
      </c>
      <c r="I110" s="54" t="n">
        <f aca="false">D110*D110*$R$6+D110*$S$6+$T$6</f>
        <v>20.9355990399999</v>
      </c>
      <c r="J110" s="54" t="n">
        <f aca="false">E110*E110*$R$4+E110*$S$4+$T$4</f>
        <v>14.5928899999994</v>
      </c>
      <c r="K110" s="54" t="n">
        <f aca="false">F110*F110*$R$7+F110*$S$7+$T$7</f>
        <v>15.9802239999995</v>
      </c>
      <c r="L110" s="53" t="n">
        <f aca="false">ABS((G110-$A110)/$A110)</f>
        <v>0.0098756220858931</v>
      </c>
      <c r="M110" s="53" t="n">
        <f aca="false">ABS((H110-$A110)/$A110)</f>
        <v>0.0301875828220823</v>
      </c>
      <c r="N110" s="53" t="n">
        <f aca="false">ABS((I110-$A110)/$A110)</f>
        <v>0.284392579141101</v>
      </c>
      <c r="O110" s="53" t="n">
        <f aca="false">ABS((J110-$A110)/$A110)</f>
        <v>0.10473067484666</v>
      </c>
      <c r="P110" s="53" t="n">
        <f aca="false">ABS((K110-$A110)/$A110)</f>
        <v>0.0196181595092361</v>
      </c>
    </row>
    <row r="111" customFormat="false" ht="13.8" hidden="false" customHeight="false" outlineLevel="0" collapsed="false">
      <c r="A111" s="1" t="n">
        <v>16.2</v>
      </c>
      <c r="B111" s="59" t="n">
        <v>2128</v>
      </c>
      <c r="C111" s="59" t="n">
        <v>2079</v>
      </c>
      <c r="D111" s="59" t="n">
        <v>2384</v>
      </c>
      <c r="E111" s="59" t="n">
        <v>2403</v>
      </c>
      <c r="F111" s="59" t="n">
        <v>2388</v>
      </c>
      <c r="G111" s="54" t="n">
        <f aca="false">B111*B111*$R$3+B111*$S$3+$T$3</f>
        <v>15.80506736</v>
      </c>
      <c r="H111" s="54" t="n">
        <f aca="false">C111*C111*$R$5+C111*$S$5+$T$5</f>
        <v>15.8273776</v>
      </c>
      <c r="I111" s="54" t="n">
        <f aca="false">D111*D111*$R$6+D111*$S$6+$T$6</f>
        <v>20.66933376</v>
      </c>
      <c r="J111" s="54" t="n">
        <f aca="false">E111*E111*$R$4+E111*$S$4+$T$4</f>
        <v>14.5928899999994</v>
      </c>
      <c r="K111" s="54" t="n">
        <f aca="false">F111*F111*$R$7+F111*$S$7+$T$7</f>
        <v>15.7958759999992</v>
      </c>
      <c r="L111" s="53" t="n">
        <f aca="false">ABS((G111-$A111)/$A111)</f>
        <v>0.0243785580246907</v>
      </c>
      <c r="M111" s="53" t="n">
        <f aca="false">ABS((H111-$A111)/$A111)</f>
        <v>0.0230013827160472</v>
      </c>
      <c r="N111" s="53" t="n">
        <f aca="false">ABS((I111-$A111)/$A111)</f>
        <v>0.275884799999998</v>
      </c>
      <c r="O111" s="53" t="n">
        <f aca="false">ABS((J111-$A111)/$A111)</f>
        <v>0.0992043209876887</v>
      </c>
      <c r="P111" s="53" t="n">
        <f aca="false">ABS((K111-$A111)/$A111)</f>
        <v>0.0249459259259737</v>
      </c>
    </row>
    <row r="112" customFormat="false" ht="13.8" hidden="false" customHeight="false" outlineLevel="0" collapsed="false">
      <c r="A112" s="1" t="n">
        <v>16.2</v>
      </c>
      <c r="B112" s="59" t="n">
        <v>2119</v>
      </c>
      <c r="C112" s="59" t="n">
        <v>2079</v>
      </c>
      <c r="D112" s="59" t="n">
        <v>2387</v>
      </c>
      <c r="E112" s="59" t="n">
        <v>2405</v>
      </c>
      <c r="F112" s="59" t="n">
        <v>2390</v>
      </c>
      <c r="G112" s="54" t="n">
        <f aca="false">B112*B112*$R$3+B112*$S$3+$T$3</f>
        <v>16.30689944</v>
      </c>
      <c r="H112" s="54" t="n">
        <f aca="false">C112*C112*$R$5+C112*$S$5+$T$5</f>
        <v>15.8273776</v>
      </c>
      <c r="I112" s="54" t="n">
        <f aca="false">D112*D112*$R$6+D112*$S$6+$T$6</f>
        <v>20.2719977400002</v>
      </c>
      <c r="J112" s="54" t="n">
        <f aca="false">E112*E112*$R$4+E112*$S$4+$T$4</f>
        <v>14.5422499999991</v>
      </c>
      <c r="K112" s="54" t="n">
        <f aca="false">F112*F112*$R$7+F112*$S$7+$T$7</f>
        <v>15.7110250000001</v>
      </c>
      <c r="L112" s="53" t="n">
        <f aca="false">ABS((G112-$A112)/$A112)</f>
        <v>0.00659873086419728</v>
      </c>
      <c r="M112" s="53" t="n">
        <f aca="false">ABS((H112-$A112)/$A112)</f>
        <v>0.0230013827160472</v>
      </c>
      <c r="N112" s="53" t="n">
        <f aca="false">ABS((I112-$A112)/$A112)</f>
        <v>0.251357885185197</v>
      </c>
      <c r="O112" s="53" t="n">
        <f aca="false">ABS((J112-$A112)/$A112)</f>
        <v>0.102330246913638</v>
      </c>
      <c r="P112" s="53" t="n">
        <f aca="false">ABS((K112-$A112)/$A112)</f>
        <v>0.0301836419753047</v>
      </c>
    </row>
    <row r="113" customFormat="false" ht="13.8" hidden="false" customHeight="false" outlineLevel="0" collapsed="false">
      <c r="A113" s="1" t="n">
        <v>16.2</v>
      </c>
      <c r="B113" s="59" t="n">
        <v>2117</v>
      </c>
      <c r="C113" s="59" t="n">
        <v>2080</v>
      </c>
      <c r="D113" s="59" t="n">
        <v>2390</v>
      </c>
      <c r="E113" s="59" t="n">
        <v>2401</v>
      </c>
      <c r="F113" s="59" t="n">
        <v>2391</v>
      </c>
      <c r="G113" s="54" t="n">
        <f aca="false">B113*B113*$R$3+B113*$S$3+$T$3</f>
        <v>16.41914456</v>
      </c>
      <c r="H113" s="54" t="n">
        <f aca="false">C113*C113*$R$5+C113*$S$5+$T$5</f>
        <v>15.8470400000001</v>
      </c>
      <c r="I113" s="54" t="n">
        <f aca="false">D113*D113*$R$6+D113*$S$6+$T$6</f>
        <v>19.8771359999998</v>
      </c>
      <c r="J113" s="54" t="n">
        <f aca="false">E113*E113*$R$4+E113*$S$4+$T$4</f>
        <v>14.6484099999993</v>
      </c>
      <c r="K113" s="54" t="n">
        <f aca="false">F113*F113*$R$7+F113*$S$7+$T$7</f>
        <v>15.6704302500002</v>
      </c>
      <c r="L113" s="53" t="n">
        <f aca="false">ABS((G113-$A113)/$A113)</f>
        <v>0.0135274419753091</v>
      </c>
      <c r="M113" s="53" t="n">
        <f aca="false">ABS((H113-$A113)/$A113)</f>
        <v>0.0217876543209846</v>
      </c>
      <c r="N113" s="53" t="n">
        <f aca="false">ABS((I113-$A113)/$A113)</f>
        <v>0.226983703703694</v>
      </c>
      <c r="O113" s="53" t="n">
        <f aca="false">ABS((J113-$A113)/$A113)</f>
        <v>0.0957771604938685</v>
      </c>
      <c r="P113" s="53" t="n">
        <f aca="false">ABS((K113-$A113)/$A113)</f>
        <v>0.0326894907407278</v>
      </c>
    </row>
    <row r="114" customFormat="false" ht="13.8" hidden="false" customHeight="false" outlineLevel="0" collapsed="false">
      <c r="A114" s="1" t="n">
        <v>16.2</v>
      </c>
      <c r="B114" s="59" t="n">
        <v>2116</v>
      </c>
      <c r="C114" s="59" t="n">
        <v>2077</v>
      </c>
      <c r="D114" s="59" t="n">
        <v>2399</v>
      </c>
      <c r="E114" s="59" t="n">
        <v>2414</v>
      </c>
      <c r="F114" s="59" t="n">
        <v>2388</v>
      </c>
      <c r="G114" s="54" t="n">
        <f aca="false">B114*B114*$R$3+B114*$S$3+$T$3</f>
        <v>16.47536624</v>
      </c>
      <c r="H114" s="54" t="n">
        <f aca="false">C114*C114*$R$5+C114*$S$5+$T$5</f>
        <v>15.7887344</v>
      </c>
      <c r="I114" s="54" t="n">
        <f aca="false">D114*D114*$R$6+D114*$S$6+$T$6</f>
        <v>18.7073964599999</v>
      </c>
      <c r="J114" s="54" t="n">
        <f aca="false">E114*E114*$R$4+E114*$S$4+$T$4</f>
        <v>14.3747599999988</v>
      </c>
      <c r="K114" s="54" t="n">
        <f aca="false">F114*F114*$R$7+F114*$S$7+$T$7</f>
        <v>15.7958759999992</v>
      </c>
      <c r="L114" s="53" t="n">
        <f aca="false">ABS((G114-$A114)/$A114)</f>
        <v>0.0169979160493845</v>
      </c>
      <c r="M114" s="53" t="n">
        <f aca="false">ABS((H114-$A114)/$A114)</f>
        <v>0.0253867654320981</v>
      </c>
      <c r="N114" s="53" t="n">
        <f aca="false">ABS((I114-$A114)/$A114)</f>
        <v>0.154777559259255</v>
      </c>
      <c r="O114" s="53" t="n">
        <f aca="false">ABS((J114-$A114)/$A114)</f>
        <v>0.112669135802544</v>
      </c>
      <c r="P114" s="53" t="n">
        <f aca="false">ABS((K114-$A114)/$A114)</f>
        <v>0.0249459259259737</v>
      </c>
    </row>
    <row r="115" customFormat="false" ht="13.8" hidden="false" customHeight="false" outlineLevel="0" collapsed="false">
      <c r="A115" s="1" t="n">
        <v>16.3</v>
      </c>
      <c r="B115" s="59" t="n">
        <v>2125</v>
      </c>
      <c r="C115" s="59" t="n">
        <v>2032</v>
      </c>
      <c r="D115" s="59" t="n">
        <v>2400</v>
      </c>
      <c r="E115" s="59" t="n">
        <v>2415</v>
      </c>
      <c r="F115" s="59" t="n">
        <v>2401</v>
      </c>
      <c r="G115" s="54" t="n">
        <f aca="false">B115*B115*$R$3+B115*$S$3+$T$3</f>
        <v>15.97175</v>
      </c>
      <c r="H115" s="54" t="n">
        <f aca="false">C115*C115*$R$5+C115*$S$5+$T$5</f>
        <v>15.1595264000001</v>
      </c>
      <c r="I115" s="54" t="n">
        <f aca="false">D115*D115*$R$6+D115*$S$6+$T$6</f>
        <v>18.5787999999998</v>
      </c>
      <c r="J115" s="54" t="n">
        <f aca="false">E115*E115*$R$4+E115*$S$4+$T$4</f>
        <v>14.3622499999988</v>
      </c>
      <c r="K115" s="54" t="n">
        <f aca="false">F115*F115*$R$7+F115*$S$7+$T$7</f>
        <v>15.3316102499998</v>
      </c>
      <c r="L115" s="53" t="n">
        <f aca="false">ABS((G115-$A115)/$A115)</f>
        <v>0.0201380368098169</v>
      </c>
      <c r="M115" s="53" t="n">
        <f aca="false">ABS((H115-$A115)/$A115)</f>
        <v>0.0699677055214687</v>
      </c>
      <c r="N115" s="53" t="n">
        <f aca="false">ABS((I115-$A115)/$A115)</f>
        <v>0.139803680981581</v>
      </c>
      <c r="O115" s="53" t="n">
        <f aca="false">ABS((J115-$A115)/$A115)</f>
        <v>0.118880368098235</v>
      </c>
      <c r="P115" s="53" t="n">
        <f aca="false">ABS((K115-$A115)/$A115)</f>
        <v>0.059410414110441</v>
      </c>
    </row>
    <row r="116" customFormat="false" ht="13.8" hidden="false" customHeight="false" outlineLevel="0" collapsed="false">
      <c r="A116" s="1" t="n">
        <v>16.2</v>
      </c>
      <c r="B116" s="59" t="n">
        <v>2117</v>
      </c>
      <c r="C116" s="59" t="n">
        <v>2081</v>
      </c>
      <c r="D116" s="59" t="n">
        <v>2402</v>
      </c>
      <c r="E116" s="59" t="n">
        <v>2411</v>
      </c>
      <c r="F116" s="59" t="n">
        <v>2385</v>
      </c>
      <c r="G116" s="54" t="n">
        <f aca="false">B116*B116*$R$3+B116*$S$3+$T$3</f>
        <v>16.41914456</v>
      </c>
      <c r="H116" s="54" t="n">
        <f aca="false">C116*C116*$R$5+C116*$S$5+$T$5</f>
        <v>15.8669296</v>
      </c>
      <c r="I116" s="54" t="n">
        <f aca="false">D116*D116*$R$6+D116*$S$6+$T$6</f>
        <v>18.3224318399998</v>
      </c>
      <c r="J116" s="54" t="n">
        <f aca="false">E116*E116*$R$4+E116*$S$4+$T$4</f>
        <v>14.419609999999</v>
      </c>
      <c r="K116" s="54" t="n">
        <f aca="false">F116*F116*$R$7+F116*$S$7+$T$7</f>
        <v>15.9323062499993</v>
      </c>
      <c r="L116" s="53" t="n">
        <f aca="false">ABS((G116-$A116)/$A116)</f>
        <v>0.0135274419753091</v>
      </c>
      <c r="M116" s="53" t="n">
        <f aca="false">ABS((H116-$A116)/$A116)</f>
        <v>0.0205599012345684</v>
      </c>
      <c r="N116" s="53" t="n">
        <f aca="false">ABS((I116-$A116)/$A116)</f>
        <v>0.131014311111099</v>
      </c>
      <c r="O116" s="53" t="n">
        <f aca="false">ABS((J116-$A116)/$A116)</f>
        <v>0.109900617284012</v>
      </c>
      <c r="P116" s="53" t="n">
        <f aca="false">ABS((K116-$A116)/$A116)</f>
        <v>0.016524305555597</v>
      </c>
    </row>
    <row r="117" customFormat="false" ht="13.8" hidden="false" customHeight="false" outlineLevel="0" collapsed="false">
      <c r="A117" s="1" t="n">
        <v>16.2</v>
      </c>
      <c r="B117" s="59" t="n">
        <v>2127</v>
      </c>
      <c r="C117" s="59" t="n">
        <v>2096</v>
      </c>
      <c r="D117" s="59" t="n">
        <v>2403</v>
      </c>
      <c r="E117" s="59" t="n">
        <v>2417</v>
      </c>
      <c r="F117" s="59" t="n">
        <v>2398</v>
      </c>
      <c r="G117" s="54" t="n">
        <f aca="false">B117*B117*$R$3+B117*$S$3+$T$3</f>
        <v>15.86056216</v>
      </c>
      <c r="H117" s="54" t="n">
        <f aca="false">C117*C117*$R$5+C117*$S$5+$T$5</f>
        <v>16.1925376</v>
      </c>
      <c r="I117" s="54" t="n">
        <f aca="false">D117*D117*$R$6+D117*$S$6+$T$6</f>
        <v>18.19466014</v>
      </c>
      <c r="J117" s="54" t="n">
        <f aca="false">E117*E117*$R$4+E117*$S$4+$T$4</f>
        <v>14.3408899999995</v>
      </c>
      <c r="K117" s="54" t="n">
        <f aca="false">F117*F117*$R$7+F117*$S$7+$T$7</f>
        <v>15.4204409999998</v>
      </c>
      <c r="L117" s="53" t="n">
        <f aca="false">ABS((G117-$A117)/$A117)</f>
        <v>0.0209529530864214</v>
      </c>
      <c r="M117" s="53" t="n">
        <f aca="false">ABS((H117-$A117)/$A117)</f>
        <v>0.000460641975309826</v>
      </c>
      <c r="N117" s="53" t="n">
        <f aca="false">ABS((I117-$A117)/$A117)</f>
        <v>0.123127169135802</v>
      </c>
      <c r="O117" s="53" t="n">
        <f aca="false">ABS((J117-$A117)/$A117)</f>
        <v>0.114759876543241</v>
      </c>
      <c r="P117" s="53" t="n">
        <f aca="false">ABS((K117-$A117)/$A117)</f>
        <v>0.048120925925941</v>
      </c>
    </row>
    <row r="118" customFormat="false" ht="13.8" hidden="false" customHeight="false" outlineLevel="0" collapsed="false">
      <c r="A118" s="1" t="n">
        <v>16.2</v>
      </c>
      <c r="B118" s="59" t="n">
        <v>2118</v>
      </c>
      <c r="C118" s="59" t="n">
        <v>2083</v>
      </c>
      <c r="D118" s="59" t="n">
        <v>2411</v>
      </c>
      <c r="E118" s="59" t="n">
        <v>2420</v>
      </c>
      <c r="F118" s="59" t="n">
        <v>2401</v>
      </c>
      <c r="G118" s="54" t="n">
        <f aca="false">B118*B118*$R$3+B118*$S$3+$T$3</f>
        <v>16.36298896</v>
      </c>
      <c r="H118" s="54" t="n">
        <f aca="false">C118*C118*$R$5+C118*$S$5+$T$5</f>
        <v>15.9073904000001</v>
      </c>
      <c r="I118" s="54" t="n">
        <f aca="false">D118*D118*$R$6+D118*$S$6+$T$6</f>
        <v>17.1823836600001</v>
      </c>
      <c r="J118" s="54" t="n">
        <f aca="false">E118*E118*$R$4+E118*$S$4+$T$4</f>
        <v>14.3179999999998</v>
      </c>
      <c r="K118" s="54" t="n">
        <f aca="false">F118*F118*$R$7+F118*$S$7+$T$7</f>
        <v>15.3316102499998</v>
      </c>
      <c r="L118" s="53" t="n">
        <f aca="false">ABS((G118-$A118)/$A118)</f>
        <v>0.01006104691358</v>
      </c>
      <c r="M118" s="53" t="n">
        <f aca="false">ABS((H118-$A118)/$A118)</f>
        <v>0.018062320987651</v>
      </c>
      <c r="N118" s="53" t="n">
        <f aca="false">ABS((I118-$A118)/$A118)</f>
        <v>0.0606409666666754</v>
      </c>
      <c r="O118" s="53" t="n">
        <f aca="false">ABS((J118-$A118)/$A118)</f>
        <v>0.116172839506188</v>
      </c>
      <c r="P118" s="53" t="n">
        <f aca="false">ABS((K118-$A118)/$A118)</f>
        <v>0.0536043055555671</v>
      </c>
    </row>
    <row r="119" customFormat="false" ht="13.8" hidden="false" customHeight="false" outlineLevel="0" collapsed="false">
      <c r="A119" s="1" t="n">
        <v>16.2</v>
      </c>
      <c r="B119" s="59" t="n">
        <v>2125</v>
      </c>
      <c r="C119" s="59" t="n">
        <v>2076</v>
      </c>
      <c r="D119" s="59" t="n">
        <v>2411</v>
      </c>
      <c r="E119" s="59" t="n">
        <v>2419</v>
      </c>
      <c r="F119" s="59" t="n">
        <v>2400</v>
      </c>
      <c r="G119" s="54" t="n">
        <f aca="false">B119*B119*$R$3+B119*$S$3+$T$3</f>
        <v>15.97175</v>
      </c>
      <c r="H119" s="54" t="n">
        <f aca="false">C119*C119*$R$5+C119*$S$5+$T$5</f>
        <v>15.7697536</v>
      </c>
      <c r="I119" s="54" t="n">
        <f aca="false">D119*D119*$R$6+D119*$S$6+$T$6</f>
        <v>17.1823836600001</v>
      </c>
      <c r="J119" s="54" t="n">
        <f aca="false">E119*E119*$R$4+E119*$S$4+$T$4</f>
        <v>14.3244099999997</v>
      </c>
      <c r="K119" s="54" t="n">
        <f aca="false">F119*F119*$R$7+F119*$S$7+$T$7</f>
        <v>15.3599999999997</v>
      </c>
      <c r="L119" s="53" t="n">
        <f aca="false">ABS((G119-$A119)/$A119)</f>
        <v>0.0140895061728403</v>
      </c>
      <c r="M119" s="53" t="n">
        <f aca="false">ABS((H119-$A119)/$A119)</f>
        <v>0.0265584197530863</v>
      </c>
      <c r="N119" s="53" t="n">
        <f aca="false">ABS((I119-$A119)/$A119)</f>
        <v>0.0606409666666754</v>
      </c>
      <c r="O119" s="53" t="n">
        <f aca="false">ABS((J119-$A119)/$A119)</f>
        <v>0.115777160493845</v>
      </c>
      <c r="P119" s="53" t="n">
        <f aca="false">ABS((K119-$A119)/$A119)</f>
        <v>0.051851851851872</v>
      </c>
    </row>
    <row r="120" customFormat="false" ht="13.8" hidden="false" customHeight="false" outlineLevel="0" collapsed="false">
      <c r="A120" s="1" t="n">
        <v>16.2</v>
      </c>
      <c r="B120" s="59" t="n">
        <v>2101</v>
      </c>
      <c r="C120" s="59" t="n">
        <v>2043</v>
      </c>
      <c r="D120" s="59" t="n">
        <v>2413</v>
      </c>
      <c r="E120" s="59" t="n">
        <v>2416</v>
      </c>
      <c r="F120" s="59" t="n">
        <v>2402</v>
      </c>
      <c r="G120" s="54" t="n">
        <f aca="false">B120*B120*$R$3+B120*$S$3+$T$3</f>
        <v>17.32662104</v>
      </c>
      <c r="H120" s="54" t="n">
        <f aca="false">C120*C120*$R$5+C120*$S$5+$T$5</f>
        <v>15.2708464</v>
      </c>
      <c r="I120" s="54" t="n">
        <f aca="false">D120*D120*$R$6+D120*$S$6+$T$6</f>
        <v>16.9320637400001</v>
      </c>
      <c r="J120" s="54" t="n">
        <f aca="false">E120*E120*$R$4+E120*$S$4+$T$4</f>
        <v>14.3509599999989</v>
      </c>
      <c r="K120" s="54" t="n">
        <f aca="false">F120*F120*$R$7+F120*$S$7+$T$7</f>
        <v>15.3044409999998</v>
      </c>
      <c r="L120" s="53" t="n">
        <f aca="false">ABS((G120-$A120)/$A120)</f>
        <v>0.0695445086419731</v>
      </c>
      <c r="M120" s="53" t="n">
        <f aca="false">ABS((H120-$A120)/$A120)</f>
        <v>0.0573551604938247</v>
      </c>
      <c r="N120" s="53" t="n">
        <f aca="false">ABS((I120-$A120)/$A120)</f>
        <v>0.0451891197530928</v>
      </c>
      <c r="O120" s="53" t="n">
        <f aca="false">ABS((J120-$A120)/$A120)</f>
        <v>0.114138271605009</v>
      </c>
      <c r="P120" s="53" t="n">
        <f aca="false">ABS((K120-$A120)/$A120)</f>
        <v>0.0552814197531006</v>
      </c>
    </row>
    <row r="121" customFormat="false" ht="13.8" hidden="false" customHeight="false" outlineLevel="0" collapsed="false">
      <c r="A121" s="1" t="n">
        <v>16.2</v>
      </c>
      <c r="B121" s="59" t="n">
        <v>2116</v>
      </c>
      <c r="C121" s="59" t="n">
        <v>2081</v>
      </c>
      <c r="D121" s="59" t="n">
        <v>2416</v>
      </c>
      <c r="E121" s="59" t="n">
        <v>2426</v>
      </c>
      <c r="F121" s="59" t="n">
        <v>2405</v>
      </c>
      <c r="G121" s="54" t="n">
        <f aca="false">B121*B121*$R$3+B121*$S$3+$T$3</f>
        <v>16.47536624</v>
      </c>
      <c r="H121" s="54" t="n">
        <f aca="false">C121*C121*$R$5+C121*$S$5+$T$5</f>
        <v>15.8669296</v>
      </c>
      <c r="I121" s="54" t="n">
        <f aca="false">D121*D121*$R$6+D121*$S$6+$T$6</f>
        <v>16.5586457600002</v>
      </c>
      <c r="J121" s="54" t="n">
        <f aca="false">E121*E121*$R$4+E121*$S$4+$T$4</f>
        <v>14.3051599999994</v>
      </c>
      <c r="K121" s="54" t="n">
        <f aca="false">F121*F121*$R$7+F121*$S$7+$T$7</f>
        <v>15.2302562499995</v>
      </c>
      <c r="L121" s="53" t="n">
        <f aca="false">ABS((G121-$A121)/$A121)</f>
        <v>0.0169979160493845</v>
      </c>
      <c r="M121" s="53" t="n">
        <f aca="false">ABS((H121-$A121)/$A121)</f>
        <v>0.0205599012345684</v>
      </c>
      <c r="N121" s="53" t="n">
        <f aca="false">ABS((I121-$A121)/$A121)</f>
        <v>0.0221386271605073</v>
      </c>
      <c r="O121" s="53" t="n">
        <f aca="false">ABS((J121-$A121)/$A121)</f>
        <v>0.1169654320988</v>
      </c>
      <c r="P121" s="53" t="n">
        <f aca="false">ABS((K121-$A121)/$A121)</f>
        <v>0.0598607253086755</v>
      </c>
    </row>
    <row r="122" customFormat="false" ht="13.8" hidden="false" customHeight="false" outlineLevel="0" collapsed="false">
      <c r="A122" s="1" t="n">
        <v>16.3</v>
      </c>
      <c r="B122" s="59" t="n">
        <v>2102</v>
      </c>
      <c r="C122" s="59" t="n">
        <v>2080</v>
      </c>
      <c r="D122" s="59" t="n">
        <v>2416</v>
      </c>
      <c r="E122" s="59" t="n">
        <v>2402</v>
      </c>
      <c r="F122" s="59" t="n">
        <v>2399</v>
      </c>
      <c r="G122" s="54" t="n">
        <f aca="false">B122*B122*$R$3+B122*$S$3+$T$3</f>
        <v>17.26940816</v>
      </c>
      <c r="H122" s="54" t="n">
        <f aca="false">C122*C122*$R$5+C122*$S$5+$T$5</f>
        <v>15.8470400000001</v>
      </c>
      <c r="I122" s="54" t="n">
        <f aca="false">D122*D122*$R$6+D122*$S$6+$T$6</f>
        <v>16.5586457600002</v>
      </c>
      <c r="J122" s="54" t="n">
        <f aca="false">E122*E122*$R$4+E122*$S$4+$T$4</f>
        <v>14.6200399999993</v>
      </c>
      <c r="K122" s="54" t="n">
        <f aca="false">F122*F122*$R$7+F122*$S$7+$T$7</f>
        <v>15.3896102499998</v>
      </c>
      <c r="L122" s="53" t="n">
        <f aca="false">ABS((G122-$A122)/$A122)</f>
        <v>0.0594728932515309</v>
      </c>
      <c r="M122" s="53" t="n">
        <f aca="false">ABS((H122-$A122)/$A122)</f>
        <v>0.0277889570552117</v>
      </c>
      <c r="N122" s="53" t="n">
        <f aca="false">ABS((I122-$A122)/$A122)</f>
        <v>0.0158678380368231</v>
      </c>
      <c r="O122" s="53" t="n">
        <f aca="false">ABS((J122-$A122)/$A122)</f>
        <v>0.103065030674887</v>
      </c>
      <c r="P122" s="53" t="n">
        <f aca="false">ABS((K122-$A122)/$A122)</f>
        <v>0.0558521319018525</v>
      </c>
    </row>
    <row r="123" customFormat="false" ht="13.8" hidden="false" customHeight="false" outlineLevel="0" collapsed="false">
      <c r="A123" s="1" t="n">
        <v>16.2</v>
      </c>
      <c r="B123" s="59" t="n">
        <v>2125</v>
      </c>
      <c r="C123" s="59" t="n">
        <v>2080</v>
      </c>
      <c r="D123" s="59" t="n">
        <v>2416</v>
      </c>
      <c r="E123" s="59" t="n">
        <v>2423</v>
      </c>
      <c r="F123" s="59" t="n">
        <v>2402</v>
      </c>
      <c r="G123" s="54" t="n">
        <f aca="false">B123*B123*$R$3+B123*$S$3+$T$3</f>
        <v>15.97175</v>
      </c>
      <c r="H123" s="54" t="n">
        <f aca="false">C123*C123*$R$5+C123*$S$5+$T$5</f>
        <v>15.8470400000001</v>
      </c>
      <c r="I123" s="54" t="n">
        <f aca="false">D123*D123*$R$6+D123*$S$6+$T$6</f>
        <v>16.5586457600002</v>
      </c>
      <c r="J123" s="54" t="n">
        <f aca="false">E123*E123*$R$4+E123*$S$4+$T$4</f>
        <v>14.3060899999996</v>
      </c>
      <c r="K123" s="54" t="n">
        <f aca="false">F123*F123*$R$7+F123*$S$7+$T$7</f>
        <v>15.3044409999998</v>
      </c>
      <c r="L123" s="53" t="n">
        <f aca="false">ABS((G123-$A123)/$A123)</f>
        <v>0.0140895061728403</v>
      </c>
      <c r="M123" s="53" t="n">
        <f aca="false">ABS((H123-$A123)/$A123)</f>
        <v>0.0217876543209846</v>
      </c>
      <c r="N123" s="53" t="n">
        <f aca="false">ABS((I123-$A123)/$A123)</f>
        <v>0.0221386271605073</v>
      </c>
      <c r="O123" s="53" t="n">
        <f aca="false">ABS((J123-$A123)/$A123)</f>
        <v>0.116908024691384</v>
      </c>
      <c r="P123" s="53" t="n">
        <f aca="false">ABS((K123-$A123)/$A123)</f>
        <v>0.0552814197531006</v>
      </c>
    </row>
    <row r="124" customFormat="false" ht="13.8" hidden="false" customHeight="false" outlineLevel="0" collapsed="false">
      <c r="A124" s="1" t="n">
        <v>16.2</v>
      </c>
      <c r="B124" s="59" t="n">
        <v>2096</v>
      </c>
      <c r="C124" s="59" t="n">
        <v>2067</v>
      </c>
      <c r="D124" s="59" t="n">
        <v>2416</v>
      </c>
      <c r="E124" s="59" t="n">
        <v>2427</v>
      </c>
      <c r="F124" s="59" t="n">
        <v>2406</v>
      </c>
      <c r="G124" s="54" t="n">
        <f aca="false">B124*B124*$R$3+B124*$S$3+$T$3</f>
        <v>17.61367664</v>
      </c>
      <c r="H124" s="54" t="n">
        <f aca="false">C124*C124*$R$5+C124*$S$5+$T$5</f>
        <v>15.6091504</v>
      </c>
      <c r="I124" s="54" t="n">
        <f aca="false">D124*D124*$R$6+D124*$S$6+$T$6</f>
        <v>16.5586457600002</v>
      </c>
      <c r="J124" s="54" t="n">
        <f aca="false">E124*E124*$R$4+E124*$S$4+$T$4</f>
        <v>14.3072899999993</v>
      </c>
      <c r="K124" s="54" t="n">
        <f aca="false">F124*F124*$R$7+F124*$S$7+$T$7</f>
        <v>15.2079689999996</v>
      </c>
      <c r="L124" s="53" t="n">
        <f aca="false">ABS((G124-$A124)/$A124)</f>
        <v>0.0872639901234565</v>
      </c>
      <c r="M124" s="53" t="n">
        <f aca="false">ABS((H124-$A124)/$A124)</f>
        <v>0.0364721975308621</v>
      </c>
      <c r="N124" s="53" t="n">
        <f aca="false">ABS((I124-$A124)/$A124)</f>
        <v>0.0221386271605073</v>
      </c>
      <c r="O124" s="53" t="n">
        <f aca="false">ABS((J124-$A124)/$A124)</f>
        <v>0.116833950617328</v>
      </c>
      <c r="P124" s="53" t="n">
        <f aca="false">ABS((K124-$A124)/$A124)</f>
        <v>0.0612364814815065</v>
      </c>
    </row>
    <row r="125" customFormat="false" ht="13.8" hidden="false" customHeight="false" outlineLevel="0" collapsed="false">
      <c r="A125" s="1" t="n">
        <v>16.2</v>
      </c>
      <c r="B125" s="59" t="n">
        <v>2124</v>
      </c>
      <c r="C125" s="59" t="n">
        <v>2064</v>
      </c>
      <c r="D125" s="59" t="n">
        <v>2416</v>
      </c>
      <c r="E125" s="59" t="n">
        <v>2430</v>
      </c>
      <c r="F125" s="59" t="n">
        <v>2413</v>
      </c>
      <c r="G125" s="54" t="n">
        <f aca="false">B125*B125*$R$3+B125*$S$3+$T$3</f>
        <v>16.02744304</v>
      </c>
      <c r="H125" s="54" t="n">
        <f aca="false">C125*C125*$R$5+C125*$S$5+$T$5</f>
        <v>15.5597056</v>
      </c>
      <c r="I125" s="54" t="n">
        <f aca="false">D125*D125*$R$6+D125*$S$6+$T$6</f>
        <v>16.5586457600002</v>
      </c>
      <c r="J125" s="54" t="n">
        <f aca="false">E125*E125*$R$4+E125*$S$4+$T$4</f>
        <v>14.3209999999995</v>
      </c>
      <c r="K125" s="54" t="n">
        <f aca="false">F125*F125*$R$7+F125*$S$7+$T$7</f>
        <v>15.0861322499995</v>
      </c>
      <c r="L125" s="53" t="n">
        <f aca="false">ABS((G125-$A125)/$A125)</f>
        <v>0.0106516641975321</v>
      </c>
      <c r="M125" s="53" t="n">
        <f aca="false">ABS((H125-$A125)/$A125)</f>
        <v>0.039524345679014</v>
      </c>
      <c r="N125" s="53" t="n">
        <f aca="false">ABS((I125-$A125)/$A125)</f>
        <v>0.0221386271605073</v>
      </c>
      <c r="O125" s="53" t="n">
        <f aca="false">ABS((J125-$A125)/$A125)</f>
        <v>0.115987654321021</v>
      </c>
      <c r="P125" s="53" t="n">
        <f aca="false">ABS((K125-$A125)/$A125)</f>
        <v>0.0687572685185471</v>
      </c>
    </row>
    <row r="126" customFormat="false" ht="13.8" hidden="false" customHeight="false" outlineLevel="0" collapsed="false">
      <c r="A126" s="1" t="n">
        <v>16.2</v>
      </c>
      <c r="B126" s="59" t="n">
        <v>2112</v>
      </c>
      <c r="C126" s="59" t="n">
        <v>2073</v>
      </c>
      <c r="D126" s="59" t="n">
        <v>2417</v>
      </c>
      <c r="E126" s="59" t="n">
        <v>2442</v>
      </c>
      <c r="F126" s="59" t="n">
        <v>2422</v>
      </c>
      <c r="G126" s="54" t="n">
        <f aca="false">B126*B126*$R$3+B126*$S$3+$T$3</f>
        <v>16.70091376</v>
      </c>
      <c r="H126" s="54" t="n">
        <f aca="false">C126*C126*$R$5+C126*$S$5+$T$5</f>
        <v>15.7141744</v>
      </c>
      <c r="I126" s="54" t="n">
        <f aca="false">D126*D126*$R$6+D126*$S$6+$T$6</f>
        <v>16.43472294</v>
      </c>
      <c r="J126" s="54" t="n">
        <f aca="false">E126*E126*$R$4+E126*$S$4+$T$4</f>
        <v>14.485639999999</v>
      </c>
      <c r="K126" s="54" t="n">
        <f aca="false">F126*F126*$R$7+F126*$S$7+$T$7</f>
        <v>15.0173609999997</v>
      </c>
      <c r="L126" s="53" t="n">
        <f aca="false">ABS((G126-$A126)/$A126)</f>
        <v>0.0309206024691353</v>
      </c>
      <c r="M126" s="53" t="n">
        <f aca="false">ABS((H126-$A126)/$A126)</f>
        <v>0.0299892345679018</v>
      </c>
      <c r="N126" s="53" t="n">
        <f aca="false">ABS((I126-$A126)/$A126)</f>
        <v>0.0144890703703722</v>
      </c>
      <c r="O126" s="53" t="n">
        <f aca="false">ABS((J126-$A126)/$A126)</f>
        <v>0.105824691358088</v>
      </c>
      <c r="P126" s="53" t="n">
        <f aca="false">ABS((K126-$A126)/$A126)</f>
        <v>0.0730024074074253</v>
      </c>
    </row>
    <row r="127" customFormat="false" ht="13.8" hidden="false" customHeight="false" outlineLevel="0" collapsed="false">
      <c r="A127" s="1" t="n">
        <v>16.2</v>
      </c>
      <c r="B127" s="59" t="n">
        <v>2118</v>
      </c>
      <c r="C127" s="59" t="n">
        <v>2075</v>
      </c>
      <c r="D127" s="59" t="n">
        <v>2418</v>
      </c>
      <c r="E127" s="59" t="n">
        <v>2432</v>
      </c>
      <c r="F127" s="59" t="n">
        <v>2412</v>
      </c>
      <c r="G127" s="54" t="n">
        <f aca="false">B127*B127*$R$3+B127*$S$3+$T$3</f>
        <v>16.36298896</v>
      </c>
      <c r="H127" s="54" t="n">
        <f aca="false">C127*C127*$R$5+C127*$S$5+$T$5</f>
        <v>15.751</v>
      </c>
      <c r="I127" s="54" t="n">
        <f aca="false">D127*D127*$R$6+D127*$S$6+$T$6</f>
        <v>16.3110750400001</v>
      </c>
      <c r="J127" s="54" t="n">
        <f aca="false">E127*E127*$R$4+E127*$S$4+$T$4</f>
        <v>14.3362399999992</v>
      </c>
      <c r="K127" s="54" t="n">
        <f aca="false">F127*F127*$R$7+F127*$S$7+$T$7</f>
        <v>15.0998759999993</v>
      </c>
      <c r="L127" s="53" t="n">
        <f aca="false">ABS((G127-$A127)/$A127)</f>
        <v>0.01006104691358</v>
      </c>
      <c r="M127" s="53" t="n">
        <f aca="false">ABS((H127-$A127)/$A127)</f>
        <v>0.027716049382714</v>
      </c>
      <c r="N127" s="53" t="n">
        <f aca="false">ABS((I127-$A127)/$A127)</f>
        <v>0.00685648395062382</v>
      </c>
      <c r="O127" s="53" t="n">
        <f aca="false">ABS((J127-$A127)/$A127)</f>
        <v>0.115046913580298</v>
      </c>
      <c r="P127" s="53" t="n">
        <f aca="false">ABS((K127-$A127)/$A127)</f>
        <v>0.0679088888889313</v>
      </c>
    </row>
    <row r="128" customFormat="false" ht="13.8" hidden="false" customHeight="false" outlineLevel="0" collapsed="false">
      <c r="A128" s="1" t="n">
        <v>16.2</v>
      </c>
      <c r="B128" s="59" t="n">
        <v>2123</v>
      </c>
      <c r="C128" s="59" t="n">
        <v>2078</v>
      </c>
      <c r="D128" s="59" t="n">
        <v>2419</v>
      </c>
      <c r="E128" s="59" t="n">
        <v>2432</v>
      </c>
      <c r="F128" s="59" t="n">
        <v>2410</v>
      </c>
      <c r="G128" s="54" t="n">
        <f aca="false">B128*B128*$R$3+B128*$S$3+$T$3</f>
        <v>16.08320216</v>
      </c>
      <c r="H128" s="54" t="n">
        <f aca="false">C128*C128*$R$5+C128*$S$5+$T$5</f>
        <v>15.8079424000001</v>
      </c>
      <c r="I128" s="54" t="n">
        <f aca="false">D128*D128*$R$6+D128*$S$6+$T$6</f>
        <v>16.18770206</v>
      </c>
      <c r="J128" s="54" t="n">
        <f aca="false">E128*E128*$R$4+E128*$S$4+$T$4</f>
        <v>14.3362399999992</v>
      </c>
      <c r="K128" s="54" t="n">
        <f aca="false">F128*F128*$R$7+F128*$S$7+$T$7</f>
        <v>15.1310249999992</v>
      </c>
      <c r="L128" s="53" t="n">
        <f aca="false">ABS((G128-$A128)/$A128)</f>
        <v>0.00720974320987744</v>
      </c>
      <c r="M128" s="53" t="n">
        <f aca="false">ABS((H128-$A128)/$A128)</f>
        <v>0.0242010864197494</v>
      </c>
      <c r="N128" s="53" t="n">
        <f aca="false">ABS((I128-$A128)/$A128)</f>
        <v>0.000759132098765861</v>
      </c>
      <c r="O128" s="53" t="n">
        <f aca="false">ABS((J128-$A128)/$A128)</f>
        <v>0.115046913580298</v>
      </c>
      <c r="P128" s="53" t="n">
        <f aca="false">ABS((K128-$A128)/$A128)</f>
        <v>0.0659861111111588</v>
      </c>
    </row>
    <row r="129" customFormat="false" ht="13.8" hidden="false" customHeight="false" outlineLevel="0" collapsed="false">
      <c r="A129" s="1" t="n">
        <v>16.2</v>
      </c>
      <c r="B129" s="59" t="n">
        <v>2129</v>
      </c>
      <c r="C129" s="59" t="n">
        <v>2082</v>
      </c>
      <c r="D129" s="59" t="n">
        <v>2421</v>
      </c>
      <c r="E129" s="59" t="n">
        <v>2437</v>
      </c>
      <c r="F129" s="59" t="n">
        <v>2417</v>
      </c>
      <c r="G129" s="54" t="n">
        <f aca="false">B129*B129*$R$3+B129*$S$3+$T$3</f>
        <v>15.74963864</v>
      </c>
      <c r="H129" s="54" t="n">
        <f aca="false">C129*C129*$R$5+C129*$S$5+$T$5</f>
        <v>15.8870464</v>
      </c>
      <c r="I129" s="54" t="n">
        <f aca="false">D129*D129*$R$6+D129*$S$6+$T$6</f>
        <v>15.9417808599999</v>
      </c>
      <c r="J129" s="54" t="n">
        <f aca="false">E129*E129*$R$4+E129*$S$4+$T$4</f>
        <v>14.3956899999989</v>
      </c>
      <c r="K129" s="54" t="n">
        <f aca="false">F129*F129*$R$7+F129*$S$7+$T$7</f>
        <v>15.04336225</v>
      </c>
      <c r="L129" s="53" t="n">
        <f aca="false">ABS((G129-$A129)/$A129)</f>
        <v>0.0278000839506172</v>
      </c>
      <c r="M129" s="53" t="n">
        <f aca="false">ABS((H129-$A129)/$A129)</f>
        <v>0.0193181234567917</v>
      </c>
      <c r="N129" s="53" t="n">
        <f aca="false">ABS((I129-$A129)/$A129)</f>
        <v>0.0159394530864271</v>
      </c>
      <c r="O129" s="53" t="n">
        <f aca="false">ABS((J129-$A129)/$A129)</f>
        <v>0.111377160493894</v>
      </c>
      <c r="P129" s="53" t="n">
        <f aca="false">ABS((K129-$A129)/$A129)</f>
        <v>0.0713973919753103</v>
      </c>
    </row>
    <row r="130" customFormat="false" ht="13.8" hidden="false" customHeight="false" outlineLevel="0" collapsed="false">
      <c r="A130" s="1" t="n">
        <v>16.2</v>
      </c>
      <c r="B130" s="59" t="n">
        <v>2116</v>
      </c>
      <c r="C130" s="59" t="n">
        <v>2074</v>
      </c>
      <c r="D130" s="59" t="n">
        <v>2422</v>
      </c>
      <c r="E130" s="59" t="n">
        <v>2432</v>
      </c>
      <c r="F130" s="59" t="n">
        <v>2413</v>
      </c>
      <c r="G130" s="54" t="n">
        <f aca="false">B130*B130*$R$3+B130*$S$3+$T$3</f>
        <v>16.47536624</v>
      </c>
      <c r="H130" s="54" t="n">
        <f aca="false">C130*C130*$R$5+C130*$S$5+$T$5</f>
        <v>15.7324736</v>
      </c>
      <c r="I130" s="54" t="n">
        <f aca="false">D130*D130*$R$6+D130*$S$6+$T$6</f>
        <v>15.8192326399999</v>
      </c>
      <c r="J130" s="54" t="n">
        <f aca="false">E130*E130*$R$4+E130*$S$4+$T$4</f>
        <v>14.3362399999992</v>
      </c>
      <c r="K130" s="54" t="n">
        <f aca="false">F130*F130*$R$7+F130*$S$7+$T$7</f>
        <v>15.0861322499995</v>
      </c>
      <c r="L130" s="53" t="n">
        <f aca="false">ABS((G130-$A130)/$A130)</f>
        <v>0.0169979160493845</v>
      </c>
      <c r="M130" s="53" t="n">
        <f aca="false">ABS((H130-$A130)/$A130)</f>
        <v>0.0288596543209846</v>
      </c>
      <c r="N130" s="53" t="n">
        <f aca="false">ABS((I130-$A130)/$A130)</f>
        <v>0.0235041580246986</v>
      </c>
      <c r="O130" s="53" t="n">
        <f aca="false">ABS((J130-$A130)/$A130)</f>
        <v>0.115046913580298</v>
      </c>
      <c r="P130" s="53" t="n">
        <f aca="false">ABS((K130-$A130)/$A130)</f>
        <v>0.0687572685185471</v>
      </c>
    </row>
    <row r="131" customFormat="false" ht="13.8" hidden="false" customHeight="false" outlineLevel="0" collapsed="false">
      <c r="A131" s="1" t="n">
        <v>16.2</v>
      </c>
      <c r="B131" s="59" t="n">
        <v>2122</v>
      </c>
      <c r="C131" s="59" t="n">
        <v>2077</v>
      </c>
      <c r="D131" s="59" t="n">
        <v>2426</v>
      </c>
      <c r="E131" s="59" t="n">
        <v>2437</v>
      </c>
      <c r="F131" s="59" t="n">
        <v>2416</v>
      </c>
      <c r="G131" s="54" t="n">
        <f aca="false">B131*B131*$R$3+B131*$S$3+$T$3</f>
        <v>16.1390273599999</v>
      </c>
      <c r="H131" s="54" t="n">
        <f aca="false">C131*C131*$R$5+C131*$S$5+$T$5</f>
        <v>15.7887344</v>
      </c>
      <c r="I131" s="54" t="n">
        <f aca="false">D131*D131*$R$6+D131*$S$6+$T$6</f>
        <v>15.3317889599998</v>
      </c>
      <c r="J131" s="54" t="n">
        <f aca="false">E131*E131*$R$4+E131*$S$4+$T$4</f>
        <v>14.3956899999989</v>
      </c>
      <c r="K131" s="54" t="n">
        <f aca="false">F131*F131*$R$7+F131*$S$7+$T$7</f>
        <v>15.0522239999991</v>
      </c>
      <c r="L131" s="53" t="n">
        <f aca="false">ABS((G131-$A131)/$A131)</f>
        <v>0.00376374320988001</v>
      </c>
      <c r="M131" s="53" t="n">
        <f aca="false">ABS((H131-$A131)/$A131)</f>
        <v>0.0253867654320981</v>
      </c>
      <c r="N131" s="53" t="n">
        <f aca="false">ABS((I131-$A131)/$A131)</f>
        <v>0.0535932740740856</v>
      </c>
      <c r="O131" s="53" t="n">
        <f aca="false">ABS((J131-$A131)/$A131)</f>
        <v>0.111377160493894</v>
      </c>
      <c r="P131" s="53" t="n">
        <f aca="false">ABS((K131-$A131)/$A131)</f>
        <v>0.070850370370425</v>
      </c>
    </row>
    <row r="132" customFormat="false" ht="13.8" hidden="false" customHeight="false" outlineLevel="0" collapsed="false">
      <c r="A132" s="1" t="n">
        <v>16.2</v>
      </c>
      <c r="B132" s="59" t="n">
        <v>2112</v>
      </c>
      <c r="C132" s="59" t="n">
        <v>2078</v>
      </c>
      <c r="D132" s="59" t="n">
        <v>2430</v>
      </c>
      <c r="E132" s="59" t="n">
        <v>2448</v>
      </c>
      <c r="F132" s="59" t="n">
        <v>2431</v>
      </c>
      <c r="G132" s="54" t="n">
        <f aca="false">B132*B132*$R$3+B132*$S$3+$T$3</f>
        <v>16.70091376</v>
      </c>
      <c r="H132" s="54" t="n">
        <f aca="false">C132*C132*$R$5+C132*$S$5+$T$5</f>
        <v>15.8079424000001</v>
      </c>
      <c r="I132" s="54" t="n">
        <f aca="false">D132*D132*$R$6+D132*$S$6+$T$6</f>
        <v>14.8487439999999</v>
      </c>
      <c r="J132" s="54" t="n">
        <f aca="false">E132*E132*$R$4+E132*$S$4+$T$4</f>
        <v>14.6338399999995</v>
      </c>
      <c r="K132" s="54" t="n">
        <f aca="false">F132*F132*$R$7+F132*$S$7+$T$7</f>
        <v>15.0474502499997</v>
      </c>
      <c r="L132" s="53" t="n">
        <f aca="false">ABS((G132-$A132)/$A132)</f>
        <v>0.0309206024691353</v>
      </c>
      <c r="M132" s="53" t="n">
        <f aca="false">ABS((H132-$A132)/$A132)</f>
        <v>0.0242010864197494</v>
      </c>
      <c r="N132" s="53" t="n">
        <f aca="false">ABS((I132-$A132)/$A132)</f>
        <v>0.0834108641975372</v>
      </c>
      <c r="O132" s="53" t="n">
        <f aca="false">ABS((J132-$A132)/$A132)</f>
        <v>0.0966765432099068</v>
      </c>
      <c r="P132" s="53" t="n">
        <f aca="false">ABS((K132-$A132)/$A132)</f>
        <v>0.0711450462963175</v>
      </c>
    </row>
    <row r="133" customFormat="false" ht="13.8" hidden="false" customHeight="false" outlineLevel="0" collapsed="false">
      <c r="A133" s="1" t="n">
        <v>16.2</v>
      </c>
      <c r="B133" s="59" t="n">
        <v>2100</v>
      </c>
      <c r="C133" s="59" t="n">
        <v>2078</v>
      </c>
      <c r="D133" s="59" t="n">
        <v>2431</v>
      </c>
      <c r="E133" s="59" t="n">
        <v>2429</v>
      </c>
      <c r="F133" s="59" t="n">
        <v>2419</v>
      </c>
      <c r="G133" s="54" t="n">
        <f aca="false">B133*B133*$R$3+B133*$S$3+$T$3</f>
        <v>17.3839</v>
      </c>
      <c r="H133" s="54" t="n">
        <f aca="false">C133*C133*$R$5+C133*$S$5+$T$5</f>
        <v>15.8079424000001</v>
      </c>
      <c r="I133" s="54" t="n">
        <f aca="false">D133*D133*$R$6+D133*$S$6+$T$6</f>
        <v>14.7286700599998</v>
      </c>
      <c r="J133" s="54" t="n">
        <f aca="false">E133*E133*$R$4+E133*$S$4+$T$4</f>
        <v>14.3152099999993</v>
      </c>
      <c r="K133" s="54" t="n">
        <f aca="false">F133*F133*$R$7+F133*$S$7+$T$7</f>
        <v>15.0293002500002</v>
      </c>
      <c r="L133" s="53" t="n">
        <f aca="false">ABS((G133-$A133)/$A133)</f>
        <v>0.0730802469135792</v>
      </c>
      <c r="M133" s="53" t="n">
        <f aca="false">ABS((H133-$A133)/$A133)</f>
        <v>0.0242010864197494</v>
      </c>
      <c r="N133" s="53" t="n">
        <f aca="false">ABS((I133-$A133)/$A133)</f>
        <v>0.0908228358024823</v>
      </c>
      <c r="O133" s="53" t="n">
        <f aca="false">ABS((J133-$A133)/$A133)</f>
        <v>0.116345061728438</v>
      </c>
      <c r="P133" s="53" t="n">
        <f aca="false">ABS((K133-$A133)/$A133)</f>
        <v>0.0722654166666522</v>
      </c>
    </row>
    <row r="134" customFormat="false" ht="13.8" hidden="false" customHeight="false" outlineLevel="0" collapsed="false">
      <c r="A134" s="1" t="n">
        <v>16.2</v>
      </c>
      <c r="B134" s="59" t="n">
        <v>2125</v>
      </c>
      <c r="C134" s="59" t="n">
        <v>2004</v>
      </c>
      <c r="D134" s="59" t="n">
        <v>2431</v>
      </c>
      <c r="E134" s="59" t="n">
        <v>2441</v>
      </c>
      <c r="F134" s="59" t="n">
        <v>2416</v>
      </c>
      <c r="G134" s="54" t="n">
        <f aca="false">B134*B134*$R$3+B134*$S$3+$T$3</f>
        <v>15.97175</v>
      </c>
      <c r="H134" s="54" t="n">
        <f aca="false">C134*C134*$R$5+C134*$S$5+$T$5</f>
        <v>15.0002176</v>
      </c>
      <c r="I134" s="54" t="n">
        <f aca="false">D134*D134*$R$6+D134*$S$6+$T$6</f>
        <v>14.7286700599998</v>
      </c>
      <c r="J134" s="54" t="n">
        <f aca="false">E134*E134*$R$4+E134*$S$4+$T$4</f>
        <v>14.4652099999989</v>
      </c>
      <c r="K134" s="54" t="n">
        <f aca="false">F134*F134*$R$7+F134*$S$7+$T$7</f>
        <v>15.0522239999991</v>
      </c>
      <c r="L134" s="53" t="n">
        <f aca="false">ABS((G134-$A134)/$A134)</f>
        <v>0.0140895061728403</v>
      </c>
      <c r="M134" s="53" t="n">
        <f aca="false">ABS((H134-$A134)/$A134)</f>
        <v>0.0740606419753095</v>
      </c>
      <c r="N134" s="53" t="n">
        <f aca="false">ABS((I134-$A134)/$A134)</f>
        <v>0.0908228358024823</v>
      </c>
      <c r="O134" s="53" t="n">
        <f aca="false">ABS((J134-$A134)/$A134)</f>
        <v>0.107085802469202</v>
      </c>
      <c r="P134" s="53" t="n">
        <f aca="false">ABS((K134-$A134)/$A134)</f>
        <v>0.070850370370425</v>
      </c>
    </row>
    <row r="135" customFormat="false" ht="13.8" hidden="false" customHeight="false" outlineLevel="0" collapsed="false">
      <c r="A135" s="1" t="n">
        <v>16.2</v>
      </c>
      <c r="B135" s="59" t="n">
        <v>2096</v>
      </c>
      <c r="C135" s="59" t="n">
        <v>2080</v>
      </c>
      <c r="D135" s="59" t="n">
        <v>2432</v>
      </c>
      <c r="E135" s="59" t="n">
        <v>2441</v>
      </c>
      <c r="F135" s="59" t="n">
        <v>2418</v>
      </c>
      <c r="G135" s="54" t="n">
        <f aca="false">B135*B135*$R$3+B135*$S$3+$T$3</f>
        <v>17.61367664</v>
      </c>
      <c r="H135" s="54" t="n">
        <f aca="false">C135*C135*$R$5+C135*$S$5+$T$5</f>
        <v>15.8470400000001</v>
      </c>
      <c r="I135" s="54" t="n">
        <f aca="false">D135*D135*$R$6+D135*$S$6+$T$6</f>
        <v>14.6088710399999</v>
      </c>
      <c r="J135" s="54" t="n">
        <f aca="false">E135*E135*$R$4+E135*$S$4+$T$4</f>
        <v>14.4652099999989</v>
      </c>
      <c r="K135" s="54" t="n">
        <f aca="false">F135*F135*$R$7+F135*$S$7+$T$7</f>
        <v>15.0357210000002</v>
      </c>
      <c r="L135" s="53" t="n">
        <f aca="false">ABS((G135-$A135)/$A135)</f>
        <v>0.0872639901234565</v>
      </c>
      <c r="M135" s="53" t="n">
        <f aca="false">ABS((H135-$A135)/$A135)</f>
        <v>0.0217876543209846</v>
      </c>
      <c r="N135" s="53" t="n">
        <f aca="false">ABS((I135-$A135)/$A135)</f>
        <v>0.0982178370370407</v>
      </c>
      <c r="O135" s="53" t="n">
        <f aca="false">ABS((J135-$A135)/$A135)</f>
        <v>0.107085802469202</v>
      </c>
      <c r="P135" s="53" t="n">
        <f aca="false">ABS((K135-$A135)/$A135)</f>
        <v>0.0718690740740621</v>
      </c>
    </row>
    <row r="136" customFormat="false" ht="13.8" hidden="false" customHeight="false" outlineLevel="0" collapsed="false">
      <c r="A136" s="1" t="n">
        <v>16.2</v>
      </c>
      <c r="B136" s="59" t="n">
        <v>2126</v>
      </c>
      <c r="C136" s="59" t="n">
        <v>2069</v>
      </c>
      <c r="D136" s="59" t="n">
        <v>2432</v>
      </c>
      <c r="E136" s="59" t="n">
        <v>2445</v>
      </c>
      <c r="F136" s="59" t="n">
        <v>2422</v>
      </c>
      <c r="G136" s="54" t="n">
        <f aca="false">B136*B136*$R$3+B136*$S$3+$T$3</f>
        <v>15.9161230399999</v>
      </c>
      <c r="H136" s="54" t="n">
        <f aca="false">C136*C136*$R$5+C136*$S$5+$T$5</f>
        <v>15.6432496000001</v>
      </c>
      <c r="I136" s="54" t="n">
        <f aca="false">D136*D136*$R$6+D136*$S$6+$T$6</f>
        <v>14.6088710399999</v>
      </c>
      <c r="J136" s="54" t="n">
        <f aca="false">E136*E136*$R$4+E136*$S$4+$T$4</f>
        <v>14.5542499999997</v>
      </c>
      <c r="K136" s="54" t="n">
        <f aca="false">F136*F136*$R$7+F136*$S$7+$T$7</f>
        <v>15.0173609999997</v>
      </c>
      <c r="L136" s="53" t="n">
        <f aca="false">ABS((G136-$A136)/$A136)</f>
        <v>0.0175232691358058</v>
      </c>
      <c r="M136" s="53" t="n">
        <f aca="false">ABS((H136-$A136)/$A136)</f>
        <v>0.0343673086419689</v>
      </c>
      <c r="N136" s="53" t="n">
        <f aca="false">ABS((I136-$A136)/$A136)</f>
        <v>0.0982178370370407</v>
      </c>
      <c r="O136" s="53" t="n">
        <f aca="false">ABS((J136-$A136)/$A136)</f>
        <v>0.101589506172859</v>
      </c>
      <c r="P136" s="53" t="n">
        <f aca="false">ABS((K136-$A136)/$A136)</f>
        <v>0.0730024074074253</v>
      </c>
    </row>
    <row r="137" customFormat="false" ht="13.8" hidden="false" customHeight="false" outlineLevel="0" collapsed="false">
      <c r="A137" s="1" t="n">
        <v>16.2</v>
      </c>
      <c r="B137" s="59" t="n">
        <v>2102</v>
      </c>
      <c r="C137" s="59" t="n">
        <v>2157</v>
      </c>
      <c r="D137" s="59" t="n">
        <v>2434</v>
      </c>
      <c r="E137" s="59" t="n">
        <v>2447</v>
      </c>
      <c r="F137" s="59" t="n">
        <v>2426</v>
      </c>
      <c r="G137" s="54" t="n">
        <f aca="false">B137*B137*$R$3+B137*$S$3+$T$3</f>
        <v>17.26940816</v>
      </c>
      <c r="H137" s="54" t="n">
        <f aca="false">C137*C137*$R$5+C137*$S$5+$T$5</f>
        <v>18.0433264000001</v>
      </c>
      <c r="I137" s="54" t="n">
        <f aca="false">D137*D137*$R$6+D137*$S$6+$T$6</f>
        <v>14.3700977600001</v>
      </c>
      <c r="J137" s="54" t="n">
        <f aca="false">E137*E137*$R$4+E137*$S$4+$T$4</f>
        <v>14.6060899999998</v>
      </c>
      <c r="K137" s="54" t="n">
        <f aca="false">F137*F137*$R$7+F137*$S$7+$T$7</f>
        <v>15.0185289999999</v>
      </c>
      <c r="L137" s="53" t="n">
        <f aca="false">ABS((G137-$A137)/$A137)</f>
        <v>0.0660128493827133</v>
      </c>
      <c r="M137" s="53" t="n">
        <f aca="false">ABS((H137-$A137)/$A137)</f>
        <v>0.113785580246918</v>
      </c>
      <c r="N137" s="53" t="n">
        <f aca="false">ABS((I137-$A137)/$A137)</f>
        <v>0.112956928395053</v>
      </c>
      <c r="O137" s="53" t="n">
        <f aca="false">ABS((J137-$A137)/$A137)</f>
        <v>0.0983895061728538</v>
      </c>
      <c r="P137" s="53" t="n">
        <f aca="false">ABS((K137-$A137)/$A137)</f>
        <v>0.0729303086419787</v>
      </c>
    </row>
    <row r="138" customFormat="false" ht="13.8" hidden="false" customHeight="false" outlineLevel="0" collapsed="false">
      <c r="A138" s="1" t="n">
        <v>16.2</v>
      </c>
      <c r="B138" s="59" t="n">
        <v>2124</v>
      </c>
      <c r="C138" s="59" t="n">
        <v>2077</v>
      </c>
      <c r="D138" s="59" t="n">
        <v>2434</v>
      </c>
      <c r="E138" s="59" t="n">
        <v>2444</v>
      </c>
      <c r="F138" s="59" t="n">
        <v>2426</v>
      </c>
      <c r="G138" s="54" t="n">
        <f aca="false">B138*B138*$R$3+B138*$S$3+$T$3</f>
        <v>16.02744304</v>
      </c>
      <c r="H138" s="54" t="n">
        <f aca="false">C138*C138*$R$5+C138*$S$5+$T$5</f>
        <v>15.7887344</v>
      </c>
      <c r="I138" s="54" t="n">
        <f aca="false">D138*D138*$R$6+D138*$S$6+$T$6</f>
        <v>14.3700977600001</v>
      </c>
      <c r="J138" s="54" t="n">
        <f aca="false">E138*E138*$R$4+E138*$S$4+$T$4</f>
        <v>14.5301599999998</v>
      </c>
      <c r="K138" s="54" t="n">
        <f aca="false">F138*F138*$R$7+F138*$S$7+$T$7</f>
        <v>15.0185289999999</v>
      </c>
      <c r="L138" s="53" t="n">
        <f aca="false">ABS((G138-$A138)/$A138)</f>
        <v>0.0106516641975321</v>
      </c>
      <c r="M138" s="53" t="n">
        <f aca="false">ABS((H138-$A138)/$A138)</f>
        <v>0.0253867654320981</v>
      </c>
      <c r="N138" s="53" t="n">
        <f aca="false">ABS((I138-$A138)/$A138)</f>
        <v>0.112956928395053</v>
      </c>
      <c r="O138" s="53" t="n">
        <f aca="false">ABS((J138-$A138)/$A138)</f>
        <v>0.103076543209889</v>
      </c>
      <c r="P138" s="53" t="n">
        <f aca="false">ABS((K138-$A138)/$A138)</f>
        <v>0.0729303086419787</v>
      </c>
    </row>
    <row r="139" customFormat="false" ht="13.8" hidden="false" customHeight="false" outlineLevel="0" collapsed="false">
      <c r="A139" s="1" t="n">
        <v>16.2</v>
      </c>
      <c r="B139" s="59" t="n">
        <v>2119</v>
      </c>
      <c r="C139" s="59" t="n">
        <v>2033</v>
      </c>
      <c r="D139" s="59" t="n">
        <v>2435</v>
      </c>
      <c r="E139" s="59" t="n">
        <v>2435</v>
      </c>
      <c r="F139" s="59" t="n">
        <v>2416</v>
      </c>
      <c r="G139" s="54" t="n">
        <f aca="false">B139*B139*$R$3+B139*$S$3+$T$3</f>
        <v>16.30689944</v>
      </c>
      <c r="H139" s="54" t="n">
        <f aca="false">C139*C139*$R$5+C139*$S$5+$T$5</f>
        <v>15.1685104000001</v>
      </c>
      <c r="I139" s="54" t="n">
        <f aca="false">D139*D139*$R$6+D139*$S$6+$T$6</f>
        <v>14.2511235000002</v>
      </c>
      <c r="J139" s="54" t="n">
        <f aca="false">E139*E139*$R$4+E139*$S$4+$T$4</f>
        <v>14.3682499999991</v>
      </c>
      <c r="K139" s="54" t="n">
        <f aca="false">F139*F139*$R$7+F139*$S$7+$T$7</f>
        <v>15.0522239999991</v>
      </c>
      <c r="L139" s="53" t="n">
        <f aca="false">ABS((G139-$A139)/$A139)</f>
        <v>0.00659873086419728</v>
      </c>
      <c r="M139" s="53" t="n">
        <f aca="false">ABS((H139-$A139)/$A139)</f>
        <v>0.0636721975308605</v>
      </c>
      <c r="N139" s="53" t="n">
        <f aca="false">ABS((I139-$A139)/$A139)</f>
        <v>0.120301018518508</v>
      </c>
      <c r="O139" s="53" t="n">
        <f aca="false">ABS((J139-$A139)/$A139)</f>
        <v>0.113070987654378</v>
      </c>
      <c r="P139" s="53" t="n">
        <f aca="false">ABS((K139-$A139)/$A139)</f>
        <v>0.070850370370425</v>
      </c>
    </row>
    <row r="140" customFormat="false" ht="13.8" hidden="false" customHeight="false" outlineLevel="0" collapsed="false">
      <c r="A140" s="1" t="n">
        <v>16.2</v>
      </c>
      <c r="B140" s="59" t="n">
        <v>2112</v>
      </c>
      <c r="C140" s="59" t="n">
        <v>2063</v>
      </c>
      <c r="D140" s="59" t="n">
        <v>2437</v>
      </c>
      <c r="E140" s="59" t="n">
        <v>2448</v>
      </c>
      <c r="F140" s="59" t="n">
        <v>2429</v>
      </c>
      <c r="G140" s="54" t="n">
        <f aca="false">B140*B140*$R$3+B140*$S$3+$T$3</f>
        <v>16.70091376</v>
      </c>
      <c r="H140" s="54" t="n">
        <f aca="false">C140*C140*$R$5+C140*$S$5+$T$5</f>
        <v>15.5436784</v>
      </c>
      <c r="I140" s="54" t="n">
        <f aca="false">D140*D140*$R$6+D140*$S$6+$T$6</f>
        <v>14.0139997400001</v>
      </c>
      <c r="J140" s="54" t="n">
        <f aca="false">E140*E140*$R$4+E140*$S$4+$T$4</f>
        <v>14.6338399999995</v>
      </c>
      <c r="K140" s="54" t="n">
        <f aca="false">F140*F140*$R$7+F140*$S$7+$T$7</f>
        <v>15.0322202499997</v>
      </c>
      <c r="L140" s="53" t="n">
        <f aca="false">ABS((G140-$A140)/$A140)</f>
        <v>0.0309206024691353</v>
      </c>
      <c r="M140" s="53" t="n">
        <f aca="false">ABS((H140-$A140)/$A140)</f>
        <v>0.0405136790123471</v>
      </c>
      <c r="N140" s="53" t="n">
        <f aca="false">ABS((I140-$A140)/$A140)</f>
        <v>0.134938287654312</v>
      </c>
      <c r="O140" s="53" t="n">
        <f aca="false">ABS((J140-$A140)/$A140)</f>
        <v>0.0966765432099068</v>
      </c>
      <c r="P140" s="53" t="n">
        <f aca="false">ABS((K140-$A140)/$A140)</f>
        <v>0.072085169753106</v>
      </c>
    </row>
    <row r="141" customFormat="false" ht="13.8" hidden="false" customHeight="false" outlineLevel="0" collapsed="false">
      <c r="A141" s="1" t="n">
        <v>16.2</v>
      </c>
      <c r="B141" s="59" t="n">
        <v>2112</v>
      </c>
      <c r="C141" s="59" t="n">
        <v>2074</v>
      </c>
      <c r="D141" s="59" t="n">
        <v>2439</v>
      </c>
      <c r="E141" s="59" t="n">
        <v>2444</v>
      </c>
      <c r="F141" s="59" t="n">
        <v>2427</v>
      </c>
      <c r="G141" s="54" t="n">
        <f aca="false">B141*B141*$R$3+B141*$S$3+$T$3</f>
        <v>16.70091376</v>
      </c>
      <c r="H141" s="54" t="n">
        <f aca="false">C141*C141*$R$5+C141*$S$5+$T$5</f>
        <v>15.7324736</v>
      </c>
      <c r="I141" s="54" t="n">
        <f aca="false">D141*D141*$R$6+D141*$S$6+$T$6</f>
        <v>13.77797566</v>
      </c>
      <c r="J141" s="54" t="n">
        <f aca="false">E141*E141*$R$4+E141*$S$4+$T$4</f>
        <v>14.5301599999998</v>
      </c>
      <c r="K141" s="54" t="n">
        <f aca="false">F141*F141*$R$7+F141*$S$7+$T$7</f>
        <v>15.0218722499999</v>
      </c>
      <c r="L141" s="53" t="n">
        <f aca="false">ABS((G141-$A141)/$A141)</f>
        <v>0.0309206024691353</v>
      </c>
      <c r="M141" s="53" t="n">
        <f aca="false">ABS((H141-$A141)/$A141)</f>
        <v>0.0288596543209846</v>
      </c>
      <c r="N141" s="53" t="n">
        <f aca="false">ABS((I141-$A141)/$A141)</f>
        <v>0.14950767530864</v>
      </c>
      <c r="O141" s="53" t="n">
        <f aca="false">ABS((J141-$A141)/$A141)</f>
        <v>0.103076543209889</v>
      </c>
      <c r="P141" s="53" t="n">
        <f aca="false">ABS((K141-$A141)/$A141)</f>
        <v>0.0727239351851921</v>
      </c>
    </row>
    <row r="142" customFormat="false" ht="13.8" hidden="false" customHeight="false" outlineLevel="0" collapsed="false">
      <c r="A142" s="1" t="n">
        <v>16.2</v>
      </c>
      <c r="B142" s="59" t="n">
        <v>2123</v>
      </c>
      <c r="C142" s="59" t="n">
        <v>2061</v>
      </c>
      <c r="D142" s="59" t="n">
        <v>2442</v>
      </c>
      <c r="E142" s="59" t="n">
        <v>2459</v>
      </c>
      <c r="F142" s="59" t="n">
        <v>2426</v>
      </c>
      <c r="G142" s="54" t="n">
        <f aca="false">B142*B142*$R$3+B142*$S$3+$T$3</f>
        <v>16.08320216</v>
      </c>
      <c r="H142" s="54" t="n">
        <f aca="false">C142*C142*$R$5+C142*$S$5+$T$5</f>
        <v>15.5123056</v>
      </c>
      <c r="I142" s="54" t="n">
        <f aca="false">D142*D142*$R$6+D142*$S$6+$T$6</f>
        <v>13.4260014400002</v>
      </c>
      <c r="J142" s="54" t="n">
        <f aca="false">E142*E142*$R$4+E142*$S$4+$T$4</f>
        <v>15.0196099999994</v>
      </c>
      <c r="K142" s="54" t="n">
        <f aca="false">F142*F142*$R$7+F142*$S$7+$T$7</f>
        <v>15.0185289999999</v>
      </c>
      <c r="L142" s="53" t="n">
        <f aca="false">ABS((G142-$A142)/$A142)</f>
        <v>0.00720974320987744</v>
      </c>
      <c r="M142" s="53" t="n">
        <f aca="false">ABS((H142-$A142)/$A142)</f>
        <v>0.0424502716049353</v>
      </c>
      <c r="N142" s="53" t="n">
        <f aca="false">ABS((I142-$A142)/$A142)</f>
        <v>0.171234479012336</v>
      </c>
      <c r="O142" s="53" t="n">
        <f aca="false">ABS((J142-$A142)/$A142)</f>
        <v>0.0728635802469521</v>
      </c>
      <c r="P142" s="53" t="n">
        <f aca="false">ABS((K142-$A142)/$A142)</f>
        <v>0.0729303086419787</v>
      </c>
    </row>
    <row r="143" customFormat="false" ht="13.8" hidden="false" customHeight="false" outlineLevel="0" collapsed="false">
      <c r="A143" s="1" t="n">
        <v>16.2</v>
      </c>
      <c r="B143" s="59" t="n">
        <v>2085</v>
      </c>
      <c r="C143" s="59" t="n">
        <v>2222</v>
      </c>
      <c r="D143" s="59" t="n">
        <v>2443</v>
      </c>
      <c r="E143" s="59" t="n">
        <v>2449</v>
      </c>
      <c r="F143" s="59" t="n">
        <v>2434</v>
      </c>
      <c r="G143" s="54" t="n">
        <f aca="false">B143*B143*$R$3+B143*$S$3+$T$3</f>
        <v>18.251014</v>
      </c>
      <c r="H143" s="54" t="n">
        <f aca="false">C143*C143*$R$5+C143*$S$5+$T$5</f>
        <v>20.9458624</v>
      </c>
      <c r="I143" s="54" t="n">
        <f aca="false">D143*D143*$R$6+D143*$S$6+$T$6</f>
        <v>13.3092265400001</v>
      </c>
      <c r="J143" s="54" t="n">
        <f aca="false">E143*E143*$R$4+E143*$S$4+$T$4</f>
        <v>14.6628099999994</v>
      </c>
      <c r="K143" s="54" t="n">
        <f aca="false">F143*F143*$R$7+F143*$S$7+$T$7</f>
        <v>15.0794489999994</v>
      </c>
      <c r="L143" s="53" t="n">
        <f aca="false">ABS((G143-$A143)/$A143)</f>
        <v>0.126605802469136</v>
      </c>
      <c r="M143" s="53" t="n">
        <f aca="false">ABS((H143-$A143)/$A143)</f>
        <v>0.292954469135803</v>
      </c>
      <c r="N143" s="53" t="n">
        <f aca="false">ABS((I143-$A143)/$A143)</f>
        <v>0.178442806172836</v>
      </c>
      <c r="O143" s="53" t="n">
        <f aca="false">ABS((J143-$A143)/$A143)</f>
        <v>0.0948882716049781</v>
      </c>
      <c r="P143" s="53" t="n">
        <f aca="false">ABS((K143-$A143)/$A143)</f>
        <v>0.0691698148148527</v>
      </c>
    </row>
    <row r="144" customFormat="false" ht="13.8" hidden="false" customHeight="false" outlineLevel="0" collapsed="false">
      <c r="A144" s="1" t="n">
        <v>16.2</v>
      </c>
      <c r="B144" s="59" t="n">
        <v>2129</v>
      </c>
      <c r="C144" s="59" t="n">
        <v>1984</v>
      </c>
      <c r="D144" s="59" t="n">
        <v>2443</v>
      </c>
      <c r="E144" s="59" t="n">
        <v>2448</v>
      </c>
      <c r="F144" s="59" t="n">
        <v>2429</v>
      </c>
      <c r="G144" s="54" t="n">
        <f aca="false">B144*B144*$R$3+B144*$S$3+$T$3</f>
        <v>15.74963864</v>
      </c>
      <c r="H144" s="54" t="n">
        <f aca="false">C144*C144*$R$5+C144*$S$5+$T$5</f>
        <v>14.9954816</v>
      </c>
      <c r="I144" s="54" t="n">
        <f aca="false">D144*D144*$R$6+D144*$S$6+$T$6</f>
        <v>13.3092265400001</v>
      </c>
      <c r="J144" s="54" t="n">
        <f aca="false">E144*E144*$R$4+E144*$S$4+$T$4</f>
        <v>14.6338399999995</v>
      </c>
      <c r="K144" s="54" t="n">
        <f aca="false">F144*F144*$R$7+F144*$S$7+$T$7</f>
        <v>15.0322202499997</v>
      </c>
      <c r="L144" s="53" t="n">
        <f aca="false">ABS((G144-$A144)/$A144)</f>
        <v>0.0278000839506172</v>
      </c>
      <c r="M144" s="53" t="n">
        <f aca="false">ABS((H144-$A144)/$A144)</f>
        <v>0.0743529876543206</v>
      </c>
      <c r="N144" s="53" t="n">
        <f aca="false">ABS((I144-$A144)/$A144)</f>
        <v>0.178442806172836</v>
      </c>
      <c r="O144" s="53" t="n">
        <f aca="false">ABS((J144-$A144)/$A144)</f>
        <v>0.0966765432099068</v>
      </c>
      <c r="P144" s="53" t="n">
        <f aca="false">ABS((K144-$A144)/$A144)</f>
        <v>0.072085169753106</v>
      </c>
    </row>
    <row r="145" customFormat="false" ht="13.8" hidden="false" customHeight="false" outlineLevel="0" collapsed="false">
      <c r="A145" s="1" t="n">
        <v>16.2</v>
      </c>
      <c r="B145" s="59" t="n">
        <v>2128</v>
      </c>
      <c r="C145" s="59" t="n">
        <v>2073</v>
      </c>
      <c r="D145" s="59" t="n">
        <v>2444</v>
      </c>
      <c r="E145" s="59" t="n">
        <v>2454</v>
      </c>
      <c r="F145" s="59" t="n">
        <v>2431</v>
      </c>
      <c r="G145" s="54" t="n">
        <f aca="false">B145*B145*$R$3+B145*$S$3+$T$3</f>
        <v>15.80506736</v>
      </c>
      <c r="H145" s="54" t="n">
        <f aca="false">C145*C145*$R$5+C145*$S$5+$T$5</f>
        <v>15.7141744</v>
      </c>
      <c r="I145" s="54" t="n">
        <f aca="false">D145*D145*$R$6+D145*$S$6+$T$6</f>
        <v>13.19272656</v>
      </c>
      <c r="J145" s="54" t="n">
        <f aca="false">E145*E145*$R$4+E145*$S$4+$T$4</f>
        <v>14.8259599999992</v>
      </c>
      <c r="K145" s="54" t="n">
        <f aca="false">F145*F145*$R$7+F145*$S$7+$T$7</f>
        <v>15.0474502499997</v>
      </c>
      <c r="L145" s="53" t="n">
        <f aca="false">ABS((G145-$A145)/$A145)</f>
        <v>0.0243785580246907</v>
      </c>
      <c r="M145" s="53" t="n">
        <f aca="false">ABS((H145-$A145)/$A145)</f>
        <v>0.0299892345679018</v>
      </c>
      <c r="N145" s="53" t="n">
        <f aca="false">ABS((I145-$A145)/$A145)</f>
        <v>0.185634162962964</v>
      </c>
      <c r="O145" s="53" t="n">
        <f aca="false">ABS((J145-$A145)/$A145)</f>
        <v>0.0848172839506658</v>
      </c>
      <c r="P145" s="53" t="n">
        <f aca="false">ABS((K145-$A145)/$A145)</f>
        <v>0.0711450462963175</v>
      </c>
    </row>
    <row r="146" customFormat="false" ht="13.8" hidden="false" customHeight="false" outlineLevel="0" collapsed="false">
      <c r="A146" s="1" t="n">
        <v>16.2</v>
      </c>
      <c r="B146" s="59" t="n">
        <v>2111</v>
      </c>
      <c r="C146" s="59" t="n">
        <v>2087</v>
      </c>
      <c r="D146" s="59" t="n">
        <v>2445</v>
      </c>
      <c r="E146" s="59" t="n">
        <v>2450</v>
      </c>
      <c r="F146" s="59" t="n">
        <v>2432</v>
      </c>
      <c r="G146" s="54" t="n">
        <f aca="false">B146*B146*$R$3+B146*$S$3+$T$3</f>
        <v>16.75746584</v>
      </c>
      <c r="H146" s="54" t="n">
        <f aca="false">C146*C146*$R$5+C146*$S$5+$T$5</f>
        <v>15.9910384</v>
      </c>
      <c r="I146" s="54" t="n">
        <f aca="false">D146*D146*$R$6+D146*$S$6+$T$6</f>
        <v>13.0765014999997</v>
      </c>
      <c r="J146" s="54" t="n">
        <f aca="false">E146*E146*$R$4+E146*$S$4+$T$4</f>
        <v>14.6929999999993</v>
      </c>
      <c r="K146" s="54" t="n">
        <f aca="false">F146*F146*$R$7+F146*$S$7+$T$7</f>
        <v>15.0568959999996</v>
      </c>
      <c r="L146" s="53" t="n">
        <f aca="false">ABS((G146-$A146)/$A146)</f>
        <v>0.0344114716049354</v>
      </c>
      <c r="M146" s="53" t="n">
        <f aca="false">ABS((H146-$A146)/$A146)</f>
        <v>0.0128988641975321</v>
      </c>
      <c r="N146" s="53" t="n">
        <f aca="false">ABS((I146-$A146)/$A146)</f>
        <v>0.192808549382733</v>
      </c>
      <c r="O146" s="53" t="n">
        <f aca="false">ABS((J146-$A146)/$A146)</f>
        <v>0.0930246913580678</v>
      </c>
      <c r="P146" s="53" t="n">
        <f aca="false">ABS((K146-$A146)/$A146)</f>
        <v>0.0705619753086668</v>
      </c>
    </row>
    <row r="147" customFormat="false" ht="13.8" hidden="false" customHeight="false" outlineLevel="0" collapsed="false">
      <c r="A147" s="1" t="n">
        <v>16.2</v>
      </c>
      <c r="B147" s="59" t="n">
        <v>2121</v>
      </c>
      <c r="C147" s="59" t="n">
        <v>2085</v>
      </c>
      <c r="D147" s="59" t="n">
        <v>2445</v>
      </c>
      <c r="E147" s="59" t="n">
        <v>2448</v>
      </c>
      <c r="F147" s="59" t="n">
        <v>2435</v>
      </c>
      <c r="G147" s="54" t="n">
        <f aca="false">B147*B147*$R$3+B147*$S$3+$T$3</f>
        <v>16.19491864</v>
      </c>
      <c r="H147" s="54" t="n">
        <f aca="false">C147*C147*$R$5+C147*$S$5+$T$5</f>
        <v>15.9487600000001</v>
      </c>
      <c r="I147" s="54" t="n">
        <f aca="false">D147*D147*$R$6+D147*$S$6+$T$6</f>
        <v>13.0765014999997</v>
      </c>
      <c r="J147" s="54" t="n">
        <f aca="false">E147*E147*$R$4+E147*$S$4+$T$4</f>
        <v>14.6338399999995</v>
      </c>
      <c r="K147" s="54" t="n">
        <f aca="false">F147*F147*$R$7+F147*$S$7+$T$7</f>
        <v>15.0925562499997</v>
      </c>
      <c r="L147" s="53" t="n">
        <f aca="false">ABS((G147-$A147)/$A147)</f>
        <v>0.000313664197532737</v>
      </c>
      <c r="M147" s="53" t="n">
        <f aca="false">ABS((H147-$A147)/$A147)</f>
        <v>0.0155086419753055</v>
      </c>
      <c r="N147" s="53" t="n">
        <f aca="false">ABS((I147-$A147)/$A147)</f>
        <v>0.192808549382733</v>
      </c>
      <c r="O147" s="53" t="n">
        <f aca="false">ABS((J147-$A147)/$A147)</f>
        <v>0.0966765432099068</v>
      </c>
      <c r="P147" s="53" t="n">
        <f aca="false">ABS((K147-$A147)/$A147)</f>
        <v>0.0683607253086612</v>
      </c>
    </row>
    <row r="148" customFormat="false" ht="13.8" hidden="false" customHeight="false" outlineLevel="0" collapsed="false">
      <c r="A148" s="1" t="n">
        <v>16.2</v>
      </c>
      <c r="B148" s="59" t="n">
        <v>2128</v>
      </c>
      <c r="C148" s="59" t="n">
        <v>2075</v>
      </c>
      <c r="D148" s="59" t="n">
        <v>2445</v>
      </c>
      <c r="E148" s="59" t="n">
        <v>2450</v>
      </c>
      <c r="F148" s="59" t="n">
        <v>2432</v>
      </c>
      <c r="G148" s="54" t="n">
        <f aca="false">B148*B148*$R$3+B148*$S$3+$T$3</f>
        <v>15.80506736</v>
      </c>
      <c r="H148" s="54" t="n">
        <f aca="false">C148*C148*$R$5+C148*$S$5+$T$5</f>
        <v>15.751</v>
      </c>
      <c r="I148" s="54" t="n">
        <f aca="false">D148*D148*$R$6+D148*$S$6+$T$6</f>
        <v>13.0765014999997</v>
      </c>
      <c r="J148" s="54" t="n">
        <f aca="false">E148*E148*$R$4+E148*$S$4+$T$4</f>
        <v>14.6929999999993</v>
      </c>
      <c r="K148" s="54" t="n">
        <f aca="false">F148*F148*$R$7+F148*$S$7+$T$7</f>
        <v>15.0568959999996</v>
      </c>
      <c r="L148" s="53" t="n">
        <f aca="false">ABS((G148-$A148)/$A148)</f>
        <v>0.0243785580246907</v>
      </c>
      <c r="M148" s="53" t="n">
        <f aca="false">ABS((H148-$A148)/$A148)</f>
        <v>0.027716049382714</v>
      </c>
      <c r="N148" s="53" t="n">
        <f aca="false">ABS((I148-$A148)/$A148)</f>
        <v>0.192808549382733</v>
      </c>
      <c r="O148" s="53" t="n">
        <f aca="false">ABS((J148-$A148)/$A148)</f>
        <v>0.0930246913580678</v>
      </c>
      <c r="P148" s="53" t="n">
        <f aca="false">ABS((K148-$A148)/$A148)</f>
        <v>0.0705619753086668</v>
      </c>
    </row>
    <row r="149" customFormat="false" ht="13.8" hidden="false" customHeight="false" outlineLevel="0" collapsed="false">
      <c r="A149" s="1" t="n">
        <v>16.2</v>
      </c>
      <c r="B149" s="59" t="n">
        <v>2121</v>
      </c>
      <c r="C149" s="59" t="n">
        <v>2073</v>
      </c>
      <c r="D149" s="59" t="n">
        <v>2447</v>
      </c>
      <c r="E149" s="59" t="n">
        <v>2449</v>
      </c>
      <c r="F149" s="59" t="n">
        <v>2434</v>
      </c>
      <c r="G149" s="54" t="n">
        <f aca="false">B149*B149*$R$3+B149*$S$3+$T$3</f>
        <v>16.19491864</v>
      </c>
      <c r="H149" s="54" t="n">
        <f aca="false">C149*C149*$R$5+C149*$S$5+$T$5</f>
        <v>15.7141744</v>
      </c>
      <c r="I149" s="54" t="n">
        <f aca="false">D149*D149*$R$6+D149*$S$6+$T$6</f>
        <v>12.84487614</v>
      </c>
      <c r="J149" s="54" t="n">
        <f aca="false">E149*E149*$R$4+E149*$S$4+$T$4</f>
        <v>14.6628099999994</v>
      </c>
      <c r="K149" s="54" t="n">
        <f aca="false">F149*F149*$R$7+F149*$S$7+$T$7</f>
        <v>15.0794489999994</v>
      </c>
      <c r="L149" s="53" t="n">
        <f aca="false">ABS((G149-$A149)/$A149)</f>
        <v>0.000313664197532737</v>
      </c>
      <c r="M149" s="53" t="n">
        <f aca="false">ABS((H149-$A149)/$A149)</f>
        <v>0.0299892345679018</v>
      </c>
      <c r="N149" s="53" t="n">
        <f aca="false">ABS((I149-$A149)/$A149)</f>
        <v>0.207106411111111</v>
      </c>
      <c r="O149" s="53" t="n">
        <f aca="false">ABS((J149-$A149)/$A149)</f>
        <v>0.0948882716049781</v>
      </c>
      <c r="P149" s="53" t="n">
        <f aca="false">ABS((K149-$A149)/$A149)</f>
        <v>0.0691698148148527</v>
      </c>
    </row>
    <row r="150" customFormat="false" ht="13.8" hidden="false" customHeight="false" outlineLevel="0" collapsed="false">
      <c r="A150" s="1" t="n">
        <v>16.2</v>
      </c>
      <c r="B150" s="59" t="n">
        <v>2119</v>
      </c>
      <c r="C150" s="59" t="n">
        <v>2015</v>
      </c>
      <c r="D150" s="59" t="n">
        <v>2447</v>
      </c>
      <c r="E150" s="59" t="n">
        <v>2451</v>
      </c>
      <c r="F150" s="59" t="n">
        <v>2435</v>
      </c>
      <c r="G150" s="54" t="n">
        <f aca="false">B150*B150*$R$3+B150*$S$3+$T$3</f>
        <v>16.30689944</v>
      </c>
      <c r="H150" s="54" t="n">
        <f aca="false">C150*C150*$R$5+C150*$S$5+$T$5</f>
        <v>15.0415600000001</v>
      </c>
      <c r="I150" s="54" t="n">
        <f aca="false">D150*D150*$R$6+D150*$S$6+$T$6</f>
        <v>12.84487614</v>
      </c>
      <c r="J150" s="54" t="n">
        <f aca="false">E150*E150*$R$4+E150*$S$4+$T$4</f>
        <v>14.7244099999994</v>
      </c>
      <c r="K150" s="54" t="n">
        <f aca="false">F150*F150*$R$7+F150*$S$7+$T$7</f>
        <v>15.0925562499997</v>
      </c>
      <c r="L150" s="53" t="n">
        <f aca="false">ABS((G150-$A150)/$A150)</f>
        <v>0.00659873086419728</v>
      </c>
      <c r="M150" s="53" t="n">
        <f aca="false">ABS((H150-$A150)/$A150)</f>
        <v>0.0715086419753049</v>
      </c>
      <c r="N150" s="53" t="n">
        <f aca="false">ABS((I150-$A150)/$A150)</f>
        <v>0.207106411111111</v>
      </c>
      <c r="O150" s="53" t="n">
        <f aca="false">ABS((J150-$A150)/$A150)</f>
        <v>0.0910858024691758</v>
      </c>
      <c r="P150" s="53" t="n">
        <f aca="false">ABS((K150-$A150)/$A150)</f>
        <v>0.0683607253086612</v>
      </c>
    </row>
    <row r="151" customFormat="false" ht="13.8" hidden="false" customHeight="false" outlineLevel="0" collapsed="false">
      <c r="A151" s="1" t="n">
        <v>16.2</v>
      </c>
      <c r="B151" s="59" t="n">
        <v>2119</v>
      </c>
      <c r="C151" s="59" t="n">
        <v>2096</v>
      </c>
      <c r="D151" s="59" t="n">
        <v>2448</v>
      </c>
      <c r="E151" s="59" t="n">
        <v>2458</v>
      </c>
      <c r="F151" s="59" t="n">
        <v>2426</v>
      </c>
      <c r="G151" s="54" t="n">
        <f aca="false">B151*B151*$R$3+B151*$S$3+$T$3</f>
        <v>16.30689944</v>
      </c>
      <c r="H151" s="54" t="n">
        <f aca="false">C151*C151*$R$5+C151*$S$5+$T$5</f>
        <v>16.1925376</v>
      </c>
      <c r="I151" s="54" t="n">
        <f aca="false">D151*D151*$R$6+D151*$S$6+$T$6</f>
        <v>12.7294758399999</v>
      </c>
      <c r="J151" s="54" t="n">
        <f aca="false">E151*E151*$R$4+E151*$S$4+$T$4</f>
        <v>14.9784399999994</v>
      </c>
      <c r="K151" s="54" t="n">
        <f aca="false">F151*F151*$R$7+F151*$S$7+$T$7</f>
        <v>15.0185289999999</v>
      </c>
      <c r="L151" s="53" t="n">
        <f aca="false">ABS((G151-$A151)/$A151)</f>
        <v>0.00659873086419728</v>
      </c>
      <c r="M151" s="53" t="n">
        <f aca="false">ABS((H151-$A151)/$A151)</f>
        <v>0.000460641975309826</v>
      </c>
      <c r="N151" s="53" t="n">
        <f aca="false">ABS((I151-$A151)/$A151)</f>
        <v>0.214229886419762</v>
      </c>
      <c r="O151" s="53" t="n">
        <f aca="false">ABS((J151-$A151)/$A151)</f>
        <v>0.0754049382716414</v>
      </c>
      <c r="P151" s="53" t="n">
        <f aca="false">ABS((K151-$A151)/$A151)</f>
        <v>0.0729303086419787</v>
      </c>
    </row>
    <row r="152" customFormat="false" ht="13.8" hidden="false" customHeight="false" outlineLevel="0" collapsed="false">
      <c r="A152" s="1" t="n">
        <v>16.2</v>
      </c>
      <c r="B152" s="59" t="n">
        <v>2121</v>
      </c>
      <c r="C152" s="59" t="n">
        <v>2066</v>
      </c>
      <c r="D152" s="59" t="n">
        <v>2448</v>
      </c>
      <c r="E152" s="59" t="n">
        <v>2454</v>
      </c>
      <c r="F152" s="59" t="n">
        <v>2430</v>
      </c>
      <c r="G152" s="54" t="n">
        <f aca="false">B152*B152*$R$3+B152*$S$3+$T$3</f>
        <v>16.19491864</v>
      </c>
      <c r="H152" s="54" t="n">
        <f aca="false">C152*C152*$R$5+C152*$S$5+$T$5</f>
        <v>15.5924416</v>
      </c>
      <c r="I152" s="54" t="n">
        <f aca="false">D152*D152*$R$6+D152*$S$6+$T$6</f>
        <v>12.7294758399999</v>
      </c>
      <c r="J152" s="54" t="n">
        <f aca="false">E152*E152*$R$4+E152*$S$4+$T$4</f>
        <v>14.8259599999992</v>
      </c>
      <c r="K152" s="54" t="n">
        <f aca="false">F152*F152*$R$7+F152*$S$7+$T$7</f>
        <v>15.0392249999995</v>
      </c>
      <c r="L152" s="53" t="n">
        <f aca="false">ABS((G152-$A152)/$A152)</f>
        <v>0.000313664197532737</v>
      </c>
      <c r="M152" s="53" t="n">
        <f aca="false">ABS((H152-$A152)/$A152)</f>
        <v>0.0375036049382698</v>
      </c>
      <c r="N152" s="53" t="n">
        <f aca="false">ABS((I152-$A152)/$A152)</f>
        <v>0.214229886419762</v>
      </c>
      <c r="O152" s="53" t="n">
        <f aca="false">ABS((J152-$A152)/$A152)</f>
        <v>0.0848172839506658</v>
      </c>
      <c r="P152" s="53" t="n">
        <f aca="false">ABS((K152-$A152)/$A152)</f>
        <v>0.0716527777778066</v>
      </c>
    </row>
    <row r="153" customFormat="false" ht="13.8" hidden="false" customHeight="false" outlineLevel="0" collapsed="false">
      <c r="A153" s="1" t="n">
        <v>16.2</v>
      </c>
      <c r="B153" s="59" t="n">
        <v>2121</v>
      </c>
      <c r="C153" s="59" t="n">
        <v>2079</v>
      </c>
      <c r="D153" s="59" t="n">
        <v>2449</v>
      </c>
      <c r="E153" s="59" t="n">
        <v>2455</v>
      </c>
      <c r="F153" s="59" t="n">
        <v>2433</v>
      </c>
      <c r="G153" s="54" t="n">
        <f aca="false">B153*B153*$R$3+B153*$S$3+$T$3</f>
        <v>16.19491864</v>
      </c>
      <c r="H153" s="54" t="n">
        <f aca="false">C153*C153*$R$5+C153*$S$5+$T$5</f>
        <v>15.8273776</v>
      </c>
      <c r="I153" s="54" t="n">
        <f aca="false">D153*D153*$R$6+D153*$S$6+$T$6</f>
        <v>12.61435046</v>
      </c>
      <c r="J153" s="54" t="n">
        <f aca="false">E153*E153*$R$4+E153*$S$4+$T$4</f>
        <v>14.8622499999992</v>
      </c>
      <c r="K153" s="54" t="n">
        <f aca="false">F153*F153*$R$7+F153*$S$7+$T$7</f>
        <v>15.0675622499994</v>
      </c>
      <c r="L153" s="53" t="n">
        <f aca="false">ABS((G153-$A153)/$A153)</f>
        <v>0.000313664197532737</v>
      </c>
      <c r="M153" s="53" t="n">
        <f aca="false">ABS((H153-$A153)/$A153)</f>
        <v>0.0230013827160472</v>
      </c>
      <c r="N153" s="53" t="n">
        <f aca="false">ABS((I153-$A153)/$A153)</f>
        <v>0.221336391358027</v>
      </c>
      <c r="O153" s="53" t="n">
        <f aca="false">ABS((J153-$A153)/$A153)</f>
        <v>0.0825771604938752</v>
      </c>
      <c r="P153" s="53" t="n">
        <f aca="false">ABS((K153-$A153)/$A153)</f>
        <v>0.0699035648148546</v>
      </c>
    </row>
    <row r="154" customFormat="false" ht="13.8" hidden="false" customHeight="false" outlineLevel="0" collapsed="false">
      <c r="A154" s="1" t="n">
        <v>16.2</v>
      </c>
      <c r="B154" s="59" t="n">
        <v>2101</v>
      </c>
      <c r="C154" s="59" t="n">
        <v>2027</v>
      </c>
      <c r="D154" s="59" t="n">
        <v>2449</v>
      </c>
      <c r="E154" s="59" t="n">
        <v>2457</v>
      </c>
      <c r="F154" s="59" t="n">
        <v>2443</v>
      </c>
      <c r="G154" s="54" t="n">
        <f aca="false">B154*B154*$R$3+B154*$S$3+$T$3</f>
        <v>17.32662104</v>
      </c>
      <c r="H154" s="54" t="n">
        <f aca="false">C154*C154*$R$5+C154*$S$5+$T$5</f>
        <v>15.1180144</v>
      </c>
      <c r="I154" s="54" t="n">
        <f aca="false">D154*D154*$R$6+D154*$S$6+$T$6</f>
        <v>12.61435046</v>
      </c>
      <c r="J154" s="54" t="n">
        <f aca="false">E154*E154*$R$4+E154*$S$4+$T$4</f>
        <v>14.9384899999991</v>
      </c>
      <c r="K154" s="54" t="n">
        <f aca="false">F154*F154*$R$7+F154*$S$7+$T$7</f>
        <v>15.2413522499992</v>
      </c>
      <c r="L154" s="53" t="n">
        <f aca="false">ABS((G154-$A154)/$A154)</f>
        <v>0.0695445086419731</v>
      </c>
      <c r="M154" s="53" t="n">
        <f aca="false">ABS((H154-$A154)/$A154)</f>
        <v>0.0667892345679017</v>
      </c>
      <c r="N154" s="53" t="n">
        <f aca="false">ABS((I154-$A154)/$A154)</f>
        <v>0.221336391358027</v>
      </c>
      <c r="O154" s="53" t="n">
        <f aca="false">ABS((J154-$A154)/$A154)</f>
        <v>0.077870987654377</v>
      </c>
      <c r="P154" s="53" t="n">
        <f aca="false">ABS((K154-$A154)/$A154)</f>
        <v>0.0591757870370875</v>
      </c>
    </row>
    <row r="155" customFormat="false" ht="13.8" hidden="false" customHeight="false" outlineLevel="0" collapsed="false">
      <c r="A155" s="1" t="n">
        <v>16.2</v>
      </c>
      <c r="B155" s="59" t="n">
        <v>2130</v>
      </c>
      <c r="C155" s="59" t="n">
        <v>2076</v>
      </c>
      <c r="D155" s="59" t="n">
        <v>2450</v>
      </c>
      <c r="E155" s="59" t="n">
        <v>2463</v>
      </c>
      <c r="F155" s="59" t="n">
        <v>2435</v>
      </c>
      <c r="G155" s="54" t="n">
        <f aca="false">B155*B155*$R$3+B155*$S$3+$T$3</f>
        <v>15.694276</v>
      </c>
      <c r="H155" s="54" t="n">
        <f aca="false">C155*C155*$R$5+C155*$S$5+$T$5</f>
        <v>15.7697536</v>
      </c>
      <c r="I155" s="54" t="n">
        <f aca="false">D155*D155*$R$6+D155*$S$6+$T$6</f>
        <v>12.4994999999999</v>
      </c>
      <c r="J155" s="54" t="n">
        <f aca="false">E155*E155*$R$4+E155*$S$4+$T$4</f>
        <v>15.1964899999989</v>
      </c>
      <c r="K155" s="54" t="n">
        <f aca="false">F155*F155*$R$7+F155*$S$7+$T$7</f>
        <v>15.0925562499997</v>
      </c>
      <c r="L155" s="53" t="n">
        <f aca="false">ABS((G155-$A155)/$A155)</f>
        <v>0.0312175308641974</v>
      </c>
      <c r="M155" s="53" t="n">
        <f aca="false">ABS((H155-$A155)/$A155)</f>
        <v>0.0265584197530863</v>
      </c>
      <c r="N155" s="53" t="n">
        <f aca="false">ABS((I155-$A155)/$A155)</f>
        <v>0.228425925925932</v>
      </c>
      <c r="O155" s="53" t="n">
        <f aca="false">ABS((J155-$A155)/$A155)</f>
        <v>0.0619450617284627</v>
      </c>
      <c r="P155" s="53" t="n">
        <f aca="false">ABS((K155-$A155)/$A155)</f>
        <v>0.0683607253086612</v>
      </c>
    </row>
    <row r="156" customFormat="false" ht="13.8" hidden="false" customHeight="false" outlineLevel="0" collapsed="false">
      <c r="A156" s="1" t="n">
        <v>16.2</v>
      </c>
      <c r="B156" s="59" t="n">
        <v>2101</v>
      </c>
      <c r="C156" s="59" t="n">
        <v>2074</v>
      </c>
      <c r="D156" s="59" t="n">
        <v>2450</v>
      </c>
      <c r="E156" s="59" t="n">
        <v>2450</v>
      </c>
      <c r="F156" s="59" t="n">
        <v>2435</v>
      </c>
      <c r="G156" s="54" t="n">
        <f aca="false">B156*B156*$R$3+B156*$S$3+$T$3</f>
        <v>17.32662104</v>
      </c>
      <c r="H156" s="54" t="n">
        <f aca="false">C156*C156*$R$5+C156*$S$5+$T$5</f>
        <v>15.7324736</v>
      </c>
      <c r="I156" s="54" t="n">
        <f aca="false">D156*D156*$R$6+D156*$S$6+$T$6</f>
        <v>12.4994999999999</v>
      </c>
      <c r="J156" s="54" t="n">
        <f aca="false">E156*E156*$R$4+E156*$S$4+$T$4</f>
        <v>14.6929999999993</v>
      </c>
      <c r="K156" s="54" t="n">
        <f aca="false">F156*F156*$R$7+F156*$S$7+$T$7</f>
        <v>15.0925562499997</v>
      </c>
      <c r="L156" s="53" t="n">
        <f aca="false">ABS((G156-$A156)/$A156)</f>
        <v>0.0695445086419731</v>
      </c>
      <c r="M156" s="53" t="n">
        <f aca="false">ABS((H156-$A156)/$A156)</f>
        <v>0.0288596543209846</v>
      </c>
      <c r="N156" s="53" t="n">
        <f aca="false">ABS((I156-$A156)/$A156)</f>
        <v>0.228425925925932</v>
      </c>
      <c r="O156" s="53" t="n">
        <f aca="false">ABS((J156-$A156)/$A156)</f>
        <v>0.0930246913580678</v>
      </c>
      <c r="P156" s="53" t="n">
        <f aca="false">ABS((K156-$A156)/$A156)</f>
        <v>0.0683607253086612</v>
      </c>
    </row>
    <row r="157" customFormat="false" ht="13.8" hidden="false" customHeight="false" outlineLevel="0" collapsed="false">
      <c r="A157" s="1" t="n">
        <v>16.2</v>
      </c>
      <c r="B157" s="59" t="n">
        <v>2111</v>
      </c>
      <c r="C157" s="59" t="n">
        <v>2065</v>
      </c>
      <c r="D157" s="59" t="n">
        <v>2451</v>
      </c>
      <c r="E157" s="59" t="n">
        <v>2461</v>
      </c>
      <c r="F157" s="59" t="n">
        <v>2443</v>
      </c>
      <c r="G157" s="54" t="n">
        <f aca="false">B157*B157*$R$3+B157*$S$3+$T$3</f>
        <v>16.75746584</v>
      </c>
      <c r="H157" s="54" t="n">
        <f aca="false">C157*C157*$R$5+C157*$S$5+$T$5</f>
        <v>15.5759600000001</v>
      </c>
      <c r="I157" s="54" t="n">
        <f aca="false">D157*D157*$R$6+D157*$S$6+$T$6</f>
        <v>12.3849244600001</v>
      </c>
      <c r="J157" s="54" t="n">
        <f aca="false">E157*E157*$R$4+E157*$S$4+$T$4</f>
        <v>15.1056099999992</v>
      </c>
      <c r="K157" s="54" t="n">
        <f aca="false">F157*F157*$R$7+F157*$S$7+$T$7</f>
        <v>15.2413522499992</v>
      </c>
      <c r="L157" s="53" t="n">
        <f aca="false">ABS((G157-$A157)/$A157)</f>
        <v>0.0344114716049354</v>
      </c>
      <c r="M157" s="53" t="n">
        <f aca="false">ABS((H157-$A157)/$A157)</f>
        <v>0.0385209876543169</v>
      </c>
      <c r="N157" s="53" t="n">
        <f aca="false">ABS((I157-$A157)/$A157)</f>
        <v>0.235498490123451</v>
      </c>
      <c r="O157" s="53" t="n">
        <f aca="false">ABS((J157-$A157)/$A157)</f>
        <v>0.0675549382716567</v>
      </c>
      <c r="P157" s="53" t="n">
        <f aca="false">ABS((K157-$A157)/$A157)</f>
        <v>0.0591757870370875</v>
      </c>
    </row>
    <row r="158" customFormat="false" ht="13.8" hidden="false" customHeight="false" outlineLevel="0" collapsed="false">
      <c r="A158" s="1" t="n">
        <v>16.2</v>
      </c>
      <c r="B158" s="59" t="n">
        <v>2112</v>
      </c>
      <c r="C158" s="59" t="n">
        <v>2068</v>
      </c>
      <c r="D158" s="59" t="n">
        <v>2462</v>
      </c>
      <c r="E158" s="59" t="n">
        <v>2469</v>
      </c>
      <c r="F158" s="59" t="n">
        <v>2439</v>
      </c>
      <c r="G158" s="54" t="n">
        <f aca="false">B158*B158*$R$3+B158*$S$3+$T$3</f>
        <v>16.70091376</v>
      </c>
      <c r="H158" s="54" t="n">
        <f aca="false">C158*C158*$R$5+C158*$S$5+$T$5</f>
        <v>15.6260864</v>
      </c>
      <c r="I158" s="54" t="n">
        <f aca="false">D158*D158*$R$6+D158*$S$6+$T$6</f>
        <v>11.1427382399997</v>
      </c>
      <c r="J158" s="54" t="n">
        <f aca="false">E158*E158*$R$4+E158*$S$4+$T$4</f>
        <v>15.4984099999988</v>
      </c>
      <c r="K158" s="54" t="n">
        <f aca="false">F158*F158*$R$7+F158*$S$7+$T$7</f>
        <v>15.1571902499995</v>
      </c>
      <c r="L158" s="53" t="n">
        <f aca="false">ABS((G158-$A158)/$A158)</f>
        <v>0.0309206024691353</v>
      </c>
      <c r="M158" s="53" t="n">
        <f aca="false">ABS((H158-$A158)/$A158)</f>
        <v>0.0354267654320975</v>
      </c>
      <c r="N158" s="53" t="n">
        <f aca="false">ABS((I158-$A158)/$A158)</f>
        <v>0.312176651851868</v>
      </c>
      <c r="O158" s="53" t="n">
        <f aca="false">ABS((J158-$A158)/$A158)</f>
        <v>0.043308024691433</v>
      </c>
      <c r="P158" s="53" t="n">
        <f aca="false">ABS((K158-$A158)/$A158)</f>
        <v>0.0643709722222512</v>
      </c>
    </row>
    <row r="159" customFormat="false" ht="13.8" hidden="false" customHeight="false" outlineLevel="0" collapsed="false">
      <c r="A159" s="1" t="n">
        <v>16.2</v>
      </c>
      <c r="B159" s="59" t="n">
        <v>2112</v>
      </c>
      <c r="C159" s="59" t="n">
        <v>2068</v>
      </c>
      <c r="D159" s="59" t="n">
        <v>2463</v>
      </c>
      <c r="E159" s="59" t="n">
        <v>2466</v>
      </c>
      <c r="F159" s="59" t="n">
        <v>2442</v>
      </c>
      <c r="G159" s="54" t="n">
        <f aca="false">B159*B159*$R$3+B159*$S$3+$T$3</f>
        <v>16.70091376</v>
      </c>
      <c r="H159" s="54" t="n">
        <f aca="false">C159*C159*$R$5+C159*$S$5+$T$5</f>
        <v>15.6260864</v>
      </c>
      <c r="I159" s="54" t="n">
        <f aca="false">D159*D159*$R$6+D159*$S$6+$T$6</f>
        <v>11.0314617399999</v>
      </c>
      <c r="J159" s="54" t="n">
        <f aca="false">E159*E159*$R$4+E159*$S$4+$T$4</f>
        <v>15.3419599999988</v>
      </c>
      <c r="K159" s="54" t="n">
        <f aca="false">F159*F159*$R$7+F159*$S$7+$T$7</f>
        <v>15.2184809999994</v>
      </c>
      <c r="L159" s="53" t="n">
        <f aca="false">ABS((G159-$A159)/$A159)</f>
        <v>0.0309206024691353</v>
      </c>
      <c r="M159" s="53" t="n">
        <f aca="false">ABS((H159-$A159)/$A159)</f>
        <v>0.0354267654320975</v>
      </c>
      <c r="N159" s="53" t="n">
        <f aca="false">ABS((I159-$A159)/$A159)</f>
        <v>0.319045571604942</v>
      </c>
      <c r="O159" s="53" t="n">
        <f aca="false">ABS((J159-$A159)/$A159)</f>
        <v>0.0529654320988373</v>
      </c>
      <c r="P159" s="53" t="n">
        <f aca="false">ABS((K159-$A159)/$A159)</f>
        <v>0.0605875925926278</v>
      </c>
    </row>
    <row r="160" customFormat="false" ht="13.8" hidden="false" customHeight="false" outlineLevel="0" collapsed="false">
      <c r="A160" s="1" t="n">
        <v>87.6</v>
      </c>
      <c r="B160" s="59" t="n">
        <v>1296</v>
      </c>
      <c r="C160" s="59" t="n">
        <v>1197</v>
      </c>
      <c r="D160" s="59"/>
      <c r="E160" s="59" t="n">
        <v>2113</v>
      </c>
      <c r="F160" s="59"/>
      <c r="G160" s="54" t="n">
        <f aca="false">B160*B160*$R$3+B160*$S$3+$T$3</f>
        <v>84.82033264</v>
      </c>
      <c r="H160" s="54" t="n">
        <f aca="false">C160*C160*$R$5+C160*$S$5+$T$5</f>
        <v>86.9575024000001</v>
      </c>
      <c r="J160" s="54" t="n">
        <f aca="false">E160*E160*$R$4+E160*$S$4+$T$4</f>
        <v>73.5904899999991</v>
      </c>
      <c r="L160" s="53" t="n">
        <f aca="false">ABS((G160-$A160)/$A160)</f>
        <v>0.0317313625570778</v>
      </c>
      <c r="M160" s="53" t="n">
        <f aca="false">ABS((H160-$A160)/$A160)</f>
        <v>0.00733444748858365</v>
      </c>
      <c r="N160" s="53" t="n">
        <f aca="false">ABS((I160-$A160)/$A160)</f>
        <v>1</v>
      </c>
      <c r="O160" s="53" t="n">
        <f aca="false">ABS((J160-$A160)/$A160)</f>
        <v>0.159925913242019</v>
      </c>
      <c r="P160" s="53" t="n">
        <f aca="false">ABS((K160-$A160)/$A160)</f>
        <v>1</v>
      </c>
    </row>
    <row r="161" customFormat="false" ht="13.8" hidden="false" customHeight="false" outlineLevel="0" collapsed="false">
      <c r="A161" s="1" t="n">
        <v>87.6</v>
      </c>
      <c r="B161" s="59" t="n">
        <v>1255</v>
      </c>
      <c r="C161" s="59" t="n">
        <v>1199</v>
      </c>
      <c r="D161" s="59"/>
      <c r="E161" s="59" t="n">
        <v>2108</v>
      </c>
      <c r="F161" s="59"/>
      <c r="G161" s="54" t="n">
        <f aca="false">B161*B161*$R$3+B161*$S$3+$T$3</f>
        <v>89.403926</v>
      </c>
      <c r="H161" s="54" t="n">
        <f aca="false">C161*C161*$R$5+C161*$S$5+$T$5</f>
        <v>86.5962736</v>
      </c>
      <c r="J161" s="54" t="n">
        <f aca="false">E161*E161*$R$4+E161*$S$4+$T$4</f>
        <v>75.507439999999</v>
      </c>
      <c r="L161" s="53" t="n">
        <f aca="false">ABS((G161-$A161)/$A161)</f>
        <v>0.0205927625570775</v>
      </c>
      <c r="M161" s="53" t="n">
        <f aca="false">ABS((H161-$A161)/$A161)</f>
        <v>0.0114580639269404</v>
      </c>
      <c r="N161" s="53" t="n">
        <f aca="false">ABS((I161-$A161)/$A161)</f>
        <v>1</v>
      </c>
      <c r="O161" s="53" t="n">
        <f aca="false">ABS((J161-$A161)/$A161)</f>
        <v>0.138042922374441</v>
      </c>
      <c r="P161" s="53" t="n">
        <f aca="false">ABS((K161-$A161)/$A161)</f>
        <v>1</v>
      </c>
    </row>
    <row r="162" customFormat="false" ht="13.8" hidden="false" customHeight="false" outlineLevel="0" collapsed="false">
      <c r="A162" s="1" t="n">
        <v>87.6</v>
      </c>
      <c r="B162" s="59" t="n">
        <v>1284</v>
      </c>
      <c r="C162" s="59" t="n">
        <v>1210</v>
      </c>
      <c r="D162" s="59"/>
      <c r="E162" s="59" t="n">
        <v>2086</v>
      </c>
      <c r="F162" s="59"/>
      <c r="G162" s="54" t="n">
        <f aca="false">B162*B162*$R$3+B162*$S$3+$T$3</f>
        <v>86.15037424</v>
      </c>
      <c r="H162" s="54" t="n">
        <f aca="false">C162*C162*$R$5+C162*$S$5+$T$5</f>
        <v>84.6257600000001</v>
      </c>
      <c r="J162" s="54" t="n">
        <f aca="false">E162*E162*$R$4+E162*$S$4+$T$4</f>
        <v>84.3043599999992</v>
      </c>
      <c r="L162" s="53" t="n">
        <f aca="false">ABS((G162-$A162)/$A162)</f>
        <v>0.0165482392694064</v>
      </c>
      <c r="M162" s="53" t="n">
        <f aca="false">ABS((H162-$A162)/$A162)</f>
        <v>0.0339525114155242</v>
      </c>
      <c r="N162" s="53" t="n">
        <f aca="false">ABS((I162-$A162)/$A162)</f>
        <v>1</v>
      </c>
      <c r="O162" s="53" t="n">
        <f aca="false">ABS((J162-$A162)/$A162)</f>
        <v>0.0376214611872239</v>
      </c>
      <c r="P162" s="53" t="n">
        <f aca="false">ABS((K162-$A162)/$A162)</f>
        <v>1</v>
      </c>
    </row>
    <row r="163" customFormat="false" ht="13.8" hidden="false" customHeight="false" outlineLevel="0" collapsed="false">
      <c r="A163" s="1" t="n">
        <v>87.4</v>
      </c>
      <c r="B163" s="59" t="n">
        <v>1264</v>
      </c>
      <c r="C163" s="59" t="n">
        <v>1227</v>
      </c>
      <c r="D163" s="59"/>
      <c r="E163" s="59" t="n">
        <v>2083</v>
      </c>
      <c r="F163" s="59"/>
      <c r="G163" s="54" t="n">
        <f aca="false">B163*B163*$R$3+B163*$S$3+$T$3</f>
        <v>88.38825584</v>
      </c>
      <c r="H163" s="54" t="n">
        <f aca="false">C163*C163*$R$5+C163*$S$5+$T$5</f>
        <v>81.6344944</v>
      </c>
      <c r="J163" s="54" t="n">
        <f aca="false">E163*E163*$R$4+E163*$S$4+$T$4</f>
        <v>85.5496899999989</v>
      </c>
      <c r="L163" s="53" t="n">
        <f aca="false">ABS((G163-$A163)/$A163)</f>
        <v>0.0113072750572078</v>
      </c>
      <c r="M163" s="53" t="n">
        <f aca="false">ABS((H163-$A163)/$A163)</f>
        <v>0.0659668832951946</v>
      </c>
      <c r="N163" s="53" t="n">
        <f aca="false">ABS((I163-$A163)/$A163)</f>
        <v>1</v>
      </c>
      <c r="O163" s="53" t="n">
        <f aca="false">ABS((J163-$A163)/$A163)</f>
        <v>0.0211705949656875</v>
      </c>
      <c r="P163" s="53" t="n">
        <f aca="false">ABS((K163-$A163)/$A163)</f>
        <v>1</v>
      </c>
    </row>
    <row r="164" customFormat="false" ht="13.8" hidden="false" customHeight="false" outlineLevel="0" collapsed="false">
      <c r="A164" s="1" t="n">
        <v>87.6</v>
      </c>
      <c r="B164" s="59" t="n">
        <v>1286</v>
      </c>
      <c r="C164" s="59" t="n">
        <v>1289</v>
      </c>
      <c r="D164" s="59"/>
      <c r="E164" s="59" t="n">
        <v>2101</v>
      </c>
      <c r="F164" s="59"/>
      <c r="G164" s="54" t="n">
        <f aca="false">B164*B164*$R$3+B164*$S$3+$T$3</f>
        <v>85.92803984</v>
      </c>
      <c r="H164" s="54" t="n">
        <f aca="false">C164*C164*$R$5+C164*$S$5+$T$5</f>
        <v>71.2815856000001</v>
      </c>
      <c r="J164" s="54" t="n">
        <f aca="false">E164*E164*$R$4+E164*$S$4+$T$4</f>
        <v>78.2424099999994</v>
      </c>
      <c r="L164" s="53" t="n">
        <f aca="false">ABS((G164-$A164)/$A164)</f>
        <v>0.0190863031963473</v>
      </c>
      <c r="M164" s="53" t="n">
        <f aca="false">ABS((H164-$A164)/$A164)</f>
        <v>0.186283269406392</v>
      </c>
      <c r="N164" s="53" t="n">
        <f aca="false">ABS((I164-$A164)/$A164)</f>
        <v>1</v>
      </c>
      <c r="O164" s="53" t="n">
        <f aca="false">ABS((J164-$A164)/$A164)</f>
        <v>0.106821803652975</v>
      </c>
      <c r="P164" s="53" t="n">
        <f aca="false">ABS((K164-$A164)/$A164)</f>
        <v>1</v>
      </c>
    </row>
    <row r="165" customFormat="false" ht="13.8" hidden="false" customHeight="false" outlineLevel="0" collapsed="false">
      <c r="A165" s="1" t="n">
        <v>87.6</v>
      </c>
      <c r="B165" s="59" t="n">
        <v>1268</v>
      </c>
      <c r="C165" s="59" t="n">
        <v>1312</v>
      </c>
      <c r="D165" s="59"/>
      <c r="E165" s="59" t="n">
        <v>2123</v>
      </c>
      <c r="F165" s="59"/>
      <c r="G165" s="54" t="n">
        <f aca="false">B165*B165*$R$3+B165*$S$3+$T$3</f>
        <v>87.93856496</v>
      </c>
      <c r="H165" s="54" t="n">
        <f aca="false">C165*C165*$R$5+C165*$S$5+$T$5</f>
        <v>67.6630784</v>
      </c>
      <c r="J165" s="54" t="n">
        <f aca="false">E165*E165*$R$4+E165*$S$4+$T$4</f>
        <v>69.8480899999995</v>
      </c>
      <c r="L165" s="53" t="n">
        <f aca="false">ABS((G165-$A165)/$A165)</f>
        <v>0.00386489680365247</v>
      </c>
      <c r="M165" s="53" t="n">
        <f aca="false">ABS((H165-$A165)/$A165)</f>
        <v>0.227590429223744</v>
      </c>
      <c r="N165" s="53" t="n">
        <f aca="false">ABS((I165-$A165)/$A165)</f>
        <v>1</v>
      </c>
      <c r="O165" s="53" t="n">
        <f aca="false">ABS((J165-$A165)/$A165)</f>
        <v>0.202647374429229</v>
      </c>
      <c r="P165" s="53" t="n">
        <f aca="false">ABS((K165-$A165)/$A165)</f>
        <v>1</v>
      </c>
    </row>
    <row r="166" customFormat="false" ht="13.8" hidden="false" customHeight="false" outlineLevel="0" collapsed="false">
      <c r="A166" s="1" t="n">
        <v>58.6</v>
      </c>
      <c r="B166" s="59" t="n">
        <v>1535</v>
      </c>
      <c r="C166" s="59" t="n">
        <v>1366</v>
      </c>
      <c r="D166" s="59"/>
      <c r="E166" s="59"/>
      <c r="F166" s="59"/>
      <c r="G166" s="54" t="n">
        <f aca="false">B166*B166*$R$3+B166*$S$3+$T$3</f>
        <v>60.312374</v>
      </c>
      <c r="H166" s="54" t="n">
        <f aca="false">C166*C166*$R$5+C166*$S$5+$T$5</f>
        <v>59.6398015999999</v>
      </c>
      <c r="L166" s="53" t="n">
        <f aca="false">ABS((G166-$A166)/$A166)</f>
        <v>0.0292213993174057</v>
      </c>
      <c r="M166" s="53" t="n">
        <f aca="false">ABS((H166-$A166)/$A166)</f>
        <v>0.0177440546075075</v>
      </c>
      <c r="N166" s="53" t="n">
        <f aca="false">ABS((I166-$A166)/$A166)</f>
        <v>1</v>
      </c>
      <c r="O166" s="53" t="n">
        <f aca="false">ABS((J166-$A166)/$A166)</f>
        <v>1</v>
      </c>
      <c r="P166" s="53" t="n">
        <f aca="false">ABS((K166-$A166)/$A166)</f>
        <v>1</v>
      </c>
    </row>
    <row r="167" customFormat="false" ht="13.8" hidden="false" customHeight="false" outlineLevel="0" collapsed="false">
      <c r="A167" s="1" t="n">
        <v>58.4</v>
      </c>
      <c r="B167" s="59" t="n">
        <v>1579</v>
      </c>
      <c r="C167" s="59" t="n">
        <v>1370</v>
      </c>
      <c r="D167" s="59"/>
      <c r="E167" s="59" t="n">
        <v>2160</v>
      </c>
      <c r="F167" s="59"/>
      <c r="G167" s="54" t="n">
        <f aca="false">B167*B167*$R$3+B167*$S$3+$T$3</f>
        <v>56.21186264</v>
      </c>
      <c r="H167" s="54" t="n">
        <f aca="false">C167*C167*$R$5+C167*$S$5+$T$5</f>
        <v>59.07184</v>
      </c>
      <c r="J167" s="54" t="n">
        <f aca="false">E167*E167*$R$4+E167*$S$4+$T$4</f>
        <v>57.0619999999994</v>
      </c>
      <c r="L167" s="53" t="n">
        <f aca="false">ABS((G167-$A167)/$A167)</f>
        <v>0.0374681054794522</v>
      </c>
      <c r="M167" s="53" t="n">
        <f aca="false">ABS((H167-$A167)/$A167)</f>
        <v>0.0115041095890403</v>
      </c>
      <c r="N167" s="53" t="n">
        <f aca="false">ABS((I167-$A167)/$A167)</f>
        <v>1</v>
      </c>
      <c r="O167" s="53" t="n">
        <f aca="false">ABS((J167-$A167)/$A167)</f>
        <v>0.0229109589041191</v>
      </c>
      <c r="P167" s="53" t="n">
        <f aca="false">ABS((K167-$A167)/$A167)</f>
        <v>1</v>
      </c>
    </row>
    <row r="168" customFormat="false" ht="13.8" hidden="false" customHeight="false" outlineLevel="0" collapsed="false">
      <c r="A168" s="1" t="n">
        <v>58.6</v>
      </c>
      <c r="B168" s="59" t="n">
        <v>1535</v>
      </c>
      <c r="C168" s="59" t="n">
        <v>1376</v>
      </c>
      <c r="D168" s="59"/>
      <c r="E168" s="59"/>
      <c r="F168" s="59"/>
      <c r="G168" s="54" t="n">
        <f aca="false">B168*B168*$R$3+B168*$S$3+$T$3</f>
        <v>60.312374</v>
      </c>
      <c r="H168" s="54" t="n">
        <f aca="false">C168*C168*$R$5+C168*$S$5+$T$5</f>
        <v>58.2267136</v>
      </c>
      <c r="L168" s="53" t="n">
        <f aca="false">ABS((G168-$A168)/$A168)</f>
        <v>0.0292213993174057</v>
      </c>
      <c r="M168" s="53" t="n">
        <f aca="false">ABS((H168-$A168)/$A168)</f>
        <v>0.00637007508532359</v>
      </c>
      <c r="N168" s="53" t="n">
        <f aca="false">ABS((I168-$A168)/$A168)</f>
        <v>1</v>
      </c>
      <c r="O168" s="53" t="n">
        <f aca="false">ABS((J168-$A168)/$A168)</f>
        <v>1</v>
      </c>
      <c r="P168" s="53" t="n">
        <f aca="false">ABS((K168-$A168)/$A168)</f>
        <v>1</v>
      </c>
    </row>
    <row r="169" customFormat="false" ht="13.8" hidden="false" customHeight="false" outlineLevel="0" collapsed="false">
      <c r="A169" s="1" t="n">
        <v>58.6</v>
      </c>
      <c r="B169" s="59" t="n">
        <v>1565</v>
      </c>
      <c r="C169" s="59" t="n">
        <v>1376</v>
      </c>
      <c r="D169" s="59"/>
      <c r="E169" s="59"/>
      <c r="F169" s="59"/>
      <c r="G169" s="54" t="n">
        <f aca="false">B169*B169*$R$3+B169*$S$3+$T$3</f>
        <v>57.502694</v>
      </c>
      <c r="H169" s="54" t="n">
        <f aca="false">C169*C169*$R$5+C169*$S$5+$T$5</f>
        <v>58.2267136</v>
      </c>
      <c r="L169" s="53" t="n">
        <f aca="false">ABS((G169-$A169)/$A169)</f>
        <v>0.0187253583617754</v>
      </c>
      <c r="M169" s="53" t="n">
        <f aca="false">ABS((H169-$A169)/$A169)</f>
        <v>0.00637007508532359</v>
      </c>
      <c r="N169" s="53" t="n">
        <f aca="false">ABS((I169-$A169)/$A169)</f>
        <v>1</v>
      </c>
      <c r="O169" s="53" t="n">
        <f aca="false">ABS((J169-$A169)/$A169)</f>
        <v>1</v>
      </c>
      <c r="P169" s="53" t="n">
        <f aca="false">ABS((K169-$A169)/$A169)</f>
        <v>1</v>
      </c>
    </row>
    <row r="170" customFormat="false" ht="13.8" hidden="false" customHeight="false" outlineLevel="0" collapsed="false">
      <c r="A170" s="1" t="n">
        <v>58.6</v>
      </c>
      <c r="B170" s="59" t="n">
        <v>1584</v>
      </c>
      <c r="C170" s="59" t="n">
        <v>1376</v>
      </c>
      <c r="D170" s="59"/>
      <c r="E170" s="59"/>
      <c r="F170" s="59"/>
      <c r="G170" s="54" t="n">
        <f aca="false">B170*B170*$R$3+B170*$S$3+$T$3</f>
        <v>55.75399024</v>
      </c>
      <c r="H170" s="54" t="n">
        <f aca="false">C170*C170*$R$5+C170*$S$5+$T$5</f>
        <v>58.2267136</v>
      </c>
      <c r="L170" s="53" t="n">
        <f aca="false">ABS((G170-$A170)/$A170)</f>
        <v>0.0485667194539258</v>
      </c>
      <c r="M170" s="53" t="n">
        <f aca="false">ABS((H170-$A170)/$A170)</f>
        <v>0.00637007508532359</v>
      </c>
      <c r="N170" s="53" t="n">
        <f aca="false">ABS((I170-$A170)/$A170)</f>
        <v>1</v>
      </c>
      <c r="O170" s="53" t="n">
        <f aca="false">ABS((J170-$A170)/$A170)</f>
        <v>1</v>
      </c>
      <c r="P170" s="53" t="n">
        <f aca="false">ABS((K170-$A170)/$A170)</f>
        <v>1</v>
      </c>
    </row>
    <row r="171" customFormat="false" ht="13.8" hidden="false" customHeight="false" outlineLevel="0" collapsed="false">
      <c r="A171" s="1" t="n">
        <v>58.6</v>
      </c>
      <c r="B171" s="59" t="n">
        <v>1535</v>
      </c>
      <c r="C171" s="59" t="n">
        <v>1382</v>
      </c>
      <c r="D171" s="59"/>
      <c r="E171" s="59"/>
      <c r="F171" s="59"/>
      <c r="G171" s="54" t="n">
        <f aca="false">B171*B171*$R$3+B171*$S$3+$T$3</f>
        <v>60.312374</v>
      </c>
      <c r="H171" s="54" t="n">
        <f aca="false">C171*C171*$R$5+C171*$S$5+$T$5</f>
        <v>57.3897664</v>
      </c>
      <c r="L171" s="53" t="n">
        <f aca="false">ABS((G171-$A171)/$A171)</f>
        <v>0.0292213993174057</v>
      </c>
      <c r="M171" s="53" t="n">
        <f aca="false">ABS((H171-$A171)/$A171)</f>
        <v>0.0206524505119447</v>
      </c>
      <c r="N171" s="53" t="n">
        <f aca="false">ABS((I171-$A171)/$A171)</f>
        <v>1</v>
      </c>
      <c r="O171" s="53" t="n">
        <f aca="false">ABS((J171-$A171)/$A171)</f>
        <v>1</v>
      </c>
      <c r="P171" s="53" t="n">
        <f aca="false">ABS((K171-$A171)/$A171)</f>
        <v>1</v>
      </c>
    </row>
    <row r="172" customFormat="false" ht="13.8" hidden="false" customHeight="false" outlineLevel="0" collapsed="false">
      <c r="A172" s="1" t="n">
        <v>58.8</v>
      </c>
      <c r="B172" s="59" t="n">
        <v>1513</v>
      </c>
      <c r="C172" s="59" t="n">
        <v>1415</v>
      </c>
      <c r="D172" s="59"/>
      <c r="E172" s="59"/>
      <c r="F172" s="59"/>
      <c r="G172" s="54" t="n">
        <f aca="false">B172*B172*$R$3+B172*$S$3+$T$3</f>
        <v>62.41060376</v>
      </c>
      <c r="H172" s="54" t="n">
        <f aca="false">C172*C172*$R$5+C172*$S$5+$T$5</f>
        <v>52.93276</v>
      </c>
      <c r="L172" s="53" t="n">
        <f aca="false">ABS((G172-$A172)/$A172)</f>
        <v>0.06140482585034</v>
      </c>
      <c r="M172" s="53" t="n">
        <f aca="false">ABS((H172-$A172)/$A172)</f>
        <v>0.0997829931972784</v>
      </c>
      <c r="N172" s="53" t="n">
        <f aca="false">ABS((I172-$A172)/$A172)</f>
        <v>1</v>
      </c>
      <c r="O172" s="53" t="n">
        <f aca="false">ABS((J172-$A172)/$A172)</f>
        <v>1</v>
      </c>
      <c r="P172" s="53" t="n">
        <f aca="false">ABS((K172-$A172)/$A172)</f>
        <v>1</v>
      </c>
    </row>
    <row r="173" customFormat="false" ht="13.8" hidden="false" customHeight="false" outlineLevel="0" collapsed="false">
      <c r="A173" s="1" t="n">
        <v>16.2</v>
      </c>
      <c r="B173" s="59" t="n">
        <v>2111</v>
      </c>
      <c r="C173" s="59" t="n">
        <v>2189</v>
      </c>
      <c r="D173" s="59"/>
      <c r="E173" s="59"/>
      <c r="F173" s="59"/>
      <c r="G173" s="54" t="n">
        <f aca="false">B173*B173*$R$3+B173*$S$3+$T$3</f>
        <v>16.75746584</v>
      </c>
      <c r="H173" s="54" t="n">
        <f aca="false">C173*C173*$R$5+C173*$S$5+$T$5</f>
        <v>19.3523056</v>
      </c>
      <c r="L173" s="53" t="n">
        <f aca="false">ABS((G173-$A173)/$A173)</f>
        <v>0.0344114716049354</v>
      </c>
      <c r="M173" s="53" t="n">
        <f aca="false">ABS((H173-$A173)/$A173)</f>
        <v>0.1945867654321</v>
      </c>
      <c r="N173" s="53" t="n">
        <f aca="false">ABS((I173-$A173)/$A173)</f>
        <v>1</v>
      </c>
      <c r="O173" s="53" t="n">
        <f aca="false">ABS((J173-$A173)/$A173)</f>
        <v>1</v>
      </c>
      <c r="P173" s="53" t="n">
        <f aca="false">ABS((K173-$A173)/$A173)</f>
        <v>1</v>
      </c>
    </row>
    <row r="174" customFormat="false" ht="13.8" hidden="false" customHeight="false" outlineLevel="0" collapsed="false">
      <c r="A174" s="1" t="n">
        <v>16.2</v>
      </c>
      <c r="B174" s="59" t="n">
        <v>2103</v>
      </c>
      <c r="C174" s="59" t="n">
        <v>2096</v>
      </c>
      <c r="D174" s="59"/>
      <c r="E174" s="59"/>
      <c r="F174" s="59"/>
      <c r="G174" s="54" t="n">
        <f aca="false">B174*B174*$R$3+B174*$S$3+$T$3</f>
        <v>17.21226136</v>
      </c>
      <c r="H174" s="54" t="n">
        <f aca="false">C174*C174*$R$5+C174*$S$5+$T$5</f>
        <v>16.1925376</v>
      </c>
      <c r="L174" s="53" t="n">
        <f aca="false">ABS((G174-$A174)/$A174)</f>
        <v>0.0624852691358034</v>
      </c>
      <c r="M174" s="53" t="n">
        <f aca="false">ABS((H174-$A174)/$A174)</f>
        <v>0.000460641975309826</v>
      </c>
      <c r="N174" s="53" t="n">
        <f aca="false">ABS((I174-$A174)/$A174)</f>
        <v>1</v>
      </c>
      <c r="O174" s="53" t="n">
        <f aca="false">ABS((J174-$A174)/$A174)</f>
        <v>1</v>
      </c>
      <c r="P174" s="53" t="n">
        <f aca="false">ABS((K174-$A174)/$A174)</f>
        <v>1</v>
      </c>
    </row>
    <row r="175" customFormat="false" ht="13.8" hidden="false" customHeight="false" outlineLevel="0" collapsed="false">
      <c r="A175" s="1" t="n">
        <v>16.3</v>
      </c>
      <c r="B175" s="59" t="n">
        <v>2128</v>
      </c>
      <c r="C175" s="59" t="n">
        <v>2096</v>
      </c>
      <c r="D175" s="59"/>
      <c r="E175" s="59"/>
      <c r="F175" s="59"/>
      <c r="G175" s="54" t="n">
        <f aca="false">B175*B175*$R$3+B175*$S$3+$T$3</f>
        <v>15.80506736</v>
      </c>
      <c r="H175" s="54" t="n">
        <f aca="false">C175*C175*$R$5+C175*$S$5+$T$5</f>
        <v>16.1925376</v>
      </c>
      <c r="L175" s="53" t="n">
        <f aca="false">ABS((G175-$A175)/$A175)</f>
        <v>0.0303639656441712</v>
      </c>
      <c r="M175" s="53" t="n">
        <f aca="false">ABS((H175-$A175)/$A175)</f>
        <v>0.00659278527607488</v>
      </c>
      <c r="N175" s="53" t="n">
        <f aca="false">ABS((I175-$A175)/$A175)</f>
        <v>1</v>
      </c>
      <c r="O175" s="53" t="n">
        <f aca="false">ABS((J175-$A175)/$A175)</f>
        <v>1</v>
      </c>
      <c r="P175" s="53" t="n">
        <f aca="false">ABS((K175-$A175)/$A175)</f>
        <v>1</v>
      </c>
    </row>
    <row r="176" customFormat="false" ht="13.8" hidden="false" customHeight="false" outlineLevel="0" collapsed="false">
      <c r="A176" s="1" t="n">
        <v>16.2</v>
      </c>
      <c r="B176" s="59" t="n">
        <v>2126</v>
      </c>
      <c r="C176" s="59" t="n">
        <v>2087</v>
      </c>
      <c r="D176" s="59"/>
      <c r="E176" s="59"/>
      <c r="F176" s="59"/>
      <c r="G176" s="54" t="n">
        <f aca="false">B176*B176*$R$3+B176*$S$3+$T$3</f>
        <v>15.9161230399999</v>
      </c>
      <c r="H176" s="54" t="n">
        <f aca="false">C176*C176*$R$5+C176*$S$5+$T$5</f>
        <v>15.9910384</v>
      </c>
      <c r="L176" s="53" t="n">
        <f aca="false">ABS((G176-$A176)/$A176)</f>
        <v>0.0175232691358058</v>
      </c>
      <c r="M176" s="53" t="n">
        <f aca="false">ABS((H176-$A176)/$A176)</f>
        <v>0.0128988641975321</v>
      </c>
      <c r="N176" s="53" t="n">
        <f aca="false">ABS((I176-$A176)/$A176)</f>
        <v>1</v>
      </c>
      <c r="O176" s="53" t="n">
        <f aca="false">ABS((J176-$A176)/$A176)</f>
        <v>1</v>
      </c>
      <c r="P176" s="53" t="n">
        <f aca="false">ABS((K176-$A176)/$A176)</f>
        <v>1</v>
      </c>
    </row>
    <row r="177" customFormat="false" ht="13.8" hidden="false" customHeight="false" outlineLevel="0" collapsed="false">
      <c r="A177" s="1" t="n">
        <v>16.2</v>
      </c>
      <c r="B177" s="59" t="n">
        <v>2178</v>
      </c>
      <c r="C177" s="59" t="n">
        <v>2087</v>
      </c>
      <c r="D177" s="59"/>
      <c r="E177" s="59"/>
      <c r="F177" s="59"/>
      <c r="G177" s="54" t="n">
        <f aca="false">B177*B177*$R$3+B177*$S$3+$T$3</f>
        <v>13.1145793599999</v>
      </c>
      <c r="H177" s="54" t="n">
        <f aca="false">C177*C177*$R$5+C177*$S$5+$T$5</f>
        <v>15.9910384</v>
      </c>
      <c r="L177" s="53" t="n">
        <f aca="false">ABS((G177-$A177)/$A177)</f>
        <v>0.190458064197535</v>
      </c>
      <c r="M177" s="53" t="n">
        <f aca="false">ABS((H177-$A177)/$A177)</f>
        <v>0.0128988641975321</v>
      </c>
      <c r="N177" s="53" t="n">
        <f aca="false">ABS((I177-$A177)/$A177)</f>
        <v>1</v>
      </c>
      <c r="O177" s="53" t="n">
        <f aca="false">ABS((J177-$A177)/$A177)</f>
        <v>1</v>
      </c>
      <c r="P177" s="53" t="n">
        <f aca="false">ABS((K177-$A177)/$A177)</f>
        <v>1</v>
      </c>
    </row>
    <row r="178" customFormat="false" ht="13.8" hidden="false" customHeight="false" outlineLevel="0" collapsed="false">
      <c r="A178" s="1" t="n">
        <v>16.2</v>
      </c>
      <c r="B178" s="59" t="n">
        <v>2113</v>
      </c>
      <c r="C178" s="59" t="n">
        <v>2081</v>
      </c>
      <c r="D178" s="59"/>
      <c r="E178" s="59"/>
      <c r="F178" s="59"/>
      <c r="G178" s="54" t="n">
        <f aca="false">B178*B178*$R$3+B178*$S$3+$T$3</f>
        <v>16.64442776</v>
      </c>
      <c r="H178" s="54" t="n">
        <f aca="false">C178*C178*$R$5+C178*$S$5+$T$5</f>
        <v>15.8669296</v>
      </c>
      <c r="L178" s="53" t="n">
        <f aca="false">ABS((G178-$A178)/$A178)</f>
        <v>0.0274338123456781</v>
      </c>
      <c r="M178" s="53" t="n">
        <f aca="false">ABS((H178-$A178)/$A178)</f>
        <v>0.0205599012345684</v>
      </c>
      <c r="N178" s="53" t="n">
        <f aca="false">ABS((I178-$A178)/$A178)</f>
        <v>1</v>
      </c>
      <c r="O178" s="53" t="n">
        <f aca="false">ABS((J178-$A178)/$A178)</f>
        <v>1</v>
      </c>
      <c r="P178" s="53" t="n">
        <f aca="false">ABS((K178-$A178)/$A178)</f>
        <v>1</v>
      </c>
    </row>
    <row r="179" customFormat="false" ht="13.8" hidden="false" customHeight="false" outlineLevel="0" collapsed="false">
      <c r="A179" s="1" t="n">
        <v>16.2</v>
      </c>
      <c r="B179" s="59" t="n">
        <v>2134</v>
      </c>
      <c r="C179" s="59" t="n">
        <v>2079</v>
      </c>
      <c r="D179" s="59"/>
      <c r="E179" s="59"/>
      <c r="F179" s="59"/>
      <c r="G179" s="54" t="n">
        <f aca="false">B179*B179*$R$3+B179*$S$3+$T$3</f>
        <v>15.47348624</v>
      </c>
      <c r="H179" s="54" t="n">
        <f aca="false">C179*C179*$R$5+C179*$S$5+$T$5</f>
        <v>15.8273776</v>
      </c>
      <c r="L179" s="53" t="n">
        <f aca="false">ABS((G179-$A179)/$A179)</f>
        <v>0.0448465283950617</v>
      </c>
      <c r="M179" s="53" t="n">
        <f aca="false">ABS((H179-$A179)/$A179)</f>
        <v>0.0230013827160472</v>
      </c>
      <c r="N179" s="53" t="n">
        <f aca="false">ABS((I179-$A179)/$A179)</f>
        <v>1</v>
      </c>
      <c r="O179" s="53" t="n">
        <f aca="false">ABS((J179-$A179)/$A179)</f>
        <v>1</v>
      </c>
      <c r="P179" s="53" t="n">
        <f aca="false">ABS((K179-$A179)/$A179)</f>
        <v>1</v>
      </c>
    </row>
    <row r="180" customFormat="false" ht="13.8" hidden="false" customHeight="false" outlineLevel="0" collapsed="false">
      <c r="A180" s="1" t="n">
        <v>16.3</v>
      </c>
      <c r="B180" s="59" t="n">
        <v>2129</v>
      </c>
      <c r="C180" s="59" t="n">
        <v>2035</v>
      </c>
      <c r="D180" s="59"/>
      <c r="E180" s="59"/>
      <c r="F180" s="59"/>
      <c r="G180" s="54" t="n">
        <f aca="false">B180*B180*$R$3+B180*$S$3+$T$3</f>
        <v>15.74963864</v>
      </c>
      <c r="H180" s="54" t="n">
        <f aca="false">C180*C180*$R$5+C180*$S$5+$T$5</f>
        <v>15.18716</v>
      </c>
      <c r="L180" s="53" t="n">
        <f aca="false">ABS((G180-$A180)/$A180)</f>
        <v>0.0337645006134969</v>
      </c>
      <c r="M180" s="53" t="n">
        <f aca="false">ABS((H180-$A180)/$A180)</f>
        <v>0.0682723926380365</v>
      </c>
      <c r="N180" s="53" t="n">
        <f aca="false">ABS((I180-$A180)/$A180)</f>
        <v>1</v>
      </c>
      <c r="O180" s="53" t="n">
        <f aca="false">ABS((J180-$A180)/$A180)</f>
        <v>1</v>
      </c>
      <c r="P180" s="53" t="n">
        <f aca="false">ABS((K180-$A180)/$A180)</f>
        <v>1</v>
      </c>
    </row>
  </sheetData>
  <mergeCells count="3">
    <mergeCell ref="B1:F1"/>
    <mergeCell ref="G1:K1"/>
    <mergeCell ref="L1: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2026-05-26T21:41:54Z</dcterms:created>
  <dc:creator>openpyxl</dc:creator>
  <dc:description/>
  <dc:language>en-US</dc:language>
  <cp:lastModifiedBy/>
  <dcterms:modified xsi:type="dcterms:W3CDTF">2026-05-29T11:55:42Z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